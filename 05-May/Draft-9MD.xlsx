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9eb6f2c1772326/Dokumen/2026/05-May/"/>
    </mc:Choice>
  </mc:AlternateContent>
  <xr:revisionPtr revIDLastSave="123" documentId="8_{CE47AB05-A84B-4E45-9C39-6B9FE41148E1}" xr6:coauthVersionLast="47" xr6:coauthVersionMax="47" xr10:uidLastSave="{9EFC0DC5-D69A-4C9C-8FC0-0D7AE43B0597}"/>
  <bookViews>
    <workbookView xWindow="-120" yWindow="-120" windowWidth="29040" windowHeight="15720" xr2:uid="{00000000-000D-0000-FFFF-FFFF00000000}"/>
  </bookViews>
  <sheets>
    <sheet name="Summary" sheetId="1" r:id="rId1"/>
    <sheet name="Detail_CDN" sheetId="4" r:id="rId2"/>
    <sheet name="Detail_HPM" sheetId="5" r:id="rId3"/>
    <sheet name="Detail_ITC" sheetId="6" r:id="rId4"/>
    <sheet name="Detail_MSK" sheetId="8" r:id="rId5"/>
    <sheet name="Detail_TDM" sheetId="9" r:id="rId6"/>
    <sheet name="Detail_TRIO" sheetId="11" r:id="rId7"/>
    <sheet name="Detail_Anper" sheetId="12" r:id="rId8"/>
    <sheet name="Detail_Sinsen" sheetId="15" r:id="rId9"/>
    <sheet name="Detail_MenaraAgung" sheetId="16" r:id="rId10"/>
    <sheet name="Sheet15" sheetId="27" r:id="rId11"/>
    <sheet name="Detail_Shared" sheetId="13" r:id="rId12"/>
  </sheets>
  <calcPr calcId="191029"/>
  <pivotCaches>
    <pivotCache cacheId="17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W280" i="16"/>
  <c r="N280" i="16"/>
  <c r="K280" i="16"/>
  <c r="R280" i="16" s="1"/>
  <c r="W279" i="16"/>
  <c r="N279" i="16"/>
  <c r="K279" i="16"/>
  <c r="R279" i="16" s="1"/>
  <c r="W278" i="16"/>
  <c r="N278" i="16"/>
  <c r="K278" i="16"/>
  <c r="I278" i="16" s="1"/>
  <c r="W288" i="15"/>
  <c r="N288" i="15"/>
  <c r="K288" i="15"/>
  <c r="R288" i="15" s="1"/>
  <c r="W287" i="15"/>
  <c r="N287" i="15"/>
  <c r="K287" i="15"/>
  <c r="R287" i="15" s="1"/>
  <c r="W286" i="15"/>
  <c r="N286" i="15"/>
  <c r="K286" i="15"/>
  <c r="I286" i="15" s="1"/>
  <c r="W285" i="15"/>
  <c r="N285" i="15"/>
  <c r="K285" i="15"/>
  <c r="R285" i="15" s="1"/>
  <c r="N264" i="12"/>
  <c r="K264" i="12"/>
  <c r="R264" i="12" s="1"/>
  <c r="N263" i="12"/>
  <c r="K263" i="12"/>
  <c r="R263" i="12" s="1"/>
  <c r="N262" i="12"/>
  <c r="K262" i="12"/>
  <c r="R262" i="12" s="1"/>
  <c r="N261" i="12"/>
  <c r="K261" i="12"/>
  <c r="R261" i="12" s="1"/>
  <c r="W197" i="11"/>
  <c r="N197" i="11"/>
  <c r="K197" i="11"/>
  <c r="R197" i="11" s="1"/>
  <c r="W196" i="11"/>
  <c r="N196" i="11"/>
  <c r="K196" i="11"/>
  <c r="R196" i="11" s="1"/>
  <c r="W195" i="11"/>
  <c r="N195" i="11"/>
  <c r="K195" i="11"/>
  <c r="I195" i="11" s="1"/>
  <c r="W194" i="11"/>
  <c r="N194" i="11"/>
  <c r="K194" i="11"/>
  <c r="R194" i="11" s="1"/>
  <c r="W249" i="9"/>
  <c r="N249" i="9"/>
  <c r="K249" i="9"/>
  <c r="R249" i="9" s="1"/>
  <c r="W248" i="9"/>
  <c r="N248" i="9"/>
  <c r="K248" i="9"/>
  <c r="R248" i="9" s="1"/>
  <c r="W247" i="9"/>
  <c r="N247" i="9"/>
  <c r="K247" i="9"/>
  <c r="I247" i="9" s="1"/>
  <c r="W218" i="8"/>
  <c r="N218" i="8"/>
  <c r="K218" i="8"/>
  <c r="R218" i="8" s="1"/>
  <c r="W217" i="8"/>
  <c r="N217" i="8"/>
  <c r="K217" i="8"/>
  <c r="R217" i="8" s="1"/>
  <c r="W216" i="8"/>
  <c r="N216" i="8"/>
  <c r="K216" i="8"/>
  <c r="I216" i="8" s="1"/>
  <c r="W364" i="6"/>
  <c r="N364" i="6"/>
  <c r="K364" i="6"/>
  <c r="R364" i="6" s="1"/>
  <c r="W363" i="6"/>
  <c r="N363" i="6"/>
  <c r="K363" i="6"/>
  <c r="R363" i="6" s="1"/>
  <c r="W362" i="6"/>
  <c r="N362" i="6"/>
  <c r="K362" i="6"/>
  <c r="I362" i="6" s="1"/>
  <c r="W323" i="5"/>
  <c r="N323" i="5"/>
  <c r="K323" i="5"/>
  <c r="R323" i="5" s="1"/>
  <c r="W322" i="5"/>
  <c r="N322" i="5"/>
  <c r="K322" i="5"/>
  <c r="R322" i="5" s="1"/>
  <c r="W321" i="5"/>
  <c r="N321" i="5"/>
  <c r="K321" i="5"/>
  <c r="I321" i="5" s="1"/>
  <c r="W317" i="4"/>
  <c r="N317" i="4"/>
  <c r="K317" i="4"/>
  <c r="R317" i="4" s="1"/>
  <c r="W316" i="4"/>
  <c r="N316" i="4"/>
  <c r="K316" i="4"/>
  <c r="R316" i="4" s="1"/>
  <c r="W315" i="4"/>
  <c r="N315" i="4"/>
  <c r="K315" i="4"/>
  <c r="I315" i="4" s="1"/>
  <c r="I279" i="16" l="1"/>
  <c r="R278" i="16"/>
  <c r="I280" i="16"/>
  <c r="R286" i="15"/>
  <c r="I287" i="15"/>
  <c r="I285" i="15"/>
  <c r="I288" i="15"/>
  <c r="I262" i="12"/>
  <c r="I261" i="12"/>
  <c r="I196" i="11"/>
  <c r="I264" i="12"/>
  <c r="I263" i="12"/>
  <c r="R195" i="11"/>
  <c r="I194" i="11"/>
  <c r="I197" i="11"/>
  <c r="I248" i="9"/>
  <c r="R247" i="9"/>
  <c r="I249" i="9"/>
  <c r="I363" i="6"/>
  <c r="R216" i="8"/>
  <c r="I217" i="8"/>
  <c r="I218" i="8"/>
  <c r="R362" i="6"/>
  <c r="I364" i="6"/>
  <c r="I316" i="4"/>
  <c r="R321" i="5"/>
  <c r="I322" i="5"/>
  <c r="I323" i="5"/>
  <c r="R315" i="4"/>
  <c r="I317" i="4"/>
  <c r="K3" i="1" l="1"/>
  <c r="K2" i="1"/>
  <c r="H3" i="1"/>
  <c r="H2" i="1"/>
  <c r="E3" i="1"/>
  <c r="E2" i="1"/>
  <c r="J3" i="1"/>
  <c r="I3" i="1"/>
  <c r="G3" i="1"/>
  <c r="F3" i="1"/>
  <c r="D3" i="1"/>
  <c r="C3" i="1"/>
  <c r="B3" i="1"/>
  <c r="J2" i="1"/>
  <c r="I2" i="1"/>
  <c r="G2" i="1"/>
  <c r="F2" i="1"/>
  <c r="D2" i="1"/>
  <c r="C2" i="1"/>
  <c r="B2" i="1"/>
  <c r="L2" i="1" l="1"/>
</calcChain>
</file>

<file path=xl/sharedStrings.xml><?xml version="1.0" encoding="utf-8"?>
<sst xmlns="http://schemas.openxmlformats.org/spreadsheetml/2006/main" count="57804" uniqueCount="4878">
  <si>
    <t>Detail_CDN</t>
  </si>
  <si>
    <t>Detail_HPM</t>
  </si>
  <si>
    <t>Detail_ITC</t>
  </si>
  <si>
    <t>Detail_MSK</t>
  </si>
  <si>
    <t>Detail_TDM</t>
  </si>
  <si>
    <t>Detail_TRIO</t>
  </si>
  <si>
    <t>Detail_Anper</t>
  </si>
  <si>
    <t>Total Unit Price</t>
  </si>
  <si>
    <t>Total</t>
  </si>
  <si>
    <t>Resource Name</t>
  </si>
  <si>
    <t>Period</t>
  </si>
  <si>
    <t>Agreement Name</t>
  </si>
  <si>
    <t>Company Name</t>
  </si>
  <si>
    <t>Tenant Primary Domain</t>
  </si>
  <si>
    <t>Publisher Subscription ID</t>
  </si>
  <si>
    <t>Publisher Subscription Name</t>
  </si>
  <si>
    <t>Product ID</t>
  </si>
  <si>
    <t>Product Name</t>
  </si>
  <si>
    <t>Category</t>
  </si>
  <si>
    <t>Subcategory</t>
  </si>
  <si>
    <t>Meter Name</t>
  </si>
  <si>
    <t>Usage Start Date</t>
  </si>
  <si>
    <t>Usage End Date</t>
  </si>
  <si>
    <t>Quantity</t>
  </si>
  <si>
    <t>Unit</t>
  </si>
  <si>
    <t>Currency</t>
  </si>
  <si>
    <t>Resource Group Name</t>
  </si>
  <si>
    <t>Location</t>
  </si>
  <si>
    <t>Tags_JSON</t>
  </si>
  <si>
    <t>Tags_KeyValue</t>
  </si>
  <si>
    <t>Tags_Count</t>
  </si>
  <si>
    <t>May</t>
  </si>
  <si>
    <t>Microsoft CSP Azure Plan</t>
  </si>
  <si>
    <t>Divisi Inovasi</t>
  </si>
  <si>
    <t>divisiinovasi.onmicrosoft.com</t>
  </si>
  <si>
    <t>a4cdaa2e-caa7-440f-b849-928a3ceb7e31</t>
  </si>
  <si>
    <t>AzureCSP_DivisiInovasi</t>
  </si>
  <si>
    <t>Std HDD</t>
  </si>
  <si>
    <t>Logic Apps</t>
  </si>
  <si>
    <t>Microsoft Def for DNS</t>
  </si>
  <si>
    <t>Azure App Service Free Plan</t>
  </si>
  <si>
    <t>Key Vault</t>
  </si>
  <si>
    <t>Storage</t>
  </si>
  <si>
    <t>Microsoft Defender for Cloud</t>
  </si>
  <si>
    <t>Azure App Service</t>
  </si>
  <si>
    <t>Standard HDD Managed Disks</t>
  </si>
  <si>
    <t>Microsoft Defender for DNS</t>
  </si>
  <si>
    <t>ZRS Snapshots</t>
  </si>
  <si>
    <t>Standard vCPU Duration</t>
  </si>
  <si>
    <t>Standard Queries</t>
  </si>
  <si>
    <t>Consumption Built-in Actions</t>
  </si>
  <si>
    <t>Standard Memory Duration</t>
  </si>
  <si>
    <t>F1 App</t>
  </si>
  <si>
    <t>Consumption Data Retention</t>
  </si>
  <si>
    <t>Operations</t>
  </si>
  <si>
    <t>Consumption Standard Connector Actions</t>
  </si>
  <si>
    <t>1 GB</t>
  </si>
  <si>
    <t>1 GB/Month</t>
  </si>
  <si>
    <t>1 Hour</t>
  </si>
  <si>
    <t>10K</t>
  </si>
  <si>
    <t>1M</t>
  </si>
  <si>
    <t>1</t>
  </si>
  <si>
    <t>1 GiB Hour</t>
  </si>
  <si>
    <t>IDR</t>
  </si>
  <si>
    <t>Dns</t>
  </si>
  <si>
    <t>curl-api</t>
  </si>
  <si>
    <t>indonesiacentral</t>
  </si>
  <si>
    <t>southeastasia</t>
  </si>
  <si>
    <t>global</t>
  </si>
  <si>
    <t>{
  "Organization Name": "PT Nawa Darsana Teknologi",
  "Publisher": "Microsoft",
  "Publisher Customer ID": "346fa229-7c19-44ef-85c6-29e00edf66cf",
  "Unit Price": "10746.736",
  "ERP": "3312816.0115032555",
  "BenefitType": "Charge"
}</t>
  </si>
  <si>
    <t>{
  "Organization Name": "PT Nawa Darsana Teknologi",
  "Publisher": "Microsoft",
  "Publisher Customer ID": "346fa229-7c19-44ef-85c6-29e00edf66cf",
  "Unit Price": "0.0",
  "ERP": "0.0",
  "BenefitType": "Charge"
}</t>
  </si>
  <si>
    <t>{
  "Organization Name": "PT Nawa Darsana Teknologi",
  "Publisher": "Microsoft",
  "Publisher Customer ID": "346fa229-7c19-44ef-85c6-29e00edf66cf",
  "Unit Price": "0.0",
  "ERP": "0.0",
  "BenefitType": "Charge",
  "hidden-link: /app-insights-resource-id": "/subscriptions/a4cdaa2e-caa7-440f-b849-928a3ceb7e31/resourceGroups/RG-Loyalty-Prod/providers/microsoft.insights/components/loyalty-production"
}</t>
  </si>
  <si>
    <t>Organization Name=PT Nawa Darsana Teknologi; Publisher=Microsoft; Publisher Customer ID=346fa229-7c19-44ef-85c6-29e00edf66cf; Unit Price=10746.736; ERP=3312816.0115032555; BenefitType=Charge</t>
  </si>
  <si>
    <t>Organization Name=PT Nawa Darsana Teknologi; Publisher=Microsoft; Publisher Customer ID=346fa229-7c19-44ef-85c6-29e00edf66cf; Unit Price=0.0; ERP=0.0; BenefitType=Charge</t>
  </si>
  <si>
    <t>Organization Name=PT Nawa Darsana Teknologi; Publisher=Microsoft; Publisher Customer ID=346fa229-7c19-44ef-85c6-29e00edf66cf; Unit Price=0.0; ERP=0.0; BenefitType=Charge; hidden-link: /app-insights-resource-id=/subscriptions/a4cdaa2e-caa7-440f-b849-928a3ceb7e31/resourceGroups/RG-Loyalty-Prod/providers/microsoft.insights/components/loyalty-production</t>
  </si>
  <si>
    <t>Rtn Pref: MGN</t>
  </si>
  <si>
    <t>VM RI</t>
  </si>
  <si>
    <t>Virtual Network Private Link</t>
  </si>
  <si>
    <t>IP Address</t>
  </si>
  <si>
    <t>Bd Inter-Rgn</t>
  </si>
  <si>
    <t>Virtual Network Peering</t>
  </si>
  <si>
    <t>SQL RI</t>
  </si>
  <si>
    <t>Azure DNS</t>
  </si>
  <si>
    <t>SQL DB Single/Elastic Pool GP-SQL Licen</t>
  </si>
  <si>
    <t>SQL DB Sgl/El Pool PITR Backup Storage</t>
  </si>
  <si>
    <t>Azure Monitor</t>
  </si>
  <si>
    <t>Premium SSD Managed Disks</t>
  </si>
  <si>
    <t>Load Balancer</t>
  </si>
  <si>
    <t>Event Hubs</t>
  </si>
  <si>
    <t>Service Bus</t>
  </si>
  <si>
    <t>Microsoft Def for SQL</t>
  </si>
  <si>
    <t>Dv3 Series VM</t>
  </si>
  <si>
    <t>SQL DB Single/Elastic Pool Gen Pur-Storage</t>
  </si>
  <si>
    <t>Azure Kubernetes Service</t>
  </si>
  <si>
    <t>Bandwidth</t>
  </si>
  <si>
    <t>Virtual Machines</t>
  </si>
  <si>
    <t>Virtual Network</t>
  </si>
  <si>
    <t>SQL Database</t>
  </si>
  <si>
    <t>Rtn Preference: MGN</t>
  </si>
  <si>
    <t>Virtual Machines RI</t>
  </si>
  <si>
    <t>IP Addresses</t>
  </si>
  <si>
    <t>Bandwidth Inter-Region</t>
  </si>
  <si>
    <t>SQL Database Compute Reservation</t>
  </si>
  <si>
    <t>SQL Database Single/Elastic Pool General Purpose - SQL License</t>
  </si>
  <si>
    <t>SQL Database Single/Elastic Pool PITR Backup Storage</t>
  </si>
  <si>
    <t>Microsoft Defender for SQL</t>
  </si>
  <si>
    <t>Virtual Machines Dv3 Series</t>
  </si>
  <si>
    <t>SQL Database Single/Elastic Pool General Purpose - Storage</t>
  </si>
  <si>
    <t>Standard Data Transfer Out</t>
  </si>
  <si>
    <t>Standard</t>
  </si>
  <si>
    <t>Standard Private Endpoint</t>
  </si>
  <si>
    <t>Standard Data Processed - Egress</t>
  </si>
  <si>
    <t>Standard IPv4 Static Public IP</t>
  </si>
  <si>
    <t>Standard Data Processed - Ingress</t>
  </si>
  <si>
    <t>Intra Continent Data Transfer Out</t>
  </si>
  <si>
    <t>Intra-Region Ingress</t>
  </si>
  <si>
    <t>Inter Continent Data Transfer Out - ASIA To Any</t>
  </si>
  <si>
    <t>Usage</t>
  </si>
  <si>
    <t>Private Queries</t>
  </si>
  <si>
    <t>vCore</t>
  </si>
  <si>
    <t>Private Zone</t>
  </si>
  <si>
    <t>RA-GRS Data Stored</t>
  </si>
  <si>
    <t>Intra-Region Egress</t>
  </si>
  <si>
    <t>Standard Web Test Execution</t>
  </si>
  <si>
    <t>P10 LRS Disk</t>
  </si>
  <si>
    <t>Standard Included LB Rules and Outbound Rules</t>
  </si>
  <si>
    <t>Standard Throughput Unit</t>
  </si>
  <si>
    <t>Standard Messaging Operations</t>
  </si>
  <si>
    <t>Standard Node</t>
  </si>
  <si>
    <t>D2 v3/D2s v3</t>
  </si>
  <si>
    <t>General Purpose Data Stored</t>
  </si>
  <si>
    <t>Standard Data Processed</t>
  </si>
  <si>
    <t>P6 LRS Disk</t>
  </si>
  <si>
    <t>Standard Uptime SLA</t>
  </si>
  <si>
    <t>Standard Ingress Events</t>
  </si>
  <si>
    <t>1/Month</t>
  </si>
  <si>
    <t>mc_rg-cantaloupe_cantaloupe_southeastasia</t>
  </si>
  <si>
    <t>MC_RG-CANTALOUPE_CANTALOUPE_SOUTHEASTASIA</t>
  </si>
  <si>
    <t>rg-cantaloupe</t>
  </si>
  <si>
    <t>RG-CANTALOUPE</t>
  </si>
  <si>
    <t>aks-usereph2-16230473-vmss</t>
  </si>
  <si>
    <t>aks-systemeph-85241862-vmss</t>
  </si>
  <si>
    <t>aks-yellow-to-database-canggah</t>
  </si>
  <si>
    <t>aks-cantalopue-to-sweetpotatos</t>
  </si>
  <si>
    <t>CURL-API-CDN</t>
  </si>
  <si>
    <t>935764f3-bbdc-4987-abc5-d70897944bb5</t>
  </si>
  <si>
    <t>canggah</t>
  </si>
  <si>
    <t>privatelink.redis.cache.windows.net</t>
  </si>
  <si>
    <t>privatelink.postgres.database.azure.com</t>
  </si>
  <si>
    <t>privatelink.database.windows.net</t>
  </si>
  <si>
    <t>vpn-access-to-sql-cacaban</t>
  </si>
  <si>
    <t>aks-monitoring-28944532-vmss</t>
  </si>
  <si>
    <t>api-curl-cdn</t>
  </si>
  <si>
    <t>sql-cacaban-to-aks-salvia</t>
  </si>
  <si>
    <t>aks-monitoring-28944aks-monitoring-289445disk1_54721e8f2e2e4ed1975f344db713e2c0</t>
  </si>
  <si>
    <t>redis-cantaloupe-private-endpoint</t>
  </si>
  <si>
    <t>candyhub-to-aks-salvia-private-endpoint</t>
  </si>
  <si>
    <t>privatelink.blob.core.windows.net</t>
  </si>
  <si>
    <t>kubernetes-internal</t>
  </si>
  <si>
    <t>candyhub</t>
  </si>
  <si>
    <t>aks-monitoring-28944aks-monitoring-289445OS__1_2a69f819951b445e880055b0e63277cb</t>
  </si>
  <si>
    <t>aks-monitoring-28944aks-monitoring-289445OS__1_f548a3749d5b48af86cbddbb8e534619</t>
  </si>
  <si>
    <t>aks-to-sql-cacaban</t>
  </si>
  <si>
    <t>cacaban</t>
  </si>
  <si>
    <t>kubernetes</t>
  </si>
  <si>
    <t>kubernetes-aebe1fb958c9d46b58d0e652abd04282</t>
  </si>
  <si>
    <t>pvc-9c16ea13-84af-49c3-8eab-3303d8542177</t>
  </si>
  <si>
    <t>Cantaloupe</t>
  </si>
  <si>
    <t>aks-monitoring-28944aks-monitoring-289445OS__1_7b00700a43a54a13bb5f1318e06eecc7</t>
  </si>
  <si>
    <t>{
  "Organization Name": "PT Nawa Darsana Teknologi",
  "Publisher": "Microsoft",
  "Publisher Customer ID": "346fa229-7c19-44ef-85c6-29e00edf66cf",
  "Unit Price": "1842.2975999933",
  "ERP": "162.921730257",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</si>
  <si>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</si>
  <si>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</si>
  <si>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"129798.24",
  "BenefitType": "Charge",
  "San Marino": "San Marino"
}</t>
  </si>
  <si>
    <t>{
  "Organization Name": "PT Nawa Darsana Teknologi",
  "Publisher": "Microsoft",
  "Publisher Customer ID": "346fa229-7c19-44ef-85c6-29e00edf66cf",
  "Unit Price": "153.5248",
  "ERP": "129798.24",
  "BenefitType": "Charge",
  "CDN": "CDN"
}</t>
  </si>
  <si>
    <t>{
  "Organization Name": "PT Nawa Darsana Teknologi",
  "Publisher": "Microsoft",
  "Publisher Customer ID": "346fa229-7c19-44ef-85c6-29e00edf66cf",
  "Unit Price": "2.24146208",
  "ERP": "6571.55928",
  "BenefitType": "Charge"
}</t>
  </si>
  <si>
    <t>{
  "Organization Name": "PT Nawa Darsana Teknologi",
  "Publisher": "Microsoft",
  "Publisher Customer ID": "346fa229-7c19-44ef-85c6-29e00edf66cf",
  "Unit Price": "153.5247999998",
  "ERP": "1956.2328621264",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</si>
  <si>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"1659.409539882",
  "ERP": "324.7332005632",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</si>
  <si>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"1842.2975999324",
  "ERP": "2.361185255",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</si>
  <si>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"Cantaloupe",
  "aks-managed-cluster-rg": "rg-cantaloupe",
  "aks-managed-type": "aks-slb-managed-outbound-ip",
  "CDN": "CDN",
  "Environment": "Production",
  "MD": "CDN",
  "Product": "CE"
}</t>
  </si>
  <si>
    <t>{
  "Organization Name": "PT Nawa Darsana Teknologi",
  "Publisher": "Microsoft",
  "Publisher Customer ID": "346fa229-7c19-44ef-85c6-29e00edf66cf",
  "Unit Price": "153.5248",
  "ERP": "140692.5977173574",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</si>
  <si>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"1228.1983999336",
  "ERP": "10.2215259146",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</si>
  <si>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"10602.8846109758",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</si>
  <si>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"153.5247999993",
  "ERP": "474.5518857222",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</si>
  <si>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"1228.1983994221",
  "ERP": "0.0606318284",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</si>
  <si>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"153.5247997103",
  "ERP": "0.0866263684",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</si>
  <si>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"1019.5938183338",
  "ERP": "112.730163975",
  "BenefitType": "Charge",
  "aks-managed-consolidated-additional-properties": "4523af2d-ea03-11f0-aa94-664ac880d383",
  "aks-managed-creationSource": "vmssclient-aks-systemeph-85241862-vmss",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"systemeph",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</si>
  <si>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"1228.1983981583",
  "ERP": "0.084360133",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</si>
  <si>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"MD": "CDN",
  "md-alias": "Cantaloupe",
  "Product": "CE"
}</t>
  </si>
  <si>
    <t>{
  "Organization Name": "PT Nawa Darsana Teknologi",
  "Publisher": "Microsoft",
  "Publisher Customer ID": "346fa229-7c19-44ef-85c6-29e00edf66cf",
  "Unit Price": "1653.8757983325",
  "ERP": "261.745713801",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</si>
  <si>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"1842.2975999457",
  "ERP": "97.9705705836",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</si>
  <si>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"153.5247999909",
  "ERP": "2.7143934818",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</si>
  <si>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"51524.88389763",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</si>
  <si>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"33913.0391057744",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</si>
  <si>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"1842.2975982188",
  "ERP": "0.108906655",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</si>
  <si>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"1842.2975999965",
  "ERP": "1407.5985628848",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</si>
  <si>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"6140.992",
  "ERP": "2952.6168672",
  "BenefitType": "Charge",
  "Billing": "CDN"
}</t>
  </si>
  <si>
    <t>{
  "Organization Name": "PT Nawa Darsana Teknologi",
  "Publisher": "Microsoft",
  "Publisher Customer ID": "346fa229-7c19-44ef-85c6-29e00edf66cf",
  "Unit Price": "1228.1983999984",
  "ERP": "382.3136572684",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</si>
  <si>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"1534.72601568",
  "ERP": "1513797.933648",
  "BenefitType": "Charge",
  "MD": "CDN",
  "md-alias": "Cantaloupe",
  "Product": "CE"
}</t>
  </si>
  <si>
    <t>{
  "Organization Name": "PT Nawa Darsana Teknologi",
  "Publisher": "Microsoft",
  "Publisher Customer ID": "346fa229-7c19-44ef-85c6-29e00edf66cf",
  "Unit Price": "1534.72601568",
  "ERP": "7352732.820576",
  "BenefitType": "Charge",
  "MD": "CDN",
  "md-alias": "Cantaloupe",
  "Product": "CE"
}</t>
  </si>
  <si>
    <t>{
  "Organization Name": "PT Nawa Darsana Teknologi",
  "Publisher": "Microsoft",
  "Publisher Customer ID": "346fa229-7c19-44ef-85c6-29e00edf66cf",
  "Unit Price": "6140.992",
  "ERP": "1173.6482472",
  "BenefitType": "Charge",
  "Billing": "CDN"
}</t>
  </si>
  <si>
    <t>{
  "Organization Name": "PT Nawa Darsana Teknologi",
  "Publisher": "Microsoft",
  "Publisher Customer ID": "346fa229-7c19-44ef-85c6-29e00edf66cf",
  "Unit Price": "2368.904172042",
  "ERP": "8722.9999982554",
  "BenefitType": "Charge",
  "CDN": "CDN"
}</t>
  </si>
  <si>
    <t>{
  "Organization Name": "PT Nawa Darsana Teknologi",
  "Publisher": "Microsoft",
  "Publisher Customer ID": "346fa229-7c19-44ef-85c6-29e00edf66cf",
  "Unit Price": "3684.5952",
  "ERP": "284302.6847791702",
  "BenefitType": "Charge",
  "MD": "CDN",
  "md-alias": "Cantaloupe",
  "Product": "CE"
}</t>
  </si>
  <si>
    <t>{
  "Organization Name": "PT Nawa Darsana Teknologi",
  "Publisher": "Microsoft",
  "Publisher Customer ID": "346fa229-7c19-44ef-85c6-29e00edf66cf",
  "Unit Price": "153.5247999974",
  "ERP": "155.99820665",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</si>
  <si>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"153.5247999978",
  "ERP": "58.7970901518",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</si>
  <si>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"1780.3566900548",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</si>
  <si>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"153.5248",
  "ERP": "3232.608698176",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</si>
  <si>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"153.5247999293",
  "ERP": "1.360779277",
  "BenefitType": "Charge",
  "CDN": "CDN"
}</t>
  </si>
  <si>
    <t>{
  "Organization Name": "PT Nawa Darsana Teknologi",
  "Publisher": "Microsoft",
  "Publisher Customer ID": "346fa229-7c19-44ef-85c6-29e00edf66cf",
  "Unit Price": "153.5247926069",
  "ERP": "0.0017201756",
  "BenefitType": "Charge",
  "CDN": "CDN"
}</t>
  </si>
  <si>
    <t>{
  "Organization Name": "PT Nawa Darsana Teknologi",
  "Publisher": "Microsoft",
  "Publisher Customer ID": "346fa229-7c19-44ef-85c6-29e00edf66cf",
  "Unit Price": "1842.2975995941",
  "ERP": "0.7876206052",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</si>
  <si>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"1748.4848406528",
  "ERP": "40.0820593888",
  "BenefitType": "Charge",
  "aks-managed-consolidated-additional-properties": "4523af2d-ea03-11f0-aa94-664ac880d383",
  "aks-managed-creationSource": "vmssclient-aks-systemeph-85241862-vmss",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"systemeph",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</si>
  <si>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"1842.2975999968",
  "ERP": "1576.3576026198",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</si>
  <si>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"1842.2975999878",
  "ERP": "0.1936924704",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</si>
  <si>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"1687.3469893298",
  "ERP": "207.517945635",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</si>
  <si>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"153.5247999711",
  "ERP": "3.8119527446",
  "BenefitType": "Charge",
  "aks-managed-consolidated-additional-properties": "4523af2d-ea03-11f0-aa94-664ac880d383",
  "aks-managed-creationSource": "vmssclient-aks-systemeph-85241862-vmss",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"systemeph",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</si>
  <si>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"153.5247999936",
  "ERP": "53.8414666218",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</si>
  <si>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"153.5247999988",
  "ERP": "89.2275076836",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</si>
  <si>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"153.5247999979",
  "ERP": "52.3761613804",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</si>
  <si>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"153.5247999985",
  "ERP": "292.6139369582",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</si>
  <si>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</si>
  <si>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</si>
  <si>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"8.9812008",
  "ERP": "405623.68704",
  "BenefitType": "Charge"
}</t>
  </si>
  <si>
    <t>{
  "Organization Name": "PT Nawa Darsana Teknologi",
  "Publisher": "Microsoft",
  "Publisher Customer ID": "346fa229-7c19-44ef-85c6-29e00edf66cf",
  "Unit Price": "0.44522192",
  "ERP": "217.045686",
  "BenefitType": "Charge"
}</t>
  </si>
  <si>
    <t>{
  "Organization Name": "PT Nawa Darsana Teknologi",
  "Publisher": "Microsoft",
  "Publisher Customer ID": "346fa229-7c19-44ef-85c6-29e00edf66cf",
  "Unit Price": "153.5247999996",
  "ERP": "209.7000668906",
  "BenefitType": "Charge",
  "aks-managed-consolidated-additional-properties": "4523af2d-ea03-11f0-aa94-664ac880d383",
  "aks-managed-creationSource": "vmssclient-aks-systemeph-85241862-vmss",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"systemeph",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</si>
  <si>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"153.5248",
  "ERP": "3110.1971434248",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</si>
  <si>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"4523af2d-ea03-11f0-aa94-664ac880d383",
  "aks-managed-creationSource": "vmssclient-aks-systemeph-85241862-vmss",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"systemeph",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</si>
  <si>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"153.5248",
  "ERP": "13919.7884121868",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</si>
  <si>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"302597.3808",
  "ERP": "173.99349396",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</si>
  <si>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"153.5248",
  "ERP": "129798.24",
  "BenefitType": "Charge",
  "Billing": "CDN"
}</t>
  </si>
  <si>
    <t>{
  "Organization Name": "PT Nawa Darsana Teknologi",
  "Publisher": "Microsoft",
  "Publisher Customer ID": "346fa229-7c19-44ef-85c6-29e00edf66cf",
  "Unit Price": "153.5248",
  "ERP": "2237.3079065194",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</si>
  <si>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"153.5247996439",
  "ERP": "0.0659912396",
  "BenefitType": "Charge",
  "CDN": "CDN"
}</t>
  </si>
  <si>
    <t>{
  "Organization Name": "PT Nawa Darsana Teknologi",
  "Publisher": "Microsoft",
  "Publisher Customer ID": "346fa229-7c19-44ef-85c6-29e00edf66cf",
  "Unit Price": "153.5247999997",
  "ERP": "421.439262387",
  "BenefitType": "Charge",
  "aks-managed-consolidated-additional-properties": "4523af2d-ea03-11f0-aa94-664ac880d383",
  "aks-managed-creationSource": "vmssclient-aks-systemeph-85241862-vmss",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"systemeph",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</si>
  <si>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"153.5248",
  "ERP": "33311.2310995178",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</si>
  <si>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"1228.1983998768",
  "ERP": "0.2304075774",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</si>
  <si>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"1006.1638855638",
  "ERP": "188.7835096862",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</si>
  <si>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"153.5248",
  "ERP": "129798.24",
  "BenefitType": "Charge",
  "CDC": "CE",
  "CDN": "CDN"
}</t>
  </si>
  <si>
    <t>{
  "Organization Name": "PT Nawa Darsana Teknologi",
  "Publisher": "Microsoft",
  "Publisher Customer ID": "346fa229-7c19-44ef-85c6-29e00edf66cf",
  "Unit Price": "153.5247999993",
  "ERP": "576.7281303784",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</si>
  <si>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"153.5247999874",
  "ERP": "1.2194509756",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</si>
  <si>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"153.5247999984",
  "ERP": "253.8677247678",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</si>
  <si>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"153.5247999992",
  "ERP": "494.1366711138",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</si>
  <si>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"998.0206673374",
  "ERP": "506.7624773926",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</si>
  <si>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"1010.8703698322",
  "ERP": "333.6927142406",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</si>
  <si>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"153.5247999993",
  "ERP": "120.7629094958",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</si>
  <si>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"153.5247999904",
  "ERP": "7.9125146672",
  "BenefitType": "Charge",
  "aks-managed-consolidated-additional-properties": "4523af2d-ea03-11f0-aa94-664ac880d383",
  "aks-managed-creationSource": "vmssclient-aks-systemeph-85241862-vmss",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"systemeph",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</si>
  <si>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"1228.1983997134",
  "ERP": "2.6204345596",
  "BenefitType": "Charge",
  "aks-managed-consolidated-additional-properties": "4523af2d-ea03-11f0-aa94-664ac880d383",
  "aks-managed-creationSource": "vmssclient-aks-systemeph-85241862-vmss",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"systemeph",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</si>
  <si>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"1228.1983999993",
  "ERP": "1103.8463353918",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</si>
  <si>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"1228.1983999997",
  "ERP": "10400.3440632234",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</si>
  <si>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"153.5247999992",
  "ERP": "110.1485956142",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</si>
  <si>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"153.5247999986",
  "ERP": "90.1132794848",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</si>
  <si>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"153.5247999915",
  "ERP": "1.287872443",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</si>
  <si>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"1228.1975043036",
  "ERP": "0.0002337764",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</si>
  <si>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"1228.1983992086",
  "ERP": "0.8231092584",
  "BenefitType": "Charge",
  "aks-managed-consolidated-additional-properties": "45239e65-ea03-11f0-aa94-664ac880d383",
  "aks-managed-creationSource": "vmssclient-aks-monitoring-28944532-vmss",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"monitoring",
  "aks-managed-resourceNameSuffix": "40247467.0",
  "aks-managed-ssh-access": "LocalUser",
  "purpose": "monitoring"
}</t>
  </si>
  <si>
    <t>{
  "Organization Name": "PT Nawa Darsana Teknologi",
  "Publisher": "Microsoft",
  "Publisher Customer ID": "346fa229-7c19-44ef-85c6-29e00edf66cf",
  "Unit Price": "1228.1983999998",
  "ERP": "13059.4399759252",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</si>
  <si>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"1228.1983986506",
  "ERP": "0.0653945864",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</si>
  <si>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"1228.1983999979",
  "ERP": "1580.2539678354",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</si>
  <si>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"7116.5732987206",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</si>
  <si>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"153.5247999713",
  "ERP": "6.788456675",
  "BenefitType": "Charge",
  "CDN": "CDN"
}</t>
  </si>
  <si>
    <t>{
  "Organization Name": "PT Nawa Darsana Teknologi",
  "Publisher": "Microsoft",
  "Publisher Customer ID": "346fa229-7c19-44ef-85c6-29e00edf66cf",
  "Unit Price": "2368.904172042",
  "ERP": "8722.9999982554",
  "BenefitType": "Charge"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</si>
  <si>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"cantaloupe",
  "aks-managed-cluster-rg": "rg-cantaloupe",
  "CDN": "CDN",
  "Environment": "Production",
  "MD": "CDN",
  "Product": "CE"
}</t>
  </si>
  <si>
    <t>{
  "Organization Name": "PT Nawa Darsana Teknologi",
  "Publisher": "Microsoft",
  "Publisher Customer ID": "346fa229-7c19-44ef-85c6-29e00edf66cf",
  "Unit Price": "460.5744",
  "ERP": "389394.72",
  "BenefitType": "Charge",
  "CDC": "CE",
  "CDN": "CDN"
}</t>
  </si>
  <si>
    <t>{
  "Organization Name": "PT Nawa Darsana Teknologi",
  "Publisher": "Microsoft",
  "Publisher Customer ID": "346fa229-7c19-44ef-85c6-29e00edf66cf",
  "Unit Price": "153.5247999993",
  "ERP": "106.4114792312",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</si>
  <si>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"153.5247999951",
  "ERP": "73.9776886706",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</si>
  <si>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"4.9965344",
  "BenefitType": "Charge",
  "CDC": "CE",
  "CDN": "CDN"
}</t>
  </si>
  <si>
    <t>{
  "Organization Name": "PT Nawa Darsana Teknologi",
  "Publisher": "Microsoft",
  "Publisher Customer ID": "346fa229-7c19-44ef-85c6-29e00edf66cf",
  "Unit Price": "153.524799999",
  "ERP": "119.7062890166",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</si>
  <si>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"153.5247999989",
  "ERP": "72.0382971022",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</si>
  <si>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"302597.3807999999",
  "ERP": "62852.22687744",
  "BenefitType": "Charge",
  "aks-managed-consolidated-additional-properties": "45239e65-ea03-11f0-aa94-664ac880d383",
  "aks-managed-creationSource": "vmssclient-aks-monitoring-28944532-vmss",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"monitoring",
  "aks-managed-resourceNameSuffix": "40247467.0",
  "aks-managed-ssh-access": "LocalUser",
  "purpose": "monitoring"
}</t>
  </si>
  <si>
    <t>{
  "Organization Name": "PT Nawa Darsana Teknologi",
  "Publisher": "Microsoft",
  "Publisher Customer ID": "346fa229-7c19-44ef-85c6-29e00edf66cf",
  "Unit Price": "302597.3807999999",
  "ERP": "280594.42488792",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</si>
  <si>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"1228.1983999969",
  "ERP": "304.6850337102",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</si>
  <si>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"13078.4474347956",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</si>
  <si>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"2836.6919986834",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</si>
  <si>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"153.5248",
  "ERP": "7757.9587440498",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</si>
  <si>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"1683.5840832484",
  "ERP": "404.052273482",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</si>
  <si>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"153.5248",
  "ERP": "14365.0076856286",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</si>
  <si>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"153.5248",
  "ERP": "10361.7993383762",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</si>
  <si>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"153.5248",
  "ERP": "116666.8421216298",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</si>
  <si>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"230287.1999999971",
  "ERP": "260986.5322571078",
  "BenefitType": "Charge",
  "md-alias": "Cantaloupe",
  "Product": "CE"
}</t>
  </si>
  <si>
    <t>{
  "Organization Name": "PT Nawa Darsana Teknologi",
  "Publisher": "Microsoft",
  "Publisher Customer ID": "346fa229-7c19-44ef-85c6-29e00edf66cf",
  "Unit Price": "1004.2581439369",
  "ERP": "104.2236531336",
  "BenefitType": "Charge",
  "aks-managed-consolidated-additional-properties": "45239e65-ea03-11f0-aa94-664ac880d383",
  "aks-managed-creationSource": "vmssclient-aks-monitoring-28944532-vmss",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"monitoring",
  "aks-managed-resourceNameSuffix": "40247467.0",
  "aks-managed-ssh-access": "LocalUser",
  "purpose": "monitoring"
}</t>
  </si>
  <si>
    <t>{
  "Organization Name": "PT Nawa Darsana Teknologi",
  "Publisher": "Microsoft",
  "Publisher Customer ID": "346fa229-7c19-44ef-85c6-29e00edf66cf",
  "Unit Price": "1228.1983999919",
  "ERP": "301.7052412088",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</si>
  <si>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"1228.1983999531",
  "ERP": "1.5200682354",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</si>
  <si>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"1919.06",
  "ERP": "2180.75",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</si>
  <si>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"2118.64224",
  "ERP": "312981.24",
  "BenefitType": "Charge",
  "MD": "CDN",
  "md-alias": "Cantaloupe",
  "Product": "CE"
}</t>
  </si>
  <si>
    <t>{
  "Organization Name": "PT Nawa Darsana Teknologi",
  "Publisher": "Microsoft",
  "Publisher Customer ID": "346fa229-7c19-44ef-85c6-29e00edf66cf",
  "Unit Price": "2155.4881919756",
  "ERP": "44.751327764",
  "BenefitType": "Charge"
}</t>
  </si>
  <si>
    <t>{
  "Organization Name": "PT Nawa Darsana Teknologi",
  "Publisher": "Microsoft",
  "Publisher Customer ID": "346fa229-7c19-44ef-85c6-29e00edf66cf",
  "Unit Price": "1004.0263195043",
  "ERP": "267.9893650434",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</si>
  <si>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"76.7624",
  "ERP": "333927.8395635754",
  "BenefitType": "Charge",
  "aks-managed-cluster-name": "Cantaloupe",
  "aks-managed-cluster-rg": "rg-cantaloupe",
  "CDN": "CDN",
  "Environment": "Production",
  "MD": "CDN",
  "Product": "CE"
}</t>
  </si>
  <si>
    <t>{
  "Organization Name": "PT Nawa Darsana Teknologi",
  "Publisher": "Microsoft",
  "Publisher Customer ID": "346fa229-7c19-44ef-85c6-29e00edf66cf",
  "Unit Price": "2368.904172042",
  "ERP": "8722.9999982554",
  "BenefitType": "Charge",
  "Billing": "CDN"
}</t>
  </si>
  <si>
    <t>{
  "Organization Name": "PT Nawa Darsana Teknologi",
  "Publisher": "Microsoft",
  "Publisher Customer ID": "346fa229-7c19-44ef-85c6-29e00edf66cf",
  "Unit Price": "1842.2975999956",
  "ERP": "1380.1715422924",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</si>
  <si>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"1667.3931553595",
  "ERP": "345.4125061244",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</si>
  <si>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"1842.2975999943",
  "ERP": "976.3317506228",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</si>
  <si>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"76.7624",
  "ERP": "16196.4085768342",
  "BenefitType": "Charge",
  "aks-managed-cluster-name": "cantaloupe",
  "aks-managed-cluster-rg": "rg-cantaloupe",
  "CDN": "CDN",
  "Environment": "Production",
  "MD": "CDN",
  "Product": "CE"
}</t>
  </si>
  <si>
    <t>{
  "Organization Name": "PT Nawa Darsana Teknologi",
  "Publisher": "Microsoft",
  "Publisher Customer ID": "346fa229-7c19-44ef-85c6-29e00edf66cf",
  "Unit Price": "1842.297599999",
  "ERP": "4859.2563288126",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</si>
  <si>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"153.5247999982",
  "ERP": "47.932658202",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</si>
  <si>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"153.5247999983",
  "ERP": "53.1867758136",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</si>
  <si>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"153.5247999975",
  "ERP": "40.8345995772",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</si>
  <si>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"153.5247999981",
  "ERP": "239.0077505816",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</si>
  <si>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"153.52479995",
  "ERP": "0.5393204102",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</si>
  <si>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"45239e65-ea03-11f0-aa94-664ac880d383",
  "aks-managed-creationSource": "vmssclient-aks-monitoring-28944532-vmss",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"monitoring",
  "aks-managed-resourceNameSuffix": "40247467.0",
  "aks-managed-ssh-access": "LocalUser",
  "purpose": "monitoring"
}</t>
  </si>
  <si>
    <t>{
  "Organization Name": "PT Nawa Darsana Teknologi",
  "Publisher": "Microsoft",
  "Publisher Customer ID": "346fa229-7c19-44ef-85c6-29e00edf66cf",
  "Unit Price": "153.5247999676",
  "ERP": "2.996341777",
  "BenefitType": "Charge",
  "CDN": "CDN"
}</t>
  </si>
  <si>
    <t>{
  "Organization Name": "PT Nawa Darsana Teknologi",
  "Publisher": "Microsoft",
  "Publisher Customer ID": "346fa229-7c19-44ef-85c6-29e00edf66cf",
  "Unit Price": "1228.1983999924",
  "ERP": "416.6398869776",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</si>
  <si>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"1228.1983999971",
  "ERP": "1394.430561095",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</si>
  <si>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"1025.8739710537",
  "ERP": "245.5308762764",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</si>
  <si>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"1228.1983999979",
  "ERP": "1540.1894155076",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</si>
  <si>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"1228.1983999975",
  "ERP": "1412.4320748824",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</si>
  <si>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"1228.1983999994",
  "ERP": "6945.7041042246",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</si>
  <si>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"1228.1983999997",
  "ERP": "8948.6645979302",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</si>
  <si>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"1228.1983999993",
  "ERP": "1056.0803702306",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</si>
  <si>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"1228.1983627238",
  "ERP": "0.0052495014",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</si>
  <si>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"153.5247996872",
  "ERP": "0.0241504978",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</si>
  <si>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"16739.7504941524",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</si>
  <si>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"1686.8353554052",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</si>
  <si>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"1228.198399021",
  "ERP": "3.639226877",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</si>
  <si>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"1228.1983999961",
  "ERP": "1056.5759953892",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</si>
  <si>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"cantaloupe",
  "aks-managed-cluster-rg": "rg-cantaloupe",
  "CDN": "CDN",
  "Environment": "Production",
  "k8s-azure-cluster-name": "kubernetes",
  "k8s-azure-service": "portainer/portainer-agent",
  "MD": "CDN",
  "Product": "CE"
}</t>
  </si>
  <si>
    <t>{
  "Organization Name": "PT Nawa Darsana Teknologi",
  "Publisher": "Microsoft",
  "Publisher Customer ID": "346fa229-7c19-44ef-85c6-29e00edf66cf",
  "Unit Price": "156702.7633599999",
  "ERP": "177843.924921806",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"pvc-9c16ea13-84af-49c3-8eab-3303d8542177"
}</t>
  </si>
  <si>
    <t>{
  "Organization Name": "PT Nawa Darsana Teknologi",
  "Publisher": "Microsoft",
  "Publisher Customer ID": "346fa229-7c19-44ef-85c6-29e00edf66cf",
  "Unit Price": "153.5247999984",
  "ERP": "232.7877543706",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</si>
  <si>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"137745.5794407836",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</si>
  <si>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"1228.1983999897",
  "ERP": "82.4313049846",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</si>
  <si>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"1535.248",
  "ERP": "1297935.0107829534",
  "BenefitType": "Charge",
  "CDN": "CDN",
  "Environment": "Production",
  "MD": "CDN",
  "Product": "CE"
}</t>
  </si>
  <si>
    <t>{
  "Organization Name": "PT Nawa Darsana Teknologi",
  "Publisher": "Microsoft",
  "Publisher Customer ID": "346fa229-7c19-44ef-85c6-29e00edf66cf",
  "Unit Price": "153.5248",
  "ERP": "34416.430649601",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</si>
  <si>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"1228.1983999995",
  "ERP": "1050.7565715504",
  "BenefitType": "Charge",
  "aks-managed-consolidated-additional-properties": "4523a67a-ea03-11f0-aa94-664ac880d383",
  "aks-managed-creationSource": "vmssclient-aks-usereph2-16230473-vmss",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"usereph2",
  "aks-managed-resourceNameSuffix": "40247467.0",
  "aks-managed-ssh-access": "LocalUser"
}</t>
  </si>
  <si>
    <t>{
  "Organization Name": "PT Nawa Darsana Teknologi",
  "Publisher": "Microsoft",
  "Publisher Customer ID": "346fa229-7c19-44ef-85c6-29e00edf66cf",
  "Unit Price": "153.5247999615",
  "ERP": "5.5542952322",
  "BenefitType": "Charge",
  "CDN": "CDN"
}</t>
  </si>
  <si>
    <t>{
  "Organization Name": "PT Nawa Darsana Teknologi",
  "Publisher": "Microsoft",
  "Publisher Customer ID": "346fa229-7c19-44ef-85c6-29e00edf66cf",
  "Unit Price": "302597.3808",
  "ERP": "51.579099",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</si>
  <si>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"Cantaloupe",
  "aks-managed-cluster-rg": "rg-cantaloupe",
  "CDN": "CDN",
  "Environment": "Production",
  "MD": "CDN",
  "Product": "CE"
}</t>
  </si>
  <si>
    <t>{
  "Organization Name": "PT Nawa Darsana Teknologi",
  "Publisher": "Microsoft",
  "Publisher Customer ID": "346fa229-7c19-44ef-85c6-29e00edf66cf",
  "Unit Price": "429.8694399998",
  "ERP": "2689.974943656",
  "BenefitType": "Charge",
  "CDC": "CE",
  "CDN": "CDN"
}</t>
  </si>
  <si>
    <t>{
  "Organization Name": "PT Nawa Darsana Teknologi",
  "Publisher": "Microsoft",
  "Publisher Customer ID": "346fa229-7c19-44ef-85c6-29e00edf66cf",
  "Unit Price": "1680.050766141",
  "ERP": "1106.324708918",
  "BenefitType": "Charge",
  "aks-managed-consolidated-additional-properties": "45239e65-ea03-11f0-aa94-664ac880d383",
  "aks-managed-creationSource": "vmssclient-aks-monitoring-28944532-vmss",
  "aks-managed-enable-imds-restriction": "False",
  "aks-managed-kubeletIdentityClientID": "c5826f94-ec98-4f18-bd56-3490380ef971",
  "aks-managed-operationID": "1e2e1077-f7e7-448c-ad9a-be703a78a2a2",
  "aks-managed-orchestrator": "Kubernetes:1.33.5",
  "aks-managed-poolName": "monitoring",
  "aks-managed-resourceNameSuffix": "40247467.0",
  "aks-managed-ssh-access": "LocalUser",
  "purpose": "monitoring"
}</t>
  </si>
  <si>
    <t>{
  "Organization Name": "PT Nawa Darsana Teknologi",
  "Publisher": "Microsoft",
  "Publisher Customer ID": "346fa229-7c19-44ef-85c6-29e00edf66cf",
  "Unit Price": "6140.9919999977",
  "ERP": "2204.2602296",
  "BenefitType": "Charge",
  "CDN": "CDN"
}</t>
  </si>
  <si>
    <t>Organization Name=PT Nawa Darsana Teknologi; Publisher=Microsoft; Publisher Customer ID=346fa229-7c19-44ef-85c6-29e00edf66cf; Unit Price=1842.2975999933; ERP=162.921730257;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</si>
  <si>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</si>
  <si>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</si>
  <si>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Price=153.5248; ERP=129798.24; BenefitType=Charge; San Marino=San Marino</t>
  </si>
  <si>
    <t>Organization Name=PT Nawa Darsana Teknologi; Publisher=Microsoft; Publisher Customer ID=346fa229-7c19-44ef-85c6-29e00edf66cf; Unit Price=153.5248; ERP=129798.24; BenefitType=Charge; CDN=CDN</t>
  </si>
  <si>
    <t>Organization Name=PT Nawa Darsana Teknologi; Publisher=Microsoft; Publisher Customer ID=346fa229-7c19-44ef-85c6-29e00edf66cf; Unit Price=2.24146208; ERP=6571.55928; BenefitType=Charge</t>
  </si>
  <si>
    <t>Organization Name=PT Nawa Darsana Teknologi; Publisher=Microsoft; Publisher Customer ID=346fa229-7c19-44ef-85c6-29e00edf66cf; Unit Price=153.5247999998; ERP=1956.2328621264;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</si>
  <si>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Price=1659.409539882; ERP=324.7332005632;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</si>
  <si>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Price=1842.2975999324; ERP=2.361185255;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</si>
  <si>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Price=76.7624; ERP=64899.12; BenefitType=Charge; aks-managed-cluster-name=Cantaloupe; aks-managed-cluster-rg=rg-cantaloupe; aks-managed-type=aks-slb-managed-outbound-ip; CDN=CDN; Environment=Production; MD=CDN; Product=CE</t>
  </si>
  <si>
    <t>Organization Name=PT Nawa Darsana Teknologi; Publisher=Microsoft; Publisher Customer ID=346fa229-7c19-44ef-85c6-29e00edf66cf; Unit Price=153.5248; ERP=140692.5977173574;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</si>
  <si>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Price=1228.1983999336; ERP=10.2215259146;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</si>
  <si>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Price=153.5248; ERP=10602.8846109758;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</si>
  <si>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Price=153.5247999993; ERP=474.5518857222;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</si>
  <si>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Price=1228.1983994221; ERP=0.0606318284;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</si>
  <si>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Price=153.5247997103; ERP=0.0866263684;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</si>
  <si>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Price=1019.5938183338; ERP=112.730163975;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</t>
  </si>
  <si>
    <t>Organization Name=PT Nawa Darsana Teknologi; Publisher=Microsoft; Publisher Customer ID=346fa229-7c19-44ef-85c6-29e00edf66cf; Unit Price=1228.1983981583; ERP=0.084360133;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</si>
  <si>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Price=0.0; ERP=0.0; BenefitType=Charge; MD=CDN; md-alias=Cantaloupe; Product=CE</t>
  </si>
  <si>
    <t>Organization Name=PT Nawa Darsana Teknologi; Publisher=Microsoft; Publisher Customer ID=346fa229-7c19-44ef-85c6-29e00edf66cf; Unit Price=1653.8757983325; ERP=261.745713801;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</si>
  <si>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Price=1842.2975999457; ERP=97.9705705836;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</si>
  <si>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Price=153.5247999909; ERP=2.7143934818;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</si>
  <si>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Price=153.5248; ERP=51524.88389763;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</si>
  <si>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Price=153.5248; ERP=33913.0391057744;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</si>
  <si>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Price=1842.2975982188; ERP=0.108906655;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</si>
  <si>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Price=1842.2975999965; ERP=1407.5985628848;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</si>
  <si>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Price=6140.992; ERP=2952.6168672; BenefitType=Charge; Billing=CDN</t>
  </si>
  <si>
    <t>Organization Name=PT Nawa Darsana Teknologi; Publisher=Microsoft; Publisher Customer ID=346fa229-7c19-44ef-85c6-29e00edf66cf; Unit Price=1228.1983999984; ERP=382.3136572684;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</si>
  <si>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Price=1534.72601568; ERP=1513797.933648; BenefitType=Charge; MD=CDN; md-alias=Cantaloupe; Product=CE</t>
  </si>
  <si>
    <t>Organization Name=PT Nawa Darsana Teknologi; Publisher=Microsoft; Publisher Customer ID=346fa229-7c19-44ef-85c6-29e00edf66cf; Unit Price=1534.72601568; ERP=7352732.820576; BenefitType=Charge; MD=CDN; md-alias=Cantaloupe; Product=CE</t>
  </si>
  <si>
    <t>Organization Name=PT Nawa Darsana Teknologi; Publisher=Microsoft; Publisher Customer ID=346fa229-7c19-44ef-85c6-29e00edf66cf; Unit Price=6140.992; ERP=1173.6482472; BenefitType=Charge; Billing=CDN</t>
  </si>
  <si>
    <t>Organization Name=PT Nawa Darsana Teknologi; Publisher=Microsoft; Publisher Customer ID=346fa229-7c19-44ef-85c6-29e00edf66cf; Unit Price=2368.904172042; ERP=8722.9999982554; BenefitType=Charge; CDN=CDN</t>
  </si>
  <si>
    <t>Organization Name=PT Nawa Darsana Teknologi; Publisher=Microsoft; Publisher Customer ID=346fa229-7c19-44ef-85c6-29e00edf66cf; Unit Price=3684.5952; ERP=284302.6847791702; BenefitType=Charge; MD=CDN; md-alias=Cantaloupe; Product=CE</t>
  </si>
  <si>
    <t>Organization Name=PT Nawa Darsana Teknologi; Publisher=Microsoft; Publisher Customer ID=346fa229-7c19-44ef-85c6-29e00edf66cf; Unit Price=153.5247999974; ERP=155.99820665;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</si>
  <si>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Price=153.5247999978; ERP=58.7970901518;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</si>
  <si>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Price=153.5247999999; ERP=1780.3566900548;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</si>
  <si>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Price=153.5248; ERP=3232.608698176;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</si>
  <si>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Price=153.5247999293; ERP=1.360779277; BenefitType=Charge; CDN=CDN</t>
  </si>
  <si>
    <t>Organization Name=PT Nawa Darsana Teknologi; Publisher=Microsoft; Publisher Customer ID=346fa229-7c19-44ef-85c6-29e00edf66cf; Unit Price=153.5247926069; ERP=0.0017201756; BenefitType=Charge; CDN=CDN</t>
  </si>
  <si>
    <t>Organization Name=PT Nawa Darsana Teknologi; Publisher=Microsoft; Publisher Customer ID=346fa229-7c19-44ef-85c6-29e00edf66cf; Unit Price=1842.2975995941; ERP=0.7876206052;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</si>
  <si>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Price=1748.4848406528; ERP=40.0820593888;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</t>
  </si>
  <si>
    <t>Organization Name=PT Nawa Darsana Teknologi; Publisher=Microsoft; Publisher Customer ID=346fa229-7c19-44ef-85c6-29e00edf66cf; Unit Price=1842.2975999968; ERP=1576.3576026198;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</si>
  <si>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Price=1842.2975999878; ERP=0.1936924704;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</si>
  <si>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Price=1687.3469893298; ERP=207.517945635;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</si>
  <si>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Price=153.5247999711; ERP=3.8119527446;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</t>
  </si>
  <si>
    <t>Organization Name=PT Nawa Darsana Teknologi; Publisher=Microsoft; Publisher Customer ID=346fa229-7c19-44ef-85c6-29e00edf66cf; Unit Price=153.5247999936; ERP=53.8414666218;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</si>
  <si>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Price=153.5247999988; ERP=89.2275076836;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</si>
  <si>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Price=153.5247999979; ERP=52.3761613804;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</si>
  <si>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Price=153.5247999985; ERP=292.6139369582;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</si>
  <si>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</si>
  <si>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Price=0.0; ERP=0.0;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</si>
  <si>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Price=8.9812008; ERP=405623.68704; BenefitType=Charge</t>
  </si>
  <si>
    <t>Organization Name=PT Nawa Darsana Teknologi; Publisher=Microsoft; Publisher Customer ID=346fa229-7c19-44ef-85c6-29e00edf66cf; Unit Price=0.44522192; ERP=217.045686; BenefitType=Charge</t>
  </si>
  <si>
    <t>Organization Name=PT Nawa Darsana Teknologi; Publisher=Microsoft; Publisher Customer ID=346fa229-7c19-44ef-85c6-29e00edf66cf; Unit Price=153.5247999996; ERP=209.7000668906;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</t>
  </si>
  <si>
    <t>Organization Name=PT Nawa Darsana Teknologi; Publisher=Microsoft; Publisher Customer ID=346fa229-7c19-44ef-85c6-29e00edf66cf; Unit Price=153.5248; ERP=3110.1971434248;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</si>
  <si>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Price=0.0; ERP=0.0;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</t>
  </si>
  <si>
    <t>Organization Name=PT Nawa Darsana Teknologi; Publisher=Microsoft; Publisher Customer ID=346fa229-7c19-44ef-85c6-29e00edf66cf; Unit Price=153.5248; ERP=13919.7884121868;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</si>
  <si>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Price=302597.3808; ERP=173.99349396;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</si>
  <si>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Price=153.5248; ERP=129798.24; BenefitType=Charge; Billing=CDN</t>
  </si>
  <si>
    <t>Organization Name=PT Nawa Darsana Teknologi; Publisher=Microsoft; Publisher Customer ID=346fa229-7c19-44ef-85c6-29e00edf66cf; Unit Price=153.5248; ERP=2237.3079065194;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</si>
  <si>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Price=153.5247996439; ERP=0.0659912396; BenefitType=Charge; CDN=CDN</t>
  </si>
  <si>
    <t>Organization Name=PT Nawa Darsana Teknologi; Publisher=Microsoft; Publisher Customer ID=346fa229-7c19-44ef-85c6-29e00edf66cf; Unit Price=153.5247999997; ERP=421.439262387;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</t>
  </si>
  <si>
    <t>Organization Name=PT Nawa Darsana Teknologi; Publisher=Microsoft; Publisher Customer ID=346fa229-7c19-44ef-85c6-29e00edf66cf; Unit Price=153.5248; ERP=33311.2310995178;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</si>
  <si>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Price=1228.1983998768; ERP=0.2304075774;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</si>
  <si>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Price=1006.1638855638; ERP=188.7835096862;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</si>
  <si>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Price=153.5248; ERP=129798.24; BenefitType=Charge; CDC=CE; CDN=CDN</t>
  </si>
  <si>
    <t>Organization Name=PT Nawa Darsana Teknologi; Publisher=Microsoft; Publisher Customer ID=346fa229-7c19-44ef-85c6-29e00edf66cf; Unit Price=153.5247999993; ERP=576.7281303784;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</si>
  <si>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Price=153.5247999874; ERP=1.2194509756;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</si>
  <si>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Price=153.5247999984; ERP=253.8677247678;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</si>
  <si>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Price=153.5247999992; ERP=494.1366711138;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</si>
  <si>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Price=998.0206673374; ERP=506.7624773926;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</si>
  <si>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Price=1010.8703698322; ERP=333.6927142406;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</si>
  <si>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Price=153.5247999993; ERP=120.7629094958;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</si>
  <si>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Price=153.5247999904; ERP=7.9125146672;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</t>
  </si>
  <si>
    <t>Organization Name=PT Nawa Darsana Teknologi; Publisher=Microsoft; Publisher Customer ID=346fa229-7c19-44ef-85c6-29e00edf66cf; Unit Price=1228.1983997134; ERP=2.6204345596; BenefitType=Charge; aks-managed-consolidated-additional-properties=4523af2d-ea03-11f0-aa94-664ac880d383; aks-managed-creationSource=vmssclient-aks-systemeph-85241862-vmss; aks-managed-enable-imds-restriction=False; aks-managed-kubeletIdentityClientID=c5826f94-ec98-4f18-bd56-3490380ef971; aks-managed-operationID=1e2e1077-f7e7-448c-ad9a-be703a78a2a2; aks-managed-orchestrator=Kubernetes:1.33.5; aks-managed-poolName=systemeph; aks-managed-resourceNameSuffix=40247467.0; aks-managed-ssh-access=LocalUser</t>
  </si>
  <si>
    <t>Organization Name=PT Nawa Darsana Teknologi; Publisher=Microsoft; Publisher Customer ID=346fa229-7c19-44ef-85c6-29e00edf66cf; Unit Price=1228.1983999993; ERP=1103.8463353918;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</si>
  <si>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Price=1228.1983999997; ERP=10400.3440632234;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</si>
  <si>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Price=153.5247999992; ERP=110.1485956142;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</si>
  <si>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Price=153.5247999986; ERP=90.1132794848;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</si>
  <si>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Price=153.5247999915; ERP=1.287872443;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</si>
  <si>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Price=1228.1975043036; ERP=0.0002337764;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</si>
  <si>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Price=1228.1983992086; ERP=0.8231092584; BenefitType=Charge; aks-managed-consolidated-additional-properties=45239e65-ea03-11f0-aa94-664ac880d383; aks-managed-creationSource=vmssclient-aks-monitoring-28944532-vmss; aks-managed-enable-imds-restriction=False; aks-managed-kubeletIdentityClientID=c5826f94-ec98-4f18-bd56-3490380ef971; aks-managed-operationID=1e2e1077-f7e7-448c-ad9a-be703a78a2a2; aks-managed-orchestrator=Kubernetes:1.33.5; aks-managed-poolName=monitoring; aks-managed-resourceNameSuffix=40247467.0; aks-managed-ssh-access=LocalUser; purpose=monitoring</t>
  </si>
  <si>
    <t>Organization Name=PT Nawa Darsana Teknologi; Publisher=Microsoft; Publisher Customer ID=346fa229-7c19-44ef-85c6-29e00edf66cf; Unit Price=1228.1983999998; ERP=13059.4399759252;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</si>
  <si>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Price=1228.1983986506; ERP=0.0653945864;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</si>
  <si>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Price=1228.1983999979; ERP=1580.2539678354;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</si>
  <si>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Price=153.5248; ERP=7116.5732987206;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</si>
  <si>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Price=153.5247999713; ERP=6.788456675; BenefitType=Charge; CDN=CDN</t>
  </si>
  <si>
    <t>Organization Name=PT Nawa Darsana Teknologi; Publisher=Microsoft; Publisher Customer ID=346fa229-7c19-44ef-85c6-29e00edf66cf; Unit Price=2368.904172042; ERP=8722.9999982554; BenefitType=Charge</t>
  </si>
  <si>
    <t>Organization Name=PT Nawa Darsana Teknologi; Publisher=Microsoft; Publisher Customer ID=346fa229-7c19-44ef-85c6-29e00edf66cf; Unit Price=383.812; ERP=324495.6; BenefitType=Charge; aks-managed-cluster-name=cantaloupe; aks-managed-cluster-rg=rg-cantaloupe; CDN=CDN; Environment=Production; MD=CDN; Product=CE</t>
  </si>
  <si>
    <t>Organization Name=PT Nawa Darsana Teknologi; Publisher=Microsoft; Publisher Customer ID=346fa229-7c19-44ef-85c6-29e00edf66cf; Unit Price=460.5744; ERP=389394.72; BenefitType=Charge; CDC=CE; CDN=CDN</t>
  </si>
  <si>
    <t>Organization Name=PT Nawa Darsana Teknologi; Publisher=Microsoft; Publisher Customer ID=346fa229-7c19-44ef-85c6-29e00edf66cf; Unit Price=153.5247999993; ERP=106.4114792312;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</si>
  <si>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Price=153.5247999951; ERP=73.9776886706;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</si>
  <si>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Price=0.0; ERP=4.9965344; BenefitType=Charge; CDC=CE; CDN=CDN</t>
  </si>
  <si>
    <t>Organization Name=PT Nawa Darsana Teknologi; Publisher=Microsoft; Publisher Customer ID=346fa229-7c19-44ef-85c6-29e00edf66cf; Unit Price=153.524799999; ERP=119.7062890166;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</si>
  <si>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Price=153.5247999989; ERP=72.0382971022;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</si>
  <si>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Price=302597.3807999999; ERP=62852.22687744; BenefitType=Charge; aks-managed-consolidated-additional-properties=45239e65-ea03-11f0-aa94-664ac880d383; aks-managed-creationSource=vmssclient-aks-monitoring-28944532-vmss; aks-managed-enable-imds-restriction=False; aks-managed-kubeletIdentityClientID=c5826f94-ec98-4f18-bd56-3490380ef971; aks-managed-operationID=1e2e1077-f7e7-448c-ad9a-be703a78a2a2; aks-managed-orchestrator=Kubernetes:1.33.5; aks-managed-poolName=monitoring; aks-managed-resourceNameSuffix=40247467.0; aks-managed-ssh-access=LocalUser; purpose=monitoring</t>
  </si>
  <si>
    <t>Organization Name=PT Nawa Darsana Teknologi; Publisher=Microsoft; Publisher Customer ID=346fa229-7c19-44ef-85c6-29e00edf66cf; Unit Price=302597.3807999999; ERP=280594.42488792;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</si>
  <si>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Price=1228.1983999969; ERP=304.6850337102;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</si>
  <si>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Price=153.5248; ERP=13078.4474347956;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</si>
  <si>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Price=153.5248; ERP=2836.6919986834;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</si>
  <si>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Price=153.5248; ERP=7757.9587440498;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</si>
  <si>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Price=1683.5840832484; ERP=404.052273482;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</si>
  <si>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Price=153.5248; ERP=14365.0076856286;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</si>
  <si>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Price=153.5248; ERP=10361.7993383762;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</si>
  <si>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Price=153.5248; ERP=116666.8421216298;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</si>
  <si>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Price=230287.1999999971; ERP=260986.5322571078; BenefitType=Charge; md-alias=Cantaloupe; Product=CE</t>
  </si>
  <si>
    <t>Organization Name=PT Nawa Darsana Teknologi; Publisher=Microsoft; Publisher Customer ID=346fa229-7c19-44ef-85c6-29e00edf66cf; Unit Price=1004.2581439369; ERP=104.2236531336; BenefitType=Charge; aks-managed-consolidated-additional-properties=45239e65-ea03-11f0-aa94-664ac880d383; aks-managed-creationSource=vmssclient-aks-monitoring-28944532-vmss; aks-managed-enable-imds-restriction=False; aks-managed-kubeletIdentityClientID=c5826f94-ec98-4f18-bd56-3490380ef971; aks-managed-operationID=1e2e1077-f7e7-448c-ad9a-be703a78a2a2; aks-managed-orchestrator=Kubernetes:1.33.5; aks-managed-poolName=monitoring; aks-managed-resourceNameSuffix=40247467.0; aks-managed-ssh-access=LocalUser; purpose=monitoring</t>
  </si>
  <si>
    <t>Organization Name=PT Nawa Darsana Teknologi; Publisher=Microsoft; Publisher Customer ID=346fa229-7c19-44ef-85c6-29e00edf66cf; Unit Price=1228.1983999919; ERP=301.7052412088;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</si>
  <si>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Price=1228.1983999531; ERP=1.5200682354;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</si>
  <si>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Price=1919.06; ERP=2180.75;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</si>
  <si>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Price=2118.64224; ERP=312981.24; BenefitType=Charge; MD=CDN; md-alias=Cantaloupe; Product=CE</t>
  </si>
  <si>
    <t>Organization Name=PT Nawa Darsana Teknologi; Publisher=Microsoft; Publisher Customer ID=346fa229-7c19-44ef-85c6-29e00edf66cf; Unit Price=2155.4881919756; ERP=44.751327764; BenefitType=Charge</t>
  </si>
  <si>
    <t>Organization Name=PT Nawa Darsana Teknologi; Publisher=Microsoft; Publisher Customer ID=346fa229-7c19-44ef-85c6-29e00edf66cf; Unit Price=1004.0263195043; ERP=267.9893650434;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</si>
  <si>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Price=76.7624; ERP=333927.8395635754; BenefitType=Charge; aks-managed-cluster-name=Cantaloupe; aks-managed-cluster-rg=rg-cantaloupe; CDN=CDN; Environment=Production; MD=CDN; Product=CE</t>
  </si>
  <si>
    <t>Organization Name=PT Nawa Darsana Teknologi; Publisher=Microsoft; Publisher Customer ID=346fa229-7c19-44ef-85c6-29e00edf66cf; Unit Price=2368.904172042; ERP=8722.9999982554; BenefitType=Charge; Billing=CDN</t>
  </si>
  <si>
    <t>Organization Name=PT Nawa Darsana Teknologi; Publisher=Microsoft; Publisher Customer ID=346fa229-7c19-44ef-85c6-29e00edf66cf; Unit Price=1842.2975999956; ERP=1380.1715422924;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</si>
  <si>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Price=1667.3931553595; ERP=345.4125061244;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</si>
  <si>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Price=1842.2975999943; ERP=976.3317506228;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</si>
  <si>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Price=76.7624; ERP=16196.4085768342; BenefitType=Charge; aks-managed-cluster-name=cantaloupe; aks-managed-cluster-rg=rg-cantaloupe; CDN=CDN; Environment=Production; MD=CDN; Product=CE</t>
  </si>
  <si>
    <t>Organization Name=PT Nawa Darsana Teknologi; Publisher=Microsoft; Publisher Customer ID=346fa229-7c19-44ef-85c6-29e00edf66cf; Unit Price=1842.297599999; ERP=4859.2563288126;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</si>
  <si>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Price=153.5247999982; ERP=47.932658202;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</si>
  <si>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Price=153.5247999983; ERP=53.1867758136;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</si>
  <si>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Price=153.5247999975; ERP=40.8345995772;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</si>
  <si>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Price=153.5247999981; ERP=239.0077505816;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</si>
  <si>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Price=153.52479995; ERP=0.5393204102;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</si>
  <si>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aks-managed-consolidated-additional-properties=45239e65-ea03-11f0-aa94-664ac880d383; aks-managed-creationSource=vmssclient-aks-monitoring-28944532-vmss; aks-managed-enable-imds-restriction=False; aks-managed-kubeletIdentityClientID=c5826f94-ec98-4f18-bd56-3490380ef971; aks-managed-operationID=1e2e1077-f7e7-448c-ad9a-be703a78a2a2; aks-managed-orchestrator=Kubernetes:1.33.5; aks-managed-poolName=monitoring; aks-managed-resourceNameSuffix=40247467.0; aks-managed-ssh-access=LocalUser; purpose=monitoring</t>
  </si>
  <si>
    <t>Organization Name=PT Nawa Darsana Teknologi; Publisher=Microsoft; Publisher Customer ID=346fa229-7c19-44ef-85c6-29e00edf66cf; Unit Price=153.5247999676; ERP=2.996341777; BenefitType=Charge; CDN=CDN</t>
  </si>
  <si>
    <t>Organization Name=PT Nawa Darsana Teknologi; Publisher=Microsoft; Publisher Customer ID=346fa229-7c19-44ef-85c6-29e00edf66cf; Unit Price=1228.1983999924; ERP=416.6398869776;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</si>
  <si>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Price=1228.1983999971; ERP=1394.430561095;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</si>
  <si>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Price=1025.8739710537; ERP=245.5308762764;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</si>
  <si>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Price=1228.1983999979; ERP=1540.1894155076;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</si>
  <si>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Price=1228.1983999975; ERP=1412.4320748824;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</si>
  <si>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Price=1228.1983999994; ERP=6945.7041042246;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</si>
  <si>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Price=1228.1983999997; ERP=8948.6645979302;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</si>
  <si>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Price=1228.1983999993; ERP=1056.0803702306;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</si>
  <si>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Price=1228.1983627238; ERP=0.0052495014;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</si>
  <si>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Price=153.5247996872; ERP=0.0241504978;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</si>
  <si>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Price=153.5248; ERP=16739.7504941524;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</si>
  <si>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Price=153.5247999999; ERP=1686.8353554052;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</si>
  <si>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Price=1228.198399021; ERP=3.639226877;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</si>
  <si>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Price=1228.1983999961; ERP=1056.5759953892;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</si>
  <si>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Organization Name=PT Nawa Darsana Teknologi; Publisher=Microsoft; Publisher Customer ID=346fa229-7c19-44ef-85c6-29e00edf66cf; Unit Price=76.7624; ERP=64899.12; BenefitType=Charge; aks-managed-cluster-name=cantaloupe; aks-managed-cluster-rg=rg-cantaloupe; CDN=CDN; Environment=Production; k8s-azure-cluster-name=kubernetes; k8s-azure-service=portainer/portainer-agent; MD=CDN; Product=CE</t>
  </si>
  <si>
    <t>Organization Name=PT Nawa Darsana Teknologi; Publisher=Microsoft; Publisher Customer ID=346fa229-7c19-44ef-85c6-29e00edf66cf; Unit Price=156702.7633599999; ERP=177843.924921806;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kubernetes.io-created-for-pv-name=pvc-9c16ea13-84af-49c3-8eab-3303d8542177</t>
  </si>
  <si>
    <t>Organization Name=PT Nawa Darsana Teknologi; Publisher=Microsoft; Publisher Customer ID=346fa229-7c19-44ef-85c6-29e00edf66cf; Unit Price=153.5247999984; ERP=232.7877543706;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</si>
  <si>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Price=153.5248; ERP=137745.5794407836;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</si>
  <si>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Organization Name=PT Nawa Darsana Teknologi; Publisher=Microsoft; Publisher Customer ID=346fa229-7c19-44ef-85c6-29e00edf66cf; Unit Price=1228.1983999897; ERP=82.4313049846;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</si>
  <si>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Price=1535.248; ERP=1297935.0107829534; BenefitType=Charge; CDN=CDN; Environment=Production; MD=CDN; Product=CE</t>
  </si>
  <si>
    <t>Organization Name=PT Nawa Darsana Teknologi; Publisher=Microsoft; Publisher Customer ID=346fa229-7c19-44ef-85c6-29e00edf66cf; Unit Price=153.5248; ERP=34416.430649601;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</si>
  <si>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Price=1228.1983999995; ERP=1050.7565715504; BenefitType=Charge; aks-managed-consolidated-additional-properties=4523a67a-ea03-11f0-aa94-664ac880d383; aks-managed-creationSource=vmssclient-aks-usereph2-16230473-vmss; aks-managed-enable-imds-restriction=False; aks-managed-kubeletIdentityClientID=c5826f94-ec98-4f18-bd56-3490380ef971; aks-managed-operationID=1e2e1077-f7e7-448c-ad9a-be703a78a2a2; aks-managed-orchestrator=Kubernetes:1.33.5; aks-managed-poolName=usereph2; aks-managed-resourceNameSuffix=40247467.0; aks-managed-ssh-access=LocalUser</t>
  </si>
  <si>
    <t>Organization Name=PT Nawa Darsana Teknologi; Publisher=Microsoft; Publisher Customer ID=346fa229-7c19-44ef-85c6-29e00edf66cf; Unit Price=153.5247999615; ERP=5.5542952322; BenefitType=Charge; CDN=CDN</t>
  </si>
  <si>
    <t>Organization Name=PT Nawa Darsana Teknologi; Publisher=Microsoft; Publisher Customer ID=346fa229-7c19-44ef-85c6-29e00edf66cf; Unit Price=302597.3808; ERP=51.579099;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</si>
  <si>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Organization Name=PT Nawa Darsana Teknologi; Publisher=Microsoft; Publisher Customer ID=346fa229-7c19-44ef-85c6-29e00edf66cf; Unit Price=383.812; ERP=324495.6; BenefitType=Charge; aks-managed-cluster-name=Cantaloupe; aks-managed-cluster-rg=rg-cantaloupe; CDN=CDN; Environment=Production; MD=CDN; Product=CE</t>
  </si>
  <si>
    <t>Organization Name=PT Nawa Darsana Teknologi; Publisher=Microsoft; Publisher Customer ID=346fa229-7c19-44ef-85c6-29e00edf66cf; Unit Price=429.8694399998; ERP=2689.974943656; BenefitType=Charge; CDC=CE; CDN=CDN</t>
  </si>
  <si>
    <t>Organization Name=PT Nawa Darsana Teknologi; Publisher=Microsoft; Publisher Customer ID=346fa229-7c19-44ef-85c6-29e00edf66cf; Unit Price=1680.050766141; ERP=1106.324708918; BenefitType=Charge; aks-managed-consolidated-additional-properties=45239e65-ea03-11f0-aa94-664ac880d383; aks-managed-creationSource=vmssclient-aks-monitoring-28944532-vmss; aks-managed-enable-imds-restriction=False; aks-managed-kubeletIdentityClientID=c5826f94-ec98-4f18-bd56-3490380ef971; aks-managed-operationID=1e2e1077-f7e7-448c-ad9a-be703a78a2a2; aks-managed-orchestrator=Kubernetes:1.33.5; aks-managed-poolName=monitoring; aks-managed-resourceNameSuffix=40247467.0; aks-managed-ssh-access=LocalUser; purpose=monitoring</t>
  </si>
  <si>
    <t>Organization Name=PT Nawa Darsana Teknologi; Publisher=Microsoft; Publisher Customer ID=346fa229-7c19-44ef-85c6-29e00edf66cf; Unit Price=6140.9919999977; ERP=2204.2602296; BenefitType=Charge; CDN=CDN</t>
  </si>
  <si>
    <t>D4 v3/D4s v3</t>
  </si>
  <si>
    <t>MC_RG-HPM_HAMALOMENA_SOUTHEASTASIA</t>
  </si>
  <si>
    <t>mc_rg-hpm_hamalomena_southeastasia</t>
  </si>
  <si>
    <t>RG-HPM</t>
  </si>
  <si>
    <t>rg-hpm</t>
  </si>
  <si>
    <t>aks-usereph2-29555450-vmss</t>
  </si>
  <si>
    <t>haruman</t>
  </si>
  <si>
    <t>aks-systemeph-26423959-vmss</t>
  </si>
  <si>
    <t>aks-yellow-to-database-haruman</t>
  </si>
  <si>
    <t>vpn-to-sql-haruaya</t>
  </si>
  <si>
    <t>aks-monitoring-35127aks-monitoring-351278OS__1_214c1a153a0143319f667b489ef95e90</t>
  </si>
  <si>
    <t>aks-monitoring-35127847-vmss</t>
  </si>
  <si>
    <t>aks-monitoring-35127aks-monitoring-351278OS__1_39fd6c8c950e4fb192afeee564472ea0</t>
  </si>
  <si>
    <t>redis-hamalomena-private-endpoint</t>
  </si>
  <si>
    <t>heatherhub-to-aks-salvia</t>
  </si>
  <si>
    <t>Hamalomena</t>
  </si>
  <si>
    <t>pvc-624e6198-1073-4457-9d7e-4b4c0e6d664a</t>
  </si>
  <si>
    <t>heatherhub</t>
  </si>
  <si>
    <t>CURL-API-HPM</t>
  </si>
  <si>
    <t>aks-hamalomena-to-sql-shared</t>
  </si>
  <si>
    <t>sql-haruaya-to-aks-salvia</t>
  </si>
  <si>
    <t>aks-to-sql-haruaya</t>
  </si>
  <si>
    <t>haruaya</t>
  </si>
  <si>
    <t>api-curl-hpm</t>
  </si>
  <si>
    <t>kubernetes-a6c68fd9ee6464d6fb2b84d6235d605a</t>
  </si>
  <si>
    <t>aks-monitoring-35127aks-monitoring-351278disk1_1055d070efbf4a9296db31d94949ecd5</t>
  </si>
  <si>
    <t>aks-monitoring-35127aks-monitoring-351278OS__1_652f4b1fb6be4286b32d412d2e9f0f43</t>
  </si>
  <si>
    <t>d59305fd-5a02-4048-9dbd-1891f90c834e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</si>
  <si>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</si>
  <si>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</si>
  <si>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"76.7624",
  "ERP": "244208.117860993",
  "BenefitType": "Charge",
  "aks-managed-cluster-name": "Hamalomena",
  "aks-managed-cluster-rg": "rg-hpm",
  "Environment": "Production",
  "Hayati": "CE",
  "MD": "Hayati",
  "Product": "CE"
}</t>
  </si>
  <si>
    <t>{
  "Organization Name": "PT Nawa Darsana Teknologi",
  "Publisher": "Microsoft",
  "Publisher Customer ID": "346fa229-7c19-44ef-85c6-29e00edf66cf",
  "Unit Price": "1228.1983999968",
  "ERP": "205.0369901008",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</si>
  <si>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"1228.1983999974",
  "ERP": "219.6863579196",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</si>
  <si>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"1228.198043016",
  "ERP": "0.0004675528",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</si>
  <si>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"1534.72601568",
  "ERP": "756898.966824",
  "BenefitType": "Charge"
}</t>
  </si>
  <si>
    <t>{
  "Organization Name": "PT Nawa Darsana Teknologi",
  "Publisher": "Microsoft",
  "Publisher Customer ID": "346fa229-7c19-44ef-85c6-29e00edf66cf",
  "Unit Price": "153.524799999",
  "ERP": "101.3316646056",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</si>
  <si>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"153.5247999817",
  "ERP": "0.531771526",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</si>
  <si>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"129798.24",
  "BenefitType": "Charge",
  "Hayati": "CE"
}</t>
  </si>
  <si>
    <t>{
  "Organization Name": "PT Nawa Darsana Teknologi",
  "Publisher": "Microsoft",
  "Publisher Customer ID": "346fa229-7c19-44ef-85c6-29e00edf66cf",
  "Unit Price": "153.5247999999",
  "ERP": "984.661207244",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</si>
  <si>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"153.5247999999",
  "ERP": "811.2972138128",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</si>
  <si>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"302597.3807999999",
  "ERP": "63314.37560448",
  "BenefitType": "Charge",
  "aks-managed-consolidated-additional-properties": "e46413e3-ea08-11f0-bf79-fe421b86da3b",
  "aks-managed-creationSource": "vmssclient-aks-monitoring-35127847-vmss",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"monitoring",
  "aks-managed-resourceNameSuffix": "41829248.0",
  "aks-managed-ssh-access": "LocalUser",
  "purpose": "monitoring"
}</t>
  </si>
  <si>
    <t>{
  "Organization Name": "PT Nawa Darsana Teknologi",
  "Publisher": "Microsoft",
  "Publisher Customer ID": "346fa229-7c19-44ef-85c6-29e00edf66cf",
  "Unit Price": "1228.1983990849",
  "ERP": "3.6482150562",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</si>
  <si>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</si>
  <si>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"302597.3807999999",
  "ERP": "280252.97125254",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</si>
  <si>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"76.7623999999",
  "ERP": "3767.515383775",
  "BenefitType": "Charge",
  "aks-managed-cluster-name": "hamalomena",
  "aks-managed-cluster-rg": "rg-hpm",
  "Environment": "Production",
  "Hayati": "CE",
  "MD": "Hayati",
  "Product": "CE"
}</t>
  </si>
  <si>
    <t>{
  "Organization Name": "PT Nawa Darsana Teknologi",
  "Publisher": "Microsoft",
  "Publisher Customer ID": "346fa229-7c19-44ef-85c6-29e00edf66cf",
  "Unit Price": "153.5247874216",
  "ERP": "0.0015980536",
  "BenefitType": "Charge",
  "Hayati": "CE"
}</t>
  </si>
  <si>
    <t>{
  "Organization Name": "PT Nawa Darsana Teknologi",
  "Publisher": "Microsoft",
  "Publisher Customer ID": "346fa229-7c19-44ef-85c6-29e00edf66cf",
  "Unit Price": "1228.1983662456",
  "ERP": "0.0007798362",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</si>
  <si>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"31847.3160042466",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</si>
  <si>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"153.5247999801",
  "ERP": "0.5973231264",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</si>
  <si>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"3932.2632671036",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</si>
  <si>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"153.5247987998",
  "ERP": "0.0261271296",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</si>
  <si>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"153.5247999997",
  "ERP": "635.3222275972",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</si>
  <si>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"129798.24",
  "BenefitType": "Charge",
  "Billing": "HPM"
}</t>
  </si>
  <si>
    <t>{
  "Organization Name": "PT Nawa Darsana Teknologi",
  "Publisher": "Microsoft",
  "Publisher Customer ID": "346fa229-7c19-44ef-85c6-29e00edf66cf",
  "Unit Price": "153.5248",
  "ERP": "129798.24",
  "BenefitType": "Charge",
  "CE": "CDC",
  "HPM": "HPM"
}</t>
  </si>
  <si>
    <t>{
  "Organization Name": "PT Nawa Darsana Teknologi",
  "Publisher": "Microsoft",
  "Publisher Customer ID": "346fa229-7c19-44ef-85c6-29e00edf66cf",
  "Unit Price": "1228.1983887445",
  "ERP": "0.019644196",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</si>
  <si>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"56041.5173863116",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</si>
  <si>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"1535.248",
  "ERP": "1297935.0107829534",
  "BenefitType": "Charge",
  "Environment": "Production",
  "Hayati": "CE",
  "MD": "Hayati",
  "Product": "CE"
}</t>
  </si>
  <si>
    <t>{
  "Organization Name": "PT Nawa Darsana Teknologi",
  "Publisher": "Microsoft",
  "Publisher Customer ID": "346fa229-7c19-44ef-85c6-29e00edf66cf",
  "Unit Price": "156702.7633599999",
  "ERP": "177905.893741862",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"pvc-624e6198-1073-4457-9d7e-4b4c0e6d664a"
}</t>
  </si>
  <si>
    <t>{
  "Organization Name": "PT Nawa Darsana Teknologi",
  "Publisher": "Microsoft",
  "Publisher Customer ID": "346fa229-7c19-44ef-85c6-29e00edf66cf",
  "Unit Price": "0.0",
  "ERP": "4.954664",
  "BenefitType": "Charge",
  "CE": "CDC",
  "HPM": "HPM"
}</t>
  </si>
  <si>
    <t>{
  "Organization Name": "PT Nawa Darsana Teknologi",
  "Publisher": "Microsoft",
  "Publisher Customer ID": "346fa229-7c19-44ef-85c6-29e00edf66cf",
  "Unit Price": "2368.904172042",
  "ERP": "8722.9999982554",
  "BenefitType": "Charge",
  "Hayati": "CE"
}</t>
  </si>
  <si>
    <t>{
  "Organization Name": "PT Nawa Darsana Teknologi",
  "Publisher": "Microsoft",
  "Publisher Customer ID": "346fa229-7c19-44ef-85c6-29e00edf66cf",
  "Unit Price": "153.5247999977",
  "ERP": "187.8978443056",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</si>
  <si>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"1228.1983874403",
  "ERP": "0.015064621",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</si>
  <si>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</si>
  <si>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"1842.2975999991",
  "ERP": "4698.8951671662",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</si>
  <si>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"1842.2975971229",
  "ERP": "0.0243860188",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</si>
  <si>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"1772.7832618577",
  "ERP": "184.111336552",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</si>
  <si>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"1842.2975989039",
  "ERP": "0.1584672518",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</si>
  <si>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"1842.2975999922",
  "ERP": "654.2980882724",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</si>
  <si>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"2368.904172042",
  "ERP": "8722.9999982554",
  "BenefitType": "Charge",
  "Billing": "HPM"
}</t>
  </si>
  <si>
    <t>{
  "Organization Name": "PT Nawa Darsana Teknologi",
  "Publisher": "Microsoft",
  "Publisher Customer ID": "346fa229-7c19-44ef-85c6-29e00edf66cf",
  "Unit Price": "6140.992",
  "ERP": "2603.9829816",
  "BenefitType": "Charge",
  "Billing": "HPM"
}</t>
  </si>
  <si>
    <t>{
  "Organization Name": "PT Nawa Darsana Teknologi",
  "Publisher": "Microsoft",
  "Publisher Customer ID": "346fa229-7c19-44ef-85c6-29e00edf66cf",
  "Unit Price": "153.5247998486",
  "ERP": "0.0798276622",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</si>
  <si>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"153.5247999921",
  "ERP": "12.6463908142",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</si>
  <si>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"153.5247999379",
  "ERP": "0.0486534048",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</si>
  <si>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"1534.72601568",
  "ERP": "3676366.410288",
  "BenefitType": "Charge"
}</t>
  </si>
  <si>
    <t>{
  "Organization Name": "PT Nawa Darsana Teknologi",
  "Publisher": "Microsoft",
  "Publisher Customer ID": "346fa229-7c19-44ef-85c6-29e00edf66cf",
  "Unit Price": "153.5247999704",
  "ERP": "15.9193424104",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</si>
  <si>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"2.24146208",
  "ERP": "6355.05442",
  "BenefitType": "Charge"
}</t>
  </si>
  <si>
    <t>{
  "Organization Name": "PT Nawa Darsana Teknologi",
  "Publisher": "Microsoft",
  "Publisher Customer ID": "346fa229-7c19-44ef-85c6-29e00edf66cf",
  "Unit Price": "3838.12",
  "ERP": "4361.5",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</si>
  <si>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"1010.3517885877",
  "ERP": "403.495719913",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</si>
  <si>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"1228.1983999985",
  "ERP": "2068.7807241244",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</si>
  <si>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"153.5247976001",
  "ERP": "0.0127425584",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</si>
  <si>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"153.5247999867",
  "ERP": "0.8271357952",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</si>
  <si>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</si>
  <si>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"e46413e3-ea08-11f0-bf79-fe421b86da3b",
  "aks-managed-creationSource": "vmssclient-aks-monitoring-35127847-vmss",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"monitoring",
  "aks-managed-resourceNameSuffix": "41829248.0",
  "aks-managed-ssh-access": "LocalUser",
  "purpose": "monitoring"
}</t>
  </si>
  <si>
    <t>{
  "Organization Name": "PT Nawa Darsana Teknologi",
  "Publisher": "Microsoft",
  "Publisher Customer ID": "346fa229-7c19-44ef-85c6-29e00edf66cf",
  "Unit Price": "153.5247998239",
  "ERP": "0.0660662574",
  "BenefitType": "Charge",
  "Hayati": "CE"
}</t>
  </si>
  <si>
    <t>{
  "Organization Name": "PT Nawa Darsana Teknologi",
  "Publisher": "Microsoft",
  "Publisher Customer ID": "346fa229-7c19-44ef-85c6-29e00edf66cf",
  "Unit Price": "153.5247999999",
  "ERP": "4464.3284930244",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</si>
  <si>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"6107.0636158532",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</si>
  <si>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"1069.302857623",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</si>
  <si>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"1228.198043016",
  "ERP": "0.0003105388",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</si>
  <si>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"1228.198043016",
  "ERP": "0.0001552694",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</si>
  <si>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"129798.24",
  "BenefitType": "Charge",
  "HPM": "HPM"
}</t>
  </si>
  <si>
    <t>{
  "Organization Name": "PT Nawa Darsana Teknologi",
  "Publisher": "Microsoft",
  "Publisher Customer ID": "346fa229-7c19-44ef-85c6-29e00edf66cf",
  "Unit Price": "153.5247999915",
  "ERP": "11.2602223734",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</si>
  <si>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"3838.12",
  "ERP": "12869.21636",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</si>
  <si>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"3562.778505",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</si>
  <si>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"153.5247999986",
  "ERP": "74.6077527052",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</si>
  <si>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"153.5247999976",
  "ERP": "20.063135521",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</si>
  <si>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"153.5247999982",
  "ERP": "290.480235331",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</si>
  <si>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"153.5247999989",
  "ERP": "321.531934581",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</si>
  <si>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"153.5247999932",
  "ERP": "32.5979347408",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</si>
  <si>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"153.5247977126",
  "ERP": "0.0133182764",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</si>
  <si>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"153.5247999982",
  "ERP": "56.5263100688",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</si>
  <si>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"153.5247999986",
  "ERP": "302.8755851836",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</si>
  <si>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"1228.1983989046",
  "ERP": "0.773703931",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</si>
  <si>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"1228.1983990924",
  "ERP": "0.8244334098",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</si>
  <si>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"1228.1983970465",
  "ERP": "0.0111846306",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</si>
  <si>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"153.5247999716",
  "ERP": "4.789572502",
  "BenefitType": "Charge",
  "Hayati": "CE"
}</t>
  </si>
  <si>
    <t>{
  "Organization Name": "PT Nawa Darsana Teknologi",
  "Publisher": "Microsoft",
  "Publisher Customer ID": "346fa229-7c19-44ef-85c6-29e00edf66cf",
  "Unit Price": "153.524799948",
  "ERP": "3.001523239",
  "BenefitType": "Charge",
  "Hayati": "CE"
}</t>
  </si>
  <si>
    <t>{
  "Organization Name": "PT Nawa Darsana Teknologi",
  "Publisher": "Microsoft",
  "Publisher Customer ID": "346fa229-7c19-44ef-85c6-29e00edf66cf",
  "Unit Price": "1228.1983990756",
  "ERP": "0.8212216012",
  "BenefitType": "Charge",
  "aks-managed-consolidated-additional-properties": "e46413e3-ea08-11f0-bf79-fe421b86da3b",
  "aks-managed-creationSource": "vmssclient-aks-monitoring-35127847-vmss",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"monitoring",
  "aks-managed-resourceNameSuffix": "41829248.0",
  "aks-managed-ssh-access": "LocalUser",
  "purpose": "monitoring"
}</t>
  </si>
  <si>
    <t>{
  "Organization Name": "PT Nawa Darsana Teknologi",
  "Publisher": "Microsoft",
  "Publisher Customer ID": "346fa229-7c19-44ef-85c6-29e00edf66cf",
  "Unit Price": "1228.1983999968",
  "ERP": "206.6918478768",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</si>
  <si>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"153.5247999653",
  "ERP": "10.731366074",
  "BenefitType": "Charge",
  "Hayati": "CE"
}</t>
  </si>
  <si>
    <t>{
  "Organization Name": "PT Nawa Darsana Teknologi",
  "Publisher": "Microsoft",
  "Publisher Customer ID": "346fa229-7c19-44ef-85c6-29e00edf66cf",
  "Unit Price": "1228.1983999991",
  "ERP": "3498.4244835254",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</si>
  <si>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"1228.1983982919",
  "ERP": "0.031987241",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</si>
  <si>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"Hamalomena",
  "aks-managed-cluster-rg": "rg-hpm",
  "Environment": "Production",
  "Hayati": "CE",
  "MD": "Hayati",
  "Product": "CE"
}</t>
  </si>
  <si>
    <t>{
  "Organization Name": "PT Nawa Darsana Teknologi",
  "Publisher": "Microsoft",
  "Publisher Customer ID": "346fa229-7c19-44ef-85c6-29e00edf66cf",
  "Unit Price": "0.44522192",
  "ERP": "212.49228",
  "BenefitType": "Charge"
}</t>
  </si>
  <si>
    <t>{
  "Organization Name": "PT Nawa Darsana Teknologi",
  "Publisher": "Microsoft",
  "Publisher Customer ID": "346fa229-7c19-44ef-85c6-29e00edf66cf",
  "Unit Price": "153.5247999889",
  "ERP": "39.1124874712",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</si>
  <si>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"153.524799899",
  "ERP": "1.433293576",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</si>
  <si>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"153.5247999984",
  "ERP": "57.3470222468",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</si>
  <si>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"1228.1983969397",
  "ERP": "0.0175733558",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</si>
  <si>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"153.522263833",
  "ERP": "8.723e-06",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</si>
  <si>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"492.8440498696",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</si>
  <si>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"1842.2975999726",
  "ERP": "5.2596043786",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</si>
  <si>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"1681.7950815864",
  "ERP": "1102.0410198226",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</si>
  <si>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"153.5247999999",
  "ERP": "844.7065881826",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</si>
  <si>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"153.5247998967",
  "ERP": "0.1909150672",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</si>
  <si>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"1842.2965503045",
  "ERP": "0.0002564562",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</si>
  <si>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"1678.8344796072",
  "ERP": "14.9325338448",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</si>
  <si>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"1842.2975999925",
  "ERP": "691.553046041",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</si>
  <si>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"1842.2975999535",
  "ERP": "67.7499691154",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</si>
  <si>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"1842.2975723638",
  "ERP": "0.0128245546",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</si>
  <si>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"1842.2975999671",
  "ERP": "136.6911912366",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</si>
  <si>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"1228.1983941445",
  "ERP": "0.0290929496",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</si>
  <si>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"1228.1983988575",
  "ERP": "0.0996096816",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</si>
  <si>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"1228.1983999943",
  "ERP": "581.969224551",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</si>
  <si>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"1228.1983999917",
  "ERP": "200.4676000756",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</si>
  <si>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"4967.0029853158",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</si>
  <si>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"945.006205",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</si>
  <si>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"8970.6555548324",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</si>
  <si>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"153.5248",
  "ERP": "8592.342125796",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</si>
  <si>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"230287.1999999971",
  "ERP": "260986.5322571078",
  "BenefitType": "Charge",
  "Product": "CE"
}</t>
  </si>
  <si>
    <t>{
  "Organization Name": "PT Nawa Darsana Teknologi",
  "Publisher": "Microsoft",
  "Publisher Customer ID": "346fa229-7c19-44ef-85c6-29e00edf66cf",
  "Unit Price": "1228.198399999",
  "ERP": "243.904945713",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</si>
  <si>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"153.5247999973",
  "ERP": "6.391281039",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</si>
  <si>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"153.524798946",
  "ERP": "0.0293075354",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</si>
  <si>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"46049.342569945",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</si>
  <si>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"460.5744",
  "ERP": "389394.72",
  "BenefitType": "Charge",
  "CE": "CDC",
  "HPM": "HPM"
}</t>
  </si>
  <si>
    <t>{
  "Organization Name": "PT Nawa Darsana Teknologi",
  "Publisher": "Microsoft",
  "Publisher Customer ID": "346fa229-7c19-44ef-85c6-29e00edf66cf",
  "Unit Price": "1842.2975999203",
  "ERP": "2.2610748732",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</si>
  <si>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"1739.4948168494",
  "ERP": "139.0848138394",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</si>
  <si>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"1842.2975999942",
  "ERP": "755.6049743242",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</si>
  <si>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"8.9812008",
  "ERP": "338019.7392",
  "BenefitType": "Charge"
}</t>
  </si>
  <si>
    <t>{
  "Organization Name": "PT Nawa Darsana Teknologi",
  "Publisher": "Microsoft",
  "Publisher Customer ID": "346fa229-7c19-44ef-85c6-29e00edf66cf",
  "Unit Price": "1774.6602451674",
  "ERP": "146.2341288122",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</si>
  <si>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"1842.2975963071",
  "ERP": "0.0815216688",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</si>
  <si>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"1842.2975999932",
  "ERP": "53.2373709582",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</si>
  <si>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"1842.2965502895",
  "ERP": "0.0001273558",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</si>
  <si>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"1842.2975907774",
  "ERP": "0.0241051382",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</si>
  <si>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"429.869439999",
  "ERP": "631.811356176",
  "BenefitType": "Charge",
  "CE": "CDC",
  "HPM": "HPM"
}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</si>
  <si>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"hamalomena",
  "aks-managed-cluster-rg": "rg-hpm",
  "Environment": "Production",
  "Hayati": "CE",
  "k8s-azure-cluster-name": "kubernetes",
  "k8s-azure-service": "portainer/portainer-agent",
  "MD": "Hayati",
  "Product": "CE"
}</t>
  </si>
  <si>
    <t>{
  "Organization Name": "PT Nawa Darsana Teknologi",
  "Publisher": "Microsoft",
  "Publisher Customer ID": "346fa229-7c19-44ef-85c6-29e00edf66cf",
  "Unit Price": "1681.5055249387",
  "ERP": "14.5921257482",
  "BenefitType": "Charge",
  "aks-managed-consolidated-additional-properties": "e46413e3-ea08-11f0-bf79-fe421b86da3b",
  "aks-managed-creationSource": "vmssclient-aks-monitoring-35127847-vmss",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"monitoring",
  "aks-managed-resourceNameSuffix": "41829248.0",
  "aks-managed-ssh-access": "LocalUser",
  "purpose": "monitoring"
}</t>
  </si>
  <si>
    <t>{
  "Organization Name": "PT Nawa Darsana Teknologi",
  "Publisher": "Microsoft",
  "Publisher Customer ID": "346fa229-7c19-44ef-85c6-29e00edf66cf",
  "Unit Price": "1842.2975985689",
  "ERP": "0.2315555242",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</si>
  <si>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"153.5247999982",
  "ERP": "198.799882853",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</si>
  <si>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"153.5247881175",
  "ERP": "0.00244244",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</si>
  <si>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"153.5247999138",
  "ERP": "0.8489118924",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</si>
  <si>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"153.524799997",
  "ERP": "27.1738041146",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</si>
  <si>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"153.524799995",
  "ERP": "26.779514047",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</si>
  <si>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"153.5247999981",
  "ERP": "41.0137560404",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</si>
  <si>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"153.5247983843",
  "ERP": "0.0112945404",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</si>
  <si>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"153.524799998",
  "ERP": "187.0559893202",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</si>
  <si>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"1228.1983999018",
  "ERP": "1.0737943216",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</si>
  <si>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"1006.5865432824",
  "ERP": "565.427119257",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</si>
  <si>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"1010.6823583103",
  "ERP": "449.04817672",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</si>
  <si>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"1228.1983998271",
  "ERP": "0.3354900692",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</si>
  <si>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"1228.1983988805",
  "ERP": "0.1366143922",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</si>
  <si>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"1031.0729503697",
  "ERP": "128.1665958716",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</si>
  <si>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"1228.1983971417",
  "ERP": "0.035354319",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</si>
  <si>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"1228.1983997943",
  "ERP": "0.8989557434",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</si>
  <si>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"1228.198398947",
  "ERP": "0.1060175974",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</si>
  <si>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"1228.1983852955",
  "ERP": "0.0146424278",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</si>
  <si>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"1228.1983999986",
  "ERP": "2277.4752088088",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</si>
  <si>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"1228.1983999929",
  "ERP": "462.3983688324",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</si>
  <si>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"153.5247999358",
  "ERP": "4.6936247358",
  "BenefitType": "Charge",
  "Hayati": "CE"
}</t>
  </si>
  <si>
    <t>{
  "Organization Name": "PT Nawa Darsana Teknologi",
  "Publisher": "Microsoft",
  "Publisher Customer ID": "346fa229-7c19-44ef-85c6-29e00edf66cf",
  "Unit Price": "153.5247999997",
  "ERP": "213.8322601558",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</si>
  <si>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"153.524799996",
  "ERP": "23.2203311626",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</si>
  <si>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"153.524059541",
  "ERP": "1.7446e-05",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</si>
  <si>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"6267.7553181386",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</si>
  <si>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"5743.266815",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</si>
  <si>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"1.003145",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</si>
  <si>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"153.5247993926",
  "ERP": "0.0388138608",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</si>
  <si>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"153.5247999396",
  "ERP": "0.0177844524",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</si>
  <si>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"153.5247999909",
  "ERP": "20.9526494892",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</si>
  <si>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"153.5247999979",
  "ERP": "11.3136333024",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</si>
  <si>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"1028.8289832772",
  "ERP": "99.5441387226",
  "BenefitType": "Charge",
  "aks-managed-consolidated-additional-properties": "e46413e3-ea08-11f0-bf79-fe421b86da3b",
  "aks-managed-creationSource": "vmssclient-aks-monitoring-35127847-vmss",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"monitoring",
  "aks-managed-resourceNameSuffix": "41829248.0",
  "aks-managed-ssh-access": "LocalUser",
  "purpose": "monitoring"
}</t>
  </si>
  <si>
    <t>{
  "Organization Name": "PT Nawa Darsana Teknologi",
  "Publisher": "Microsoft",
  "Publisher Customer ID": "346fa229-7c19-44ef-85c6-29e00edf66cf",
  "Unit Price": "1011.937674549",
  "ERP": "66.081618603",
  "BenefitType": "Charge",
  "aks-managed-consolidated-additional-properties": "e4642eba-ea08-11f0-bf79-fe421b86da3b",
  "aks-managed-creationSource": "vmssclient-aks-systemeph-26423959-vmss",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"systemeph",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</si>
  <si>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"1228.1983990697",
  "ERP": "0.1102290618",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</si>
  <si>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"1228.1983920208",
  "ERP": "0.0155164724",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</si>
  <si>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"1228.1983999983",
  "ERP": "1829.0959553438",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</si>
  <si>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"1228.1983999995",
  "ERP": "723.3103191028",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</si>
  <si>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"1228.1983999991",
  "ERP": "3669.2116085482",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</si>
  <si>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"1228.1983998875",
  "ERP": "0.352121341",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</si>
  <si>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"1228.1983999991",
  "ERP": "3129.8699072498",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</si>
  <si>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"153.5247999989",
  "ERP": "385.224454329",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</si>
  <si>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"1228.198043016",
  "ERP": "0.0001552694",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</si>
  <si>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"1228.198399997",
  "ERP": "580.1246136114",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</si>
  <si>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"1228.1983999663",
  "ERP": "101.2513711352",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</si>
  <si>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"153.5247999862",
  "ERP": "2.189281094",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</si>
  <si>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"153.5247999997",
  "ERP": "1345.2582320034",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</si>
  <si>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"9686.8309902936",
  "BenefitType": "Charge",
  "aks-managed-consolidated-additional-properties": "e4642263-ea08-11f0-bf79-fe421b86da3b",
  "aks-managed-creationSource": "vmssclient-aks-usereph2-29555450-vmss",
  "aks-managed-enable-imds-restriction": "False",
  "aks-managed-kubeletIdentityClientID": "7a362009-e35e-4c70-b3ae-c3b865d60358",
  "aks-managed-operationID": "04dad870-bcfc-4b75-bd10-975af82078e0",
  "aks-managed-orchestrator": "Kubernetes:1.33.5",
  "aks-managed-poolName": "usereph2",
  "aks-managed-resourceNameSuffix": "41829248.0",
  "aks-managed-ssh-access": "LocalUser"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</si>
  <si>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"hamalomena",
  "aks-managed-cluster-rg": "rg-hpm",
  "Environment": "Production",
  "Hayati": "CE",
  "MD": "Hayati",
  "Product": "CE"
}</t>
  </si>
  <si>
    <t>{
  "Organization Name": "PT Nawa Darsana Teknologi",
  "Publisher": "Microsoft",
  "Publisher Customer ID": "346fa229-7c19-44ef-85c6-29e00edf66cf",
  "Unit Price": "1842.2975997907",
  "ERP": "1.2242922406",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</si>
  <si>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"6140.9919999759",
  "ERP": "995.6153046554",
  "BenefitType": "Charge",
  "Hayati": "CE"
}</t>
  </si>
  <si>
    <t>{
  "Organization Name": "PT Nawa Darsana Teknologi",
  "Publisher": "Microsoft",
  "Publisher Customer ID": "346fa229-7c19-44ef-85c6-29e00edf66cf",
  "Unit Price": "302597.3808",
  "ERP": "300.53421684",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</si>
  <si>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"2118.6422399999",
  "ERP": "156490.62",
  "BenefitType": "Charge"
}</t>
  </si>
  <si>
    <t>{
  "Organization Name": "PT Nawa Darsana Teknologi",
  "Publisher": "Microsoft",
  "Publisher Customer ID": "346fa229-7c19-44ef-85c6-29e00edf66cf",
  "Unit Price": "302597.3808",
  "ERP": "44.35802514",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</si>
  <si>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"Hamalomena",
  "aks-managed-cluster-rg": "rg-hpm",
  "aks-managed-type": "aks-slb-managed-outbound-ip",
  "Environment": "Production",
  "Hayati": "CE",
  "MD": "Hayati",
  "Product": "CE"
}</t>
  </si>
  <si>
    <t>{
  "Organization Name": "PT Nawa Darsana Teknologi",
  "Publisher": "Microsoft",
  "Publisher Customer ID": "346fa229-7c19-44ef-85c6-29e00edf66cf",
  "Unit Price": "2155.4881919729",
  "ERP": "42.8319659482",
  "BenefitType": "Charge"
}</t>
  </si>
  <si>
    <t>{
  "Organization Name": "PT Nawa Darsana Teknologi",
  "Publisher": "Microsoft",
  "Publisher Customer ID": "346fa229-7c19-44ef-85c6-29e00edf66cf",
  "Unit Price": "1842.2975982841",
  "ERP": "0.0177007116",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</si>
  <si>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{
  "Organization Name": "PT Nawa Darsana Teknologi",
  "Publisher": "Microsoft",
  "Publisher Customer ID": "346fa229-7c19-44ef-85c6-29e00edf66cf",
  "Unit Price": "6140.992",
  "ERP": "945.3498912",
  "BenefitType": "Charge",
  "Billing": "HPM"
}</t>
  </si>
  <si>
    <t>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</si>
  <si>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</si>
  <si>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Price=76.7624; ERP=244208.117860993; BenefitType=Charge; aks-managed-cluster-name=Hamalomena; aks-managed-cluster-rg=rg-hpm; Environment=Production; Hayati=CE; MD=Hayati; Product=CE</t>
  </si>
  <si>
    <t>Organization Name=PT Nawa Darsana Teknologi; Publisher=Microsoft; Publisher Customer ID=346fa229-7c19-44ef-85c6-29e00edf66cf; Unit Price=1228.1983999968; ERP=205.0369901008;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</si>
  <si>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Price=1228.1983999974; ERP=219.6863579196;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</si>
  <si>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Price=1228.198043016; ERP=0.0004675528;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</si>
  <si>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Price=1534.72601568; ERP=756898.966824; BenefitType=Charge</t>
  </si>
  <si>
    <t>Organization Name=PT Nawa Darsana Teknologi; Publisher=Microsoft; Publisher Customer ID=346fa229-7c19-44ef-85c6-29e00edf66cf; Unit Price=153.524799999; ERP=101.3316646056;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</si>
  <si>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Price=153.5247999817; ERP=0.531771526;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</si>
  <si>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Price=153.5248; ERP=129798.24; BenefitType=Charge; Hayati=CE</t>
  </si>
  <si>
    <t>Organization Name=PT Nawa Darsana Teknologi; Publisher=Microsoft; Publisher Customer ID=346fa229-7c19-44ef-85c6-29e00edf66cf; Unit Price=153.5247999999; ERP=984.661207244;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</si>
  <si>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Price=153.5247999999; ERP=811.2972138128;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</si>
  <si>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Price=302597.3807999999; ERP=63314.37560448; BenefitType=Charge; aks-managed-consolidated-additional-properties=e46413e3-ea08-11f0-bf79-fe421b86da3b; aks-managed-creationSource=vmssclient-aks-monitoring-35127847-vmss; aks-managed-enable-imds-restriction=False; aks-managed-kubeletIdentityClientID=7a362009-e35e-4c70-b3ae-c3b865d60358; aks-managed-operationID=04dad870-bcfc-4b75-bd10-975af82078e0; aks-managed-orchestrator=Kubernetes:1.33.5; aks-managed-poolName=monitoring; aks-managed-resourceNameSuffix=41829248.0; aks-managed-ssh-access=LocalUser; purpose=monitoring</t>
  </si>
  <si>
    <t>Organization Name=PT Nawa Darsana Teknologi; Publisher=Microsoft; Publisher Customer ID=346fa229-7c19-44ef-85c6-29e00edf66cf; Unit Price=1228.1983990849; ERP=3.6482150562;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</si>
  <si>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</si>
  <si>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Price=302597.3807999999; ERP=280252.97125254;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</si>
  <si>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Price=76.7623999999; ERP=3767.515383775; BenefitType=Charge; aks-managed-cluster-name=hamalomena; aks-managed-cluster-rg=rg-hpm; Environment=Production; Hayati=CE; MD=Hayati; Product=CE</t>
  </si>
  <si>
    <t>Organization Name=PT Nawa Darsana Teknologi; Publisher=Microsoft; Publisher Customer ID=346fa229-7c19-44ef-85c6-29e00edf66cf; Unit Price=153.5247874216; ERP=0.0015980536; BenefitType=Charge; Hayati=CE</t>
  </si>
  <si>
    <t>Organization Name=PT Nawa Darsana Teknologi; Publisher=Microsoft; Publisher Customer ID=346fa229-7c19-44ef-85c6-29e00edf66cf; Unit Price=1228.1983662456; ERP=0.0007798362;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</si>
  <si>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Price=153.5248; ERP=31847.3160042466;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</si>
  <si>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Price=153.5247999801; ERP=0.5973231264;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</si>
  <si>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Price=153.5248; ERP=3932.2632671036;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</si>
  <si>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Price=153.5247987998; ERP=0.0261271296;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</si>
  <si>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Price=153.5247999997; ERP=635.3222275972;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</si>
  <si>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Price=153.5248; ERP=129798.24; BenefitType=Charge; Billing=HPM</t>
  </si>
  <si>
    <t>Organization Name=PT Nawa Darsana Teknologi; Publisher=Microsoft; Publisher Customer ID=346fa229-7c19-44ef-85c6-29e00edf66cf; Unit Price=153.5248; ERP=129798.24; BenefitType=Charge; CE=CDC; HPM=HPM</t>
  </si>
  <si>
    <t>Organization Name=PT Nawa Darsana Teknologi; Publisher=Microsoft; Publisher Customer ID=346fa229-7c19-44ef-85c6-29e00edf66cf; Unit Price=1228.1983887445; ERP=0.019644196;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</si>
  <si>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Price=153.5248; ERP=56041.5173863116;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</si>
  <si>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Price=1535.248; ERP=1297935.0107829534; BenefitType=Charge; Environment=Production; Hayati=CE; MD=Hayati; Product=CE</t>
  </si>
  <si>
    <t>Organization Name=PT Nawa Darsana Teknologi; Publisher=Microsoft; Publisher Customer ID=346fa229-7c19-44ef-85c6-29e00edf66cf; Unit Price=156702.7633599999; ERP=177905.893741862;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kubernetes.io-created-for-pv-name=pvc-624e6198-1073-4457-9d7e-4b4c0e6d664a</t>
  </si>
  <si>
    <t>Organization Name=PT Nawa Darsana Teknologi; Publisher=Microsoft; Publisher Customer ID=346fa229-7c19-44ef-85c6-29e00edf66cf; Unit Price=0.0; ERP=4.954664; BenefitType=Charge; CE=CDC; HPM=HPM</t>
  </si>
  <si>
    <t>Organization Name=PT Nawa Darsana Teknologi; Publisher=Microsoft; Publisher Customer ID=346fa229-7c19-44ef-85c6-29e00edf66cf; Unit Price=2368.904172042; ERP=8722.9999982554; BenefitType=Charge; Hayati=CE</t>
  </si>
  <si>
    <t>Organization Name=PT Nawa Darsana Teknologi; Publisher=Microsoft; Publisher Customer ID=346fa229-7c19-44ef-85c6-29e00edf66cf; Unit Price=153.5247999977; ERP=187.8978443056;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</si>
  <si>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Price=1228.1983874403; ERP=0.015064621;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</si>
  <si>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</si>
  <si>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Price=1842.2975999991; ERP=4698.8951671662;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</si>
  <si>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Price=1842.2975971229; ERP=0.0243860188;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</si>
  <si>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Price=1772.7832618577; ERP=184.111336552;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</si>
  <si>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Price=1842.2975989039; ERP=0.1584672518;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</si>
  <si>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Price=1842.2975999922; ERP=654.2980882724;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</si>
  <si>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Price=2368.904172042; ERP=8722.9999982554; BenefitType=Charge; Billing=HPM</t>
  </si>
  <si>
    <t>Organization Name=PT Nawa Darsana Teknologi; Publisher=Microsoft; Publisher Customer ID=346fa229-7c19-44ef-85c6-29e00edf66cf; Unit Price=6140.992; ERP=2603.9829816; BenefitType=Charge; Billing=HPM</t>
  </si>
  <si>
    <t>Organization Name=PT Nawa Darsana Teknologi; Publisher=Microsoft; Publisher Customer ID=346fa229-7c19-44ef-85c6-29e00edf66cf; Unit Price=153.5247998486; ERP=0.0798276622;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</si>
  <si>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Price=153.5247999921; ERP=12.6463908142;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</si>
  <si>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Price=153.5247999379; ERP=0.0486534048;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</si>
  <si>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Price=1534.72601568; ERP=3676366.410288; BenefitType=Charge</t>
  </si>
  <si>
    <t>Organization Name=PT Nawa Darsana Teknologi; Publisher=Microsoft; Publisher Customer ID=346fa229-7c19-44ef-85c6-29e00edf66cf; Unit Price=153.5247999704; ERP=15.9193424104;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</si>
  <si>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Price=2.24146208; ERP=6355.05442; BenefitType=Charge</t>
  </si>
  <si>
    <t>Organization Name=PT Nawa Darsana Teknologi; Publisher=Microsoft; Publisher Customer ID=346fa229-7c19-44ef-85c6-29e00edf66cf; Unit Price=3838.12; ERP=4361.5;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</si>
  <si>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Price=1010.3517885877; ERP=403.495719913;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</si>
  <si>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Price=1228.1983999985; ERP=2068.7807241244;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</si>
  <si>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Price=153.5247976001; ERP=0.0127425584;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</si>
  <si>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Price=153.5247999867; ERP=0.8271357952;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</si>
  <si>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</si>
  <si>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Price=0.0; ERP=0.0; BenefitType=Charge; aks-managed-consolidated-additional-properties=e46413e3-ea08-11f0-bf79-fe421b86da3b; aks-managed-creationSource=vmssclient-aks-monitoring-35127847-vmss; aks-managed-enable-imds-restriction=False; aks-managed-kubeletIdentityClientID=7a362009-e35e-4c70-b3ae-c3b865d60358; aks-managed-operationID=04dad870-bcfc-4b75-bd10-975af82078e0; aks-managed-orchestrator=Kubernetes:1.33.5; aks-managed-poolName=monitoring; aks-managed-resourceNameSuffix=41829248.0; aks-managed-ssh-access=LocalUser; purpose=monitoring</t>
  </si>
  <si>
    <t>Organization Name=PT Nawa Darsana Teknologi; Publisher=Microsoft; Publisher Customer ID=346fa229-7c19-44ef-85c6-29e00edf66cf; Unit Price=153.5247998239; ERP=0.0660662574; BenefitType=Charge; Hayati=CE</t>
  </si>
  <si>
    <t>Organization Name=PT Nawa Darsana Teknologi; Publisher=Microsoft; Publisher Customer ID=346fa229-7c19-44ef-85c6-29e00edf66cf; Unit Price=153.5247999999; ERP=4464.3284930244;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</si>
  <si>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Price=153.5247999999; ERP=6107.0636158532;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</si>
  <si>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Price=153.5247999999; ERP=1069.302857623;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</si>
  <si>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Price=1228.198043016; ERP=0.0003105388;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</si>
  <si>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Price=1228.198043016; ERP=0.0001552694;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</si>
  <si>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Price=153.5248; ERP=129798.24; BenefitType=Charge; HPM=HPM</t>
  </si>
  <si>
    <t>Organization Name=PT Nawa Darsana Teknologi; Publisher=Microsoft; Publisher Customer ID=346fa229-7c19-44ef-85c6-29e00edf66cf; Unit Price=153.5247999915; ERP=11.2602223734;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</si>
  <si>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Price=3838.12; ERP=12869.21636;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</si>
  <si>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Price=3838.12; ERP=3562.778505;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</si>
  <si>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Price=153.5247999986; ERP=74.6077527052;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</si>
  <si>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Price=153.5247999976; ERP=20.063135521;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</si>
  <si>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Price=153.5247999982; ERP=290.480235331;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</si>
  <si>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Price=153.5247999989; ERP=321.531934581;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</si>
  <si>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Price=153.5247999932; ERP=32.5979347408;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</si>
  <si>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Price=153.5247977126; ERP=0.0133182764;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</si>
  <si>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Price=153.5247999982; ERP=56.5263100688;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</si>
  <si>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Price=153.5247999986; ERP=302.8755851836;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</si>
  <si>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Price=1228.1983989046; ERP=0.773703931;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</si>
  <si>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Price=1228.1983990924; ERP=0.8244334098;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</si>
  <si>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Price=1228.1983970465; ERP=0.0111846306;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</si>
  <si>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Price=153.5247999716; ERP=4.789572502; BenefitType=Charge; Hayati=CE</t>
  </si>
  <si>
    <t>Organization Name=PT Nawa Darsana Teknologi; Publisher=Microsoft; Publisher Customer ID=346fa229-7c19-44ef-85c6-29e00edf66cf; Unit Price=153.524799948; ERP=3.001523239; BenefitType=Charge; Hayati=CE</t>
  </si>
  <si>
    <t>Organization Name=PT Nawa Darsana Teknologi; Publisher=Microsoft; Publisher Customer ID=346fa229-7c19-44ef-85c6-29e00edf66cf; Unit Price=1228.1983990756; ERP=0.8212216012; BenefitType=Charge; aks-managed-consolidated-additional-properties=e46413e3-ea08-11f0-bf79-fe421b86da3b; aks-managed-creationSource=vmssclient-aks-monitoring-35127847-vmss; aks-managed-enable-imds-restriction=False; aks-managed-kubeletIdentityClientID=7a362009-e35e-4c70-b3ae-c3b865d60358; aks-managed-operationID=04dad870-bcfc-4b75-bd10-975af82078e0; aks-managed-orchestrator=Kubernetes:1.33.5; aks-managed-poolName=monitoring; aks-managed-resourceNameSuffix=41829248.0; aks-managed-ssh-access=LocalUser; purpose=monitoring</t>
  </si>
  <si>
    <t>Organization Name=PT Nawa Darsana Teknologi; Publisher=Microsoft; Publisher Customer ID=346fa229-7c19-44ef-85c6-29e00edf66cf; Unit Price=1228.1983999968; ERP=206.6918478768;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</si>
  <si>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Price=153.5247999653; ERP=10.731366074; BenefitType=Charge; Hayati=CE</t>
  </si>
  <si>
    <t>Organization Name=PT Nawa Darsana Teknologi; Publisher=Microsoft; Publisher Customer ID=346fa229-7c19-44ef-85c6-29e00edf66cf; Unit Price=1228.1983999991; ERP=3498.4244835254;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</si>
  <si>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Price=1228.1983982919; ERP=0.031987241;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</si>
  <si>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Price=383.812; ERP=324495.6; BenefitType=Charge; aks-managed-cluster-name=Hamalomena; aks-managed-cluster-rg=rg-hpm; Environment=Production; Hayati=CE; MD=Hayati; Product=CE</t>
  </si>
  <si>
    <t>Organization Name=PT Nawa Darsana Teknologi; Publisher=Microsoft; Publisher Customer ID=346fa229-7c19-44ef-85c6-29e00edf66cf; Unit Price=0.44522192; ERP=212.49228; BenefitType=Charge</t>
  </si>
  <si>
    <t>Organization Name=PT Nawa Darsana Teknologi; Publisher=Microsoft; Publisher Customer ID=346fa229-7c19-44ef-85c6-29e00edf66cf; Unit Price=153.5247999889; ERP=39.1124874712;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</si>
  <si>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Price=153.524799899; ERP=1.433293576;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</si>
  <si>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Price=153.5247999984; ERP=57.3470222468;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</si>
  <si>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Price=1228.1983969397; ERP=0.0175733558;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</si>
  <si>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Price=153.522263833; ERP=8.723e-06;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</si>
  <si>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Price=153.5248; ERP=492.8440498696;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</si>
  <si>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Price=1842.2975999726; ERP=5.2596043786;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</si>
  <si>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Price=1681.7950815864; ERP=1102.0410198226;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</si>
  <si>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Price=153.5247999999; ERP=844.7065881826;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</si>
  <si>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Price=153.5247998967; ERP=0.1909150672;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</si>
  <si>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Price=1842.2965503045; ERP=0.0002564562;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</si>
  <si>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Price=1678.8344796072; ERP=14.9325338448;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</si>
  <si>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Price=1842.2975999925; ERP=691.553046041;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</si>
  <si>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Price=1842.2975999535; ERP=67.7499691154;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</si>
  <si>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Price=1842.2975723638; ERP=0.0128245546;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</si>
  <si>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Price=1842.2975999671; ERP=136.6911912366;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</si>
  <si>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Price=1228.1983941445; ERP=0.0290929496;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</si>
  <si>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Price=1228.1983988575; ERP=0.0996096816;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</si>
  <si>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Price=1228.1983999943; ERP=581.969224551;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</si>
  <si>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Price=1228.1983999917; ERP=200.4676000756;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</si>
  <si>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Price=153.5248; ERP=4967.0029853158;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</si>
  <si>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Price=3838.12; ERP=945.006205;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</si>
  <si>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Price=153.5248; ERP=8970.6555548324;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</si>
  <si>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Price=153.5248; ERP=8592.342125796;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</si>
  <si>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Price=230287.1999999971; ERP=260986.5322571078; BenefitType=Charge; Product=CE</t>
  </si>
  <si>
    <t>Organization Name=PT Nawa Darsana Teknologi; Publisher=Microsoft; Publisher Customer ID=346fa229-7c19-44ef-85c6-29e00edf66cf; Unit Price=1228.198399999; ERP=243.904945713;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</si>
  <si>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Price=153.5247999973; ERP=6.391281039;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</si>
  <si>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Price=153.524798946; ERP=0.0293075354;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</si>
  <si>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Price=153.5248; ERP=46049.342569945;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</si>
  <si>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Price=460.5744; ERP=389394.72; BenefitType=Charge; CE=CDC; HPM=HPM</t>
  </si>
  <si>
    <t>Organization Name=PT Nawa Darsana Teknologi; Publisher=Microsoft; Publisher Customer ID=346fa229-7c19-44ef-85c6-29e00edf66cf; Unit Price=1842.2975999203; ERP=2.2610748732;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</si>
  <si>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Price=1739.4948168494; ERP=139.0848138394;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</si>
  <si>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Price=1842.2975999942; ERP=755.6049743242;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</si>
  <si>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Price=8.9812008; ERP=338019.7392; BenefitType=Charge</t>
  </si>
  <si>
    <t>Organization Name=PT Nawa Darsana Teknologi; Publisher=Microsoft; Publisher Customer ID=346fa229-7c19-44ef-85c6-29e00edf66cf; Unit Price=1774.6602451674; ERP=146.2341288122;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</si>
  <si>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Price=1842.2975963071; ERP=0.0815216688;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</si>
  <si>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Price=1842.2975999932; ERP=53.2373709582;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</si>
  <si>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Price=1842.2965502895; ERP=0.0001273558;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</si>
  <si>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Price=1842.2975907774; ERP=0.0241051382;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</si>
  <si>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Price=429.869439999; ERP=631.811356176; BenefitType=Charge; CE=CDC; HPM=HPM</t>
  </si>
  <si>
    <t>Organization Name=PT Nawa Darsana Teknologi; Publisher=Microsoft; Publisher Customer ID=346fa229-7c19-44ef-85c6-29e00edf66cf; Unit Price=76.7624; ERP=64899.12; BenefitType=Charge; aks-managed-cluster-name=hamalomena; aks-managed-cluster-rg=rg-hpm; Environment=Production; Hayati=CE; k8s-azure-cluster-name=kubernetes; k8s-azure-service=portainer/portainer-agent; MD=Hayati; Product=CE</t>
  </si>
  <si>
    <t>Organization Name=PT Nawa Darsana Teknologi; Publisher=Microsoft; Publisher Customer ID=346fa229-7c19-44ef-85c6-29e00edf66cf; Unit Price=1681.5055249387; ERP=14.5921257482; BenefitType=Charge; aks-managed-consolidated-additional-properties=e46413e3-ea08-11f0-bf79-fe421b86da3b; aks-managed-creationSource=vmssclient-aks-monitoring-35127847-vmss; aks-managed-enable-imds-restriction=False; aks-managed-kubeletIdentityClientID=7a362009-e35e-4c70-b3ae-c3b865d60358; aks-managed-operationID=04dad870-bcfc-4b75-bd10-975af82078e0; aks-managed-orchestrator=Kubernetes:1.33.5; aks-managed-poolName=monitoring; aks-managed-resourceNameSuffix=41829248.0; aks-managed-ssh-access=LocalUser; purpose=monitoring</t>
  </si>
  <si>
    <t>Organization Name=PT Nawa Darsana Teknologi; Publisher=Microsoft; Publisher Customer ID=346fa229-7c19-44ef-85c6-29e00edf66cf; Unit Price=1842.2975985689; ERP=0.2315555242;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</si>
  <si>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Price=153.5247999982; ERP=198.799882853;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</si>
  <si>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Price=153.5247881175; ERP=0.00244244;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</si>
  <si>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Price=153.5247999138; ERP=0.8489118924;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</si>
  <si>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Price=153.524799997; ERP=27.1738041146;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</si>
  <si>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Price=153.524799995; ERP=26.779514047;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</si>
  <si>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Price=153.5247999981; ERP=41.0137560404;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</si>
  <si>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Price=153.5247983843; ERP=0.0112945404;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</si>
  <si>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Price=153.524799998; ERP=187.0559893202;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</si>
  <si>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Price=1228.1983999018; ERP=1.0737943216;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</si>
  <si>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Price=1006.5865432824; ERP=565.427119257;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</si>
  <si>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Price=1010.6823583103; ERP=449.04817672;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</si>
  <si>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Price=1228.1983998271; ERP=0.3354900692;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</si>
  <si>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Price=1228.1983988805; ERP=0.1366143922;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</si>
  <si>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Price=1031.0729503697; ERP=128.1665958716;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</si>
  <si>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Price=1228.1983971417; ERP=0.035354319;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</si>
  <si>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Price=1228.1983997943; ERP=0.8989557434;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</si>
  <si>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Price=1228.198398947; ERP=0.1060175974;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</si>
  <si>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Price=1228.1983852955; ERP=0.0146424278;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</si>
  <si>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Price=1228.1983999986; ERP=2277.4752088088;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</si>
  <si>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Price=1228.1983999929; ERP=462.3983688324;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</si>
  <si>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Price=153.5247999358; ERP=4.6936247358; BenefitType=Charge; Hayati=CE</t>
  </si>
  <si>
    <t>Organization Name=PT Nawa Darsana Teknologi; Publisher=Microsoft; Publisher Customer ID=346fa229-7c19-44ef-85c6-29e00edf66cf; Unit Price=153.5247999997; ERP=213.8322601558;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</si>
  <si>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Price=153.524799996; ERP=23.2203311626;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</si>
  <si>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Price=153.524059541; ERP=1.7446e-05;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</si>
  <si>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Price=153.5247999999; ERP=6267.7553181386;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</si>
  <si>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Price=3838.12; ERP=5743.266815;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</si>
  <si>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Price=3838.12; ERP=1.003145;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</si>
  <si>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Price=153.5247993926; ERP=0.0388138608;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</si>
  <si>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Price=153.5247999396; ERP=0.0177844524;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</si>
  <si>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Price=153.5247999909; ERP=20.9526494892;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</si>
  <si>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Price=153.5247999979; ERP=11.3136333024;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</si>
  <si>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Price=1028.8289832772; ERP=99.5441387226; BenefitType=Charge; aks-managed-consolidated-additional-properties=e46413e3-ea08-11f0-bf79-fe421b86da3b; aks-managed-creationSource=vmssclient-aks-monitoring-35127847-vmss; aks-managed-enable-imds-restriction=False; aks-managed-kubeletIdentityClientID=7a362009-e35e-4c70-b3ae-c3b865d60358; aks-managed-operationID=04dad870-bcfc-4b75-bd10-975af82078e0; aks-managed-orchestrator=Kubernetes:1.33.5; aks-managed-poolName=monitoring; aks-managed-resourceNameSuffix=41829248.0; aks-managed-ssh-access=LocalUser; purpose=monitoring</t>
  </si>
  <si>
    <t>Organization Name=PT Nawa Darsana Teknologi; Publisher=Microsoft; Publisher Customer ID=346fa229-7c19-44ef-85c6-29e00edf66cf; Unit Price=1011.937674549; ERP=66.081618603; BenefitType=Charge; aks-managed-consolidated-additional-properties=e4642eba-ea08-11f0-bf79-fe421b86da3b; aks-managed-creationSource=vmssclient-aks-systemeph-26423959-vmss; aks-managed-enable-imds-restriction=False; aks-managed-kubeletIdentityClientID=7a362009-e35e-4c70-b3ae-c3b865d60358; aks-managed-operationID=04dad870-bcfc-4b75-bd10-975af82078e0; aks-managed-orchestrator=Kubernetes:1.33.5; aks-managed-poolName=systemeph; aks-managed-resourceNameSuffix=41829248.0; aks-managed-ssh-access=LocalUser</t>
  </si>
  <si>
    <t>Organization Name=PT Nawa Darsana Teknologi; Publisher=Microsoft; Publisher Customer ID=346fa229-7c19-44ef-85c6-29e00edf66cf; Unit Price=1228.1983990697; ERP=0.1102290618;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</si>
  <si>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Price=1228.1983920208; ERP=0.0155164724;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</si>
  <si>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Price=1228.1983999983; ERP=1829.0959553438;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</si>
  <si>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Price=1228.1983999995; ERP=723.3103191028;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</si>
  <si>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Price=1228.1983999991; ERP=3669.2116085482;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</si>
  <si>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Price=1228.1983998875; ERP=0.352121341;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</si>
  <si>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Price=1228.1983999991; ERP=3129.8699072498;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</si>
  <si>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Price=153.5247999989; ERP=385.224454329;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</si>
  <si>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Price=1228.198043016; ERP=0.0001552694;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</si>
  <si>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Price=1228.198399997; ERP=580.1246136114;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</si>
  <si>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Price=1228.1983999663; ERP=101.2513711352;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</si>
  <si>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Price=153.5247999862; ERP=2.189281094;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</si>
  <si>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Price=153.5247999997; ERP=1345.2582320034;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</si>
  <si>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Organization Name=PT Nawa Darsana Teknologi; Publisher=Microsoft; Publisher Customer ID=346fa229-7c19-44ef-85c6-29e00edf66cf; Unit Price=153.5248; ERP=9686.8309902936; BenefitType=Charge; aks-managed-consolidated-additional-properties=e4642263-ea08-11f0-bf79-fe421b86da3b; aks-managed-creationSource=vmssclient-aks-usereph2-29555450-vmss; aks-managed-enable-imds-restriction=False; aks-managed-kubeletIdentityClientID=7a362009-e35e-4c70-b3ae-c3b865d60358; aks-managed-operationID=04dad870-bcfc-4b75-bd10-975af82078e0; aks-managed-orchestrator=Kubernetes:1.33.5; aks-managed-poolName=usereph2; aks-managed-resourceNameSuffix=41829248.0; aks-managed-ssh-access=LocalUser</t>
  </si>
  <si>
    <t>Organization Name=PT Nawa Darsana Teknologi; Publisher=Microsoft; Publisher Customer ID=346fa229-7c19-44ef-85c6-29e00edf66cf; Unit Price=383.812; ERP=324495.6; BenefitType=Charge; aks-managed-cluster-name=hamalomena; aks-managed-cluster-rg=rg-hpm; Environment=Production; Hayati=CE; MD=Hayati; Product=CE</t>
  </si>
  <si>
    <t>Organization Name=PT Nawa Darsana Teknologi; Publisher=Microsoft; Publisher Customer ID=346fa229-7c19-44ef-85c6-29e00edf66cf; Unit Price=1842.2975997907; ERP=1.2242922406;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</si>
  <si>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Price=6140.9919999759; ERP=995.6153046554; BenefitType=Charge; Hayati=CE</t>
  </si>
  <si>
    <t>Organization Name=PT Nawa Darsana Teknologi; Publisher=Microsoft; Publisher Customer ID=346fa229-7c19-44ef-85c6-29e00edf66cf; Unit Price=302597.3808; ERP=300.53421684;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</si>
  <si>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Price=2118.6422399999; ERP=156490.62; BenefitType=Charge</t>
  </si>
  <si>
    <t>Organization Name=PT Nawa Darsana Teknologi; Publisher=Microsoft; Publisher Customer ID=346fa229-7c19-44ef-85c6-29e00edf66cf; Unit Price=302597.3808; ERP=44.35802514;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</si>
  <si>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Organization Name=PT Nawa Darsana Teknologi; Publisher=Microsoft; Publisher Customer ID=346fa229-7c19-44ef-85c6-29e00edf66cf; Unit Price=76.7624; ERP=64899.12; BenefitType=Charge; aks-managed-cluster-name=Hamalomena; aks-managed-cluster-rg=rg-hpm; aks-managed-type=aks-slb-managed-outbound-ip; Environment=Production; Hayati=CE; MD=Hayati; Product=CE</t>
  </si>
  <si>
    <t>Organization Name=PT Nawa Darsana Teknologi; Publisher=Microsoft; Publisher Customer ID=346fa229-7c19-44ef-85c6-29e00edf66cf; Unit Price=2155.4881919729; ERP=42.8319659482; BenefitType=Charge</t>
  </si>
  <si>
    <t>Organization Name=PT Nawa Darsana Teknologi; Publisher=Microsoft; Publisher Customer ID=346fa229-7c19-44ef-85c6-29e00edf66cf; Unit Price=1842.2975982841; ERP=0.0177007116;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</si>
  <si>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Organization Name=PT Nawa Darsana Teknologi; Publisher=Microsoft; Publisher Customer ID=346fa229-7c19-44ef-85c6-29e00edf66cf; Unit Price=6140.992; ERP=945.3498912; BenefitType=Charge; Billing=HPM</t>
  </si>
  <si>
    <t>MC_RG-ITC_IMBE_SOUTHEASTASIA</t>
  </si>
  <si>
    <t>mc_rg-itc_imbe_southeastasia</t>
  </si>
  <si>
    <t>rg-itc</t>
  </si>
  <si>
    <t>RG-ITC</t>
  </si>
  <si>
    <t>aks-systemeph-38276485-vmss</t>
  </si>
  <si>
    <t>aks-usereph2-42372498-vmss</t>
  </si>
  <si>
    <t>kubernetes-af42a31efb993468884d81d93dbdcff2</t>
  </si>
  <si>
    <t>aks-monitoring-30876736-vmss</t>
  </si>
  <si>
    <t>vpn-access-to-sql-inrello</t>
  </si>
  <si>
    <t>inalipue</t>
  </si>
  <si>
    <t>irishub</t>
  </si>
  <si>
    <t>irishub-to-aks-salvia-private-endpoint</t>
  </si>
  <si>
    <t>pvc-277ed1dd-9df0-4b4c-b3ad-fff4d18afaec</t>
  </si>
  <si>
    <t>aks-monitoring-30876aks-monitoring-308767disk1_bbd7822f30ad45319326a53314c226ee</t>
  </si>
  <si>
    <t>aks-monitoring-30876aks-monitoring-308767OS__1_c83777530e334c9f87e98e9bb50dac2e</t>
  </si>
  <si>
    <t>inrello</t>
  </si>
  <si>
    <t>aks-monitoring-30876aks-monitoring-308767OS__1_a9224cca0f6a4dc5ae574f8069f2b1df</t>
  </si>
  <si>
    <t>aks-to-sql-inrello</t>
  </si>
  <si>
    <t>sql-itc-to-aks-salvia-private-endpoint</t>
  </si>
  <si>
    <t>aks-monitoring-30876aks-monitoring-308767OS__1_c82f2ead90e54c8981cbae00a63c2114</t>
  </si>
  <si>
    <t>aks-yellow-to-database-inalipue</t>
  </si>
  <si>
    <t>Imbe</t>
  </si>
  <si>
    <t>41f64e0f-b93b-4c5f-8b45-2f81fd08da26</t>
  </si>
  <si>
    <t>redis-imbe-private-endpoint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</si>
  <si>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</si>
  <si>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"153.5240595403",
  "ERP": "3.4892e-05",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</si>
  <si>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</si>
  <si>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"1842.2975999957",
  "ERP": "355.9428332174",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</si>
  <si>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"1743.607526942",
  "ERP": "467.8539511074",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</si>
  <si>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</si>
  <si>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"6140.9919999587",
  "ERP": "916.3127670554",
  "BenefitType": "Charge",
  "ITC": "CE"
}</t>
  </si>
  <si>
    <t>{
  "Organization Name": "PT Nawa Darsana Teknologi",
  "Publisher": "Microsoft",
  "Publisher Customer ID": "346fa229-7c19-44ef-85c6-29e00edf66cf",
  "Unit Price": "153.5247966073",
  "ERP": "0.006638203",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</si>
  <si>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"153.5247998166",
  "ERP": "0.0458411096",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</si>
  <si>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"3170.8652943968",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</si>
  <si>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</si>
  <si>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"15797.5873102476",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</si>
  <si>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"29261.1512190998",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</si>
  <si>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"imbe",
  "aks-managed-cluster-rg": "rg-itc",
  "Environment": "Production",
  "ITC": "CE",
  "k8s-azure-cluster-name": "kubernetes",
  "k8s-azure-service": "portainer/portainer-agent",
  "MD": "ITC",
  "Product": "CE"
}</t>
  </si>
  <si>
    <t>{
  "Organization Name": "PT Nawa Darsana Teknologi",
  "Publisher": "Microsoft",
  "Publisher Customer ID": "346fa229-7c19-44ef-85c6-29e00edf66cf",
  "Unit Price": "153.5248",
  "ERP": "8791.6208385434",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</si>
  <si>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"153.5247999908",
  "ERP": "1.9762183298",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</si>
  <si>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"153.5247999985",
  "ERP": "178.3469984582",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</si>
  <si>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"1228.1983999905",
  "ERP": "295.3095253966",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</si>
  <si>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"1228.19839997",
  "ERP": "0.0572560274",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</si>
  <si>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"1228.1983999624",
  "ERP": "0.2780700494",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</si>
  <si>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"76.7624",
  "ERP": "279306.3520636532",
  "BenefitType": "Charge",
  "aks-managed-cluster-name": "Imbe",
  "aks-managed-cluster-rg": "rg-itc",
  "Environment": "Production",
  "ITC": "CE",
  "MD": "ITC",
  "Product": "CE"
}</t>
  </si>
  <si>
    <t>{
  "Organization Name": "PT Nawa Darsana Teknologi",
  "Publisher": "Microsoft",
  "Publisher Customer ID": "346fa229-7c19-44ef-85c6-29e00edf66cf",
  "Unit Price": "1228.1983991097",
  "ERP": "3.6122745516",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</si>
  <si>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"1228.1982738927",
  "ERP": "0.0005443152",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</si>
  <si>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"153.524799999",
  "ERP": "103.4798289668",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</si>
  <si>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"31353.829714779",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</si>
  <si>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"1228.1983999989",
  "ERP": "527.017002512",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</si>
  <si>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"153.5247999968",
  "ERP": "4.1269088718",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</si>
  <si>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"1842.2965503045",
  "ERP": "0.0002564562",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</si>
  <si>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"153.5247999679",
  "ERP": "3.5229946466",
  "BenefitType": "Charge",
  "ITC": "CE"
}</t>
  </si>
  <si>
    <t>{
  "Organization Name": "PT Nawa Darsana Teknologi",
  "Publisher": "Microsoft",
  "Publisher Customer ID": "346fa229-7c19-44ef-85c6-29e00edf66cf",
  "Unit Price": "1228.1983996166",
  "ERP": "0.2333629298",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</si>
  <si>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"153.5247999861",
  "ERP": "1.5690618372",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</si>
  <si>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"2368.904172042",
  "ERP": "8722.9999982554",
  "BenefitType": "Charge",
  "ITC": "CE"
}</t>
  </si>
  <si>
    <t>{
  "Organization Name": "PT Nawa Darsana Teknologi",
  "Publisher": "Microsoft",
  "Publisher Customer ID": "346fa229-7c19-44ef-85c6-29e00edf66cf",
  "Unit Price": "2118.6422399999",
  "ERP": "156490.62",
  "BenefitType": "Charge",
  "ITC": "CE"
}</t>
  </si>
  <si>
    <t>{
  "Organization Name": "PT Nawa Darsana Teknologi",
  "Publisher": "Microsoft",
  "Publisher Customer ID": "346fa229-7c19-44ef-85c6-29e00edf66cf",
  "Unit Price": "460.5744",
  "ERP": "389394.72",
  "BenefitType": "Charge",
  "CDC": "ITC",
  "ITC": "ITC"
}</t>
  </si>
  <si>
    <t>{
  "Organization Name": "PT Nawa Darsana Teknologi",
  "Publisher": "Microsoft",
  "Publisher Customer ID": "346fa229-7c19-44ef-85c6-29e00edf66cf",
  "Unit Price": "0.0",
  "ERP": "0.0",
  "BenefitType": "Charge",
  "ITC": "CE"
}</t>
  </si>
  <si>
    <t>{
  "Organization Name": "PT Nawa Darsana Teknologi",
  "Publisher": "Microsoft",
  "Publisher Customer ID": "346fa229-7c19-44ef-85c6-29e00edf66cf",
  "Unit Price": "153.5247999982",
  "ERP": "180.1459287914",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</si>
  <si>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"153.524799999",
  "ERP": "108.0308029944",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</si>
  <si>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"153.5247999736",
  "ERP": "3.1976738508",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</si>
  <si>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"153.5247999989",
  "ERP": "54.7155530922",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</si>
  <si>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"1228.198398614",
  "ERP": "0.1551839146",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</si>
  <si>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</si>
  <si>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"1842.2975999991",
  "ERP": "5763.251181831",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</si>
  <si>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"1842.2975999302",
  "ERP": "4.0590247412",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</si>
  <si>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"1842.2975998954",
  "ERP": "2.5686373856",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</si>
  <si>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"6140.992",
  "ERP": "2971.4236552",
  "BenefitType": "Charge",
  "Billing": "ITC"
}</t>
  </si>
  <si>
    <t>{
  "Organization Name": "PT Nawa Darsana Teknologi",
  "Publisher": "Microsoft",
  "Publisher Customer ID": "346fa229-7c19-44ef-85c6-29e00edf66cf",
  "Unit Price": "1761.1685868435",
  "ERP": "54.486117257",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</si>
  <si>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"1842.2975999927",
  "ERP": "628.888915655",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</si>
  <si>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"6140.992",
  "ERP": "1097.632536",
  "BenefitType": "Charge",
  "Billing": "ITC"
}</t>
  </si>
  <si>
    <t>{
  "Organization Name": "PT Nawa Darsana Teknologi",
  "Publisher": "Microsoft",
  "Publisher Customer ID": "346fa229-7c19-44ef-85c6-29e00edf66cf",
  "Unit Price": "1720.3073947476",
  "ERP": "368.3689543248",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</si>
  <si>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"1842.2975998356",
  "ERP": "2.2085257766",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</si>
  <si>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"1842.2975979365",
  "ERP": "0.1680852316",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</si>
  <si>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"153.5247999958",
  "ERP": "106.779010624",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</si>
  <si>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"153.5247999816",
  "ERP": "0.1974485942",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</si>
  <si>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"153.5247999994",
  "ERP": "482.411968181",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</si>
  <si>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"3200.38147",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</si>
  <si>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"872.3130845",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</si>
  <si>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"1818.65827",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</si>
  <si>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"4361.5",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</si>
  <si>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"1919.06",
  "ERP": "4216.131205",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</si>
  <si>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"1919.06",
  "ERP": "36.34656025",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</si>
  <si>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"1534.72601568",
  "ERP": "3690318.464976",
  "BenefitType": "Charge",
  "ITC": "CE"
}</t>
  </si>
  <si>
    <t>{
  "Organization Name": "PT Nawa Darsana Teknologi",
  "Publisher": "Microsoft",
  "Publisher Customer ID": "346fa229-7c19-44ef-85c6-29e00edf66cf",
  "Unit Price": "1534.72601568",
  "ERP": "749922.93948",
  "BenefitType": "Charge",
  "ITC": "CE"
}</t>
  </si>
  <si>
    <t>{
  "Organization Name": "PT Nawa Darsana Teknologi",
  "Publisher": "Microsoft",
  "Publisher Customer ID": "346fa229-7c19-44ef-85c6-29e00edf66cf",
  "Unit Price": "153.5247999111",
  "ERP": "0.1132995578",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</si>
  <si>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"84617.8976482554",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</si>
  <si>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"12940.30881",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</si>
  <si>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"4943.891095",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</si>
  <si>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"129798.24",
  "BenefitType": "Charge",
  "CDC": "ITC",
  "ITC": "ITC"
}</t>
  </si>
  <si>
    <t>{
  "Organization Name": "PT Nawa Darsana Teknologi",
  "Publisher": "Microsoft",
  "Publisher Customer ID": "346fa229-7c19-44ef-85c6-29e00edf66cf",
  "Unit Price": "156702.7633599999",
  "ERP": "177776.435890768",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"pvc-277ed1dd-9df0-4b4c-b3ad-fff4d18afaec"
}</t>
  </si>
  <si>
    <t>{
  "Organization Name": "PT Nawa Darsana Teknologi",
  "Publisher": "Microsoft",
  "Publisher Customer ID": "346fa229-7c19-44ef-85c6-29e00edf66cf",
  "Unit Price": "1009.4252285605",
  "ERP": "480.574450785",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</si>
  <si>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"1010.2366945931",
  "ERP": "460.2201990958",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</si>
  <si>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"1228.1983997894",
  "ERP": "0.7386182804",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</si>
  <si>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"1228.198387535",
  "ERP": "0.0174442554",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</si>
  <si>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"1228.1983996827",
  "ERP": "0.6803102592",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</si>
  <si>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"1228.1983999982",
  "ERP": "1317.6279759786",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</si>
  <si>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"153.524799999",
  "ERP": "112.4063156216",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</si>
  <si>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"153.5247999895",
  "ERP": "0.3331871972",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</si>
  <si>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"302597.3808",
  "ERP": "549.83319534",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</si>
  <si>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"302597.3807999999",
  "ERP": "63314.37560448",
  "BenefitType": "Charge",
  "aks-managed-consolidated-additional-properties": "228c4f25-ea0d-11f0-aa94-664ac880d383",
  "aks-managed-creationSource": "vmssclient-aks-monitoring-30876736-vmss",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"monitoring",
  "aks-managed-resourceNameSuffix": "75743100.0",
  "aks-managed-ssh-access": "LocalUser",
  "purpose": "monitoring"
}</t>
  </si>
  <si>
    <t>{
  "Organization Name": "PT Nawa Darsana Teknologi",
  "Publisher": "Microsoft",
  "Publisher Customer ID": "346fa229-7c19-44ef-85c6-29e00edf66cf",
  "Unit Price": "153.5247999999",
  "ERP": "2879.875299158",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</si>
  <si>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"3163.3900951224",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</si>
  <si>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"153.5247999702",
  "ERP": "10.9355610364",
  "BenefitType": "Charge",
  "ITC": "CE"
}</t>
  </si>
  <si>
    <t>{
  "Organization Name": "PT Nawa Darsana Teknologi",
  "Publisher": "Microsoft",
  "Publisher Customer ID": "346fa229-7c19-44ef-85c6-29e00edf66cf",
  "Unit Price": "153.5247999941",
  "ERP": "2.0444513804",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</si>
  <si>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"153.5247999993",
  "ERP": "19.477298841",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</si>
  <si>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"153.5247999898",
  "ERP": "0.3105161202",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</si>
  <si>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"2876.6857272296",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</si>
  <si>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"153.5247999998",
  "ERP": "549.9615141592",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</si>
  <si>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"153.5247999893",
  "ERP": "0.3834578462",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</si>
  <si>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"1228.1983991304",
  "ERP": "0.8200562084",
  "BenefitType": "Charge",
  "aks-managed-consolidated-additional-properties": "228c4f25-ea0d-11f0-aa94-664ac880d383",
  "aks-managed-creationSource": "vmssclient-aks-monitoring-30876736-vmss",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"monitoring",
  "aks-managed-resourceNameSuffix": "75743100.0",
  "aks-managed-ssh-access": "LocalUser",
  "purpose": "monitoring"
}</t>
  </si>
  <si>
    <t>{
  "Organization Name": "PT Nawa Darsana Teknologi",
  "Publisher": "Microsoft",
  "Publisher Customer ID": "346fa229-7c19-44ef-85c6-29e00edf66cf",
  "Unit Price": "1228.1964268787",
  "ERP": "7.67624e-05",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</si>
  <si>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"1228.198399996",
  "ERP": "668.247754603",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</si>
  <si>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"1228.1983999987",
  "ERP": "1996.5821453864",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</si>
  <si>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"1228.1983999998",
  "ERP": "6699.5751651114",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</si>
  <si>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"38677.782",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</si>
  <si>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"64043.3936982554",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</si>
  <si>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"153.5247999897",
  "ERP": "11.5299706808",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</si>
  <si>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"153.5247999993",
  "ERP": "140.6994045028",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</si>
  <si>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"153.5247999684",
  "ERP": "0.613767726",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</si>
  <si>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"153.5247999993",
  "ERP": "131.6361743554",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</si>
  <si>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"153.524799405",
  "ERP": "0.0131124136",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</si>
  <si>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"153.5247999993",
  "ERP": "156.6730981816",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</si>
  <si>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"153.5247999994",
  "ERP": "174.4475906602",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</si>
  <si>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"153.5247999994",
  "ERP": "184.5418567278",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</si>
  <si>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"153.5247935667",
  "ERP": "0.0035572394",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</si>
  <si>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"153.5247999906",
  "ERP": "0.1754648896",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</si>
  <si>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"153.5247999994",
  "ERP": "173.0820154778",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</si>
  <si>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"153.5247997979",
  "ERP": "0.089698609",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</si>
  <si>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"153.5247999992",
  "ERP": "341.7589857396",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</si>
  <si>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"302597.3808",
  "ERP": "59.48789418",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</si>
  <si>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"1228.1964268787",
  "ERP": "7.67624e-05",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</si>
  <si>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"1228.1983185805",
  "ERP": "0.0005635058",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</si>
  <si>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"1228.1983997455",
  "ERP": "2.8895181744",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</si>
  <si>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"1228.198399996",
  "ERP": "858.5352438234",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</si>
  <si>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"1228.1983999998",
  "ERP": "5315.1636499104",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</si>
  <si>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"1228.198043016",
  "ERP": "0.0003105388",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</si>
  <si>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"1228.1983994872",
  "ERP": "1.7388375862",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</si>
  <si>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"1228.1983999428",
  "ERP": "3.5506029416",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</si>
  <si>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"1228.1983999986",
  "ERP": "1991.8284331374",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</si>
  <si>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"1228.1983999985",
  "ERP": "727.071270211",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</si>
  <si>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"1012.0654531751",
  "ERP": "141.0223927684",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</si>
  <si>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"153.5248",
  "ERP": "30662.207591301",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</si>
  <si>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"55965.5230551846",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</si>
  <si>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"1919.06",
  "ERP": "529886.31124",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</si>
  <si>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"1919.06",
  "ERP": "3998.2786415",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</si>
  <si>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"1919.06",
  "ERP": "2180.75",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</si>
  <si>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"1919.06",
  "ERP": "165555.4525625",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</si>
  <si>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"153.524748958",
  "ERP": "0.0004344054",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</si>
  <si>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"129798.24",
  "BenefitType": "Charge",
  "ITC": "CE"
}</t>
  </si>
  <si>
    <t>{
  "Organization Name": "PT Nawa Darsana Teknologi",
  "Publisher": "Microsoft",
  "Publisher Customer ID": "346fa229-7c19-44ef-85c6-29e00edf66cf",
  "Unit Price": "153.5248",
  "ERP": "129798.24",
  "BenefitType": "Charge",
  "ITC": "ITC"
}</t>
  </si>
  <si>
    <t>{
  "Organization Name": "PT Nawa Darsana Teknologi",
  "Publisher": "Microsoft",
  "Publisher Customer ID": "346fa229-7c19-44ef-85c6-29e00edf66cf",
  "Unit Price": "153.524799977",
  "ERP": "4.1128055254",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</si>
  <si>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"153.524799999",
  "ERP": "383.6908078718",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</si>
  <si>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"1090.392446",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</si>
  <si>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"302597.3807999999",
  "ERP": "280009.86176592",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</si>
  <si>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"153.5247999975",
  "ERP": "154.536990751",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</si>
  <si>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"153.52479342",
  "ERP": "0.00331474",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</si>
  <si>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"1228.1983999642",
  "ERP": "1.4199840226",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</si>
  <si>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"1008.3049311394",
  "ERP": "102.3592811098",
  "BenefitType": "Charge",
  "aks-managed-consolidated-additional-properties": "228c4f25-ea0d-11f0-aa94-664ac880d383",
  "aks-managed-creationSource": "vmssclient-aks-monitoring-30876736-vmss",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"monitoring",
  "aks-managed-resourceNameSuffix": "75743100.0",
  "aks-managed-ssh-access": "LocalUser",
  "purpose": "monitoring"
}</t>
  </si>
  <si>
    <t>{
  "Organization Name": "PT Nawa Darsana Teknologi",
  "Publisher": "Microsoft",
  "Publisher Customer ID": "346fa229-7c19-44ef-85c6-29e00edf66cf",
  "Unit Price": "1228.1983969174",
  "ERP": "0.0798834894",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</si>
  <si>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"1228.1983998337",
  "ERP": "0.9904635026",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</si>
  <si>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"2458.8350233018",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</si>
  <si>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"153.5248",
  "ERP": "3245.1117561434",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</si>
  <si>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"1842.2975997956",
  "ERP": "0.5805191392",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</si>
  <si>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"1842.2975998423",
  "ERP": "2.2567779234",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</si>
  <si>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"1842.2975818392",
  "ERP": "0.017350047",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</si>
  <si>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"1842.2975999976",
  "ERP": "1477.2965087452",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</si>
  <si>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"945.006205",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</si>
  <si>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"3838.12",
  "ERP": "3125.79982",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</si>
  <si>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"90319.3922755124",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</si>
  <si>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"153.5247999992",
  "ERP": "131.799365984",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</si>
  <si>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"1535.248",
  "ERP": "1297935.0107829534",
  "BenefitType": "Charge",
  "Environment": "Production",
  "ITC": "CE",
  "MD": "ITC",
  "Product": "CE"
}</t>
  </si>
  <si>
    <t>{
  "Organization Name": "PT Nawa Darsana Teknologi",
  "Publisher": "Microsoft",
  "Publisher Customer ID": "346fa229-7c19-44ef-85c6-29e00edf66cf",
  "Unit Price": "153.5248",
  "ERP": "29494.186786922",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</si>
  <si>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"1686.7813396093",
  "ERP": "1406.624564917",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</si>
  <si>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"153.524799961",
  "ERP": "6.8342454466",
  "BenefitType": "Charge",
  "ITC": "CE"
}</t>
  </si>
  <si>
    <t>{
  "Organization Name": "PT Nawa Darsana Teknologi",
  "Publisher": "Microsoft",
  "Publisher Customer ID": "346fa229-7c19-44ef-85c6-29e00edf66cf",
  "Unit Price": "1842.2975999965",
  "ERP": "1256.4196479978",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</si>
  <si>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"1758.3018731895",
  "ERP": "472.3825436616",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</si>
  <si>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"1842.297599995",
  "ERP": "321.3455641968",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</si>
  <si>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"1919.06",
  "ERP": "296327.8335875",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</si>
  <si>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"1919.06",
  "ERP": "2689.6716275",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</si>
  <si>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"1919.06",
  "ERP": "1453.8406025",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</si>
  <si>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"1919.06",
  "ERP": "763.393345",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</si>
  <si>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"1919.06",
  "ERP": "581.544964",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</si>
  <si>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"1842.2975758007",
  "ERP": "0.0108706026",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</si>
  <si>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"3684.5952",
  "ERP": "327107.4218409998",
  "BenefitType": "Charge",
  "ITC": "CE"
}</t>
  </si>
  <si>
    <t>{
  "Organization Name": "PT Nawa Darsana Teknologi",
  "Publisher": "Microsoft",
  "Publisher Customer ID": "346fa229-7c19-44ef-85c6-29e00edf66cf",
  "Unit Price": "153.52479329",
  "ERP": "0.0022557678",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</si>
  <si>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"153.5247999993",
  "ERP": "75.9650549944",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</si>
  <si>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"153.5247999951",
  "ERP": "95.8583223026",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</si>
  <si>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"153.5247999986",
  "ERP": "101.2766346878",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</si>
  <si>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"153.5247999983",
  "ERP": "67.1569167698",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</si>
  <si>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"153.5247999068",
  "ERP": "0.1089694606",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</si>
  <si>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"153.5247998441",
  "ERP": "0.1984517392",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</si>
  <si>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"153.5247999819",
  "ERP": "5.4402611978",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</si>
  <si>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"1020.8406867171",
  "ERP": "469.3311370748",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</si>
  <si>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"1228.1983879138",
  "ERP": "0.0174494892",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</si>
  <si>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"1228.1983998064",
  "ERP": "0.0790670166",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</si>
  <si>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"1228.1983999985",
  "ERP": "1625.992557761",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</si>
  <si>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"1008.6208298397",
  "ERP": "159.1258697028",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</si>
  <si>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"1228.1983999935",
  "ERP": "489.6073493168",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</si>
  <si>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"1228.1983822969",
  "ERP": "0.0138189766",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</si>
  <si>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"1228.1983999925",
  "ERP": "451.3067236678",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</si>
  <si>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"153.524799694",
  "ERP": "0.368503135",
  "BenefitType": "Charge",
  "ITC": "CE"
}</t>
  </si>
  <si>
    <t>{
  "Organization Name": "PT Nawa Darsana Teknologi",
  "Publisher": "Microsoft",
  "Publisher Customer ID": "346fa229-7c19-44ef-85c6-29e00edf66cf",
  "Unit Price": "1228.1983999988",
  "ERP": "745.0865384248",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</si>
  <si>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"1228.198399999",
  "ERP": "534.28532014",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</si>
  <si>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"1228.1983999913",
  "ERP": "9.4288023544",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</si>
  <si>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"Imbe",
  "aks-managed-cluster-rg": "rg-itc",
  "Environment": "Production",
  "ITC": "CE",
  "MD": "ITC",
  "Product": "CE"
}</t>
  </si>
  <si>
    <t>{
  "Organization Name": "PT Nawa Darsana Teknologi",
  "Publisher": "Microsoft",
  "Publisher Customer ID": "346fa229-7c19-44ef-85c6-29e00edf66cf",
  "Unit Price": "76.7624",
  "ERP": "11918.234385343",
  "BenefitType": "Charge",
  "aks-managed-cluster-name": "imbe",
  "aks-managed-cluster-rg": "rg-itc",
  "Environment": "Production",
  "ITC": "CE",
  "MD": "ITC",
  "Product": "CE"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</si>
  <si>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"228c4f25-ea0d-11f0-aa94-664ac880d383",
  "aks-managed-creationSource": "vmssclient-aks-monitoring-30876736-vmss",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"monitoring",
  "aks-managed-resourceNameSuffix": "75743100.0",
  "aks-managed-ssh-access": "LocalUser",
  "purpose": "monitoring"
}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</si>
  <si>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"Imbe",
  "aks-managed-cluster-rg": "rg-itc",
  "aks-managed-type": "aks-slb-managed-outbound-ip",
  "Environment": "Production",
  "ITC": "CE",
  "MD": "ITC",
  "Product": "CE"
}</t>
  </si>
  <si>
    <t>{
  "Organization Name": "PT Nawa Darsana Teknologi",
  "Publisher": "Microsoft",
  "Publisher Customer ID": "346fa229-7c19-44ef-85c6-29e00edf66cf",
  "Unit Price": "3838.12",
  "ERP": "11414.1327282554",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</si>
  <si>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"2368.904172042",
  "ERP": "8722.9999982554",
  "BenefitType": "Charge",
  "Billing": "ITC"
}</t>
  </si>
  <si>
    <t>{
  "Organization Name": "PT Nawa Darsana Teknologi",
  "Publisher": "Microsoft",
  "Publisher Customer ID": "346fa229-7c19-44ef-85c6-29e00edf66cf",
  "Unit Price": "153.5247999914",
  "ERP": "47.0672476274",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</si>
  <si>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"153.5247999986",
  "ERP": "218.7500590132",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</si>
  <si>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"153.5247941953",
  "ERP": "0.0025331592",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</si>
  <si>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"1228.1983999981",
  "ERP": "545.2637425092",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</si>
  <si>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"1228.1983850217",
  "ERP": "0.0150349628",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</si>
  <si>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"1228.1983999984",
  "ERP": "1722.971051087",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</si>
  <si>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"1228.1983999987",
  "ERP": "629.2576700124",
  "BenefitType": "Charge",
  "aks-managed-consolidated-additional-properties": "228c54eb-ea0d-11f0-aa94-664ac880d383",
  "aks-managed-creationSource": "vmssclient-aks-usereph2-42372498-vmss",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"usereph2",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</si>
  <si>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"1228.1983999998",
  "ERP": "5468.3139087148",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</si>
  <si>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"129798.24",
  "BenefitType": "Charge",
  "Billing": "ITC"
}</t>
  </si>
  <si>
    <t>{
  "Organization Name": "PT Nawa Darsana Teknologi",
  "Publisher": "Microsoft",
  "Publisher Customer ID": "346fa229-7c19-44ef-85c6-29e00edf66cf",
  "Unit Price": "153.5247999997",
  "ERP": "25.7568836096",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</si>
  <si>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"204.7095182132",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</si>
  <si>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"153.5247999965",
  "ERP": "4.8391522894",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</si>
  <si>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"153.5247999974",
  "ERP": "30.4119317502",
  "BenefitType": "Charge",
  "aks-managed-consolidated-additional-properties": "228c5aed-ea0d-11f0-aa94-664ac880d383",
  "aks-managed-creationSource": "vmssclient-aks-systemeph-38276485-vmss",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"systemeph",
  "aks-managed-resourceNameSuffix": "75743100.0",
  "aks-managed-ssh-access": "LocalUser"
}</t>
  </si>
  <si>
    <t>{
  "Organization Name": "PT Nawa Darsana Teknologi",
  "Publisher": "Microsoft",
  "Publisher Customer ID": "346fa229-7c19-44ef-85c6-29e00edf66cf",
  "Unit Price": "153.5248",
  "ERP": "40489.327413678",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</si>
  <si>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"1228.1983999694",
  "ERP": "1.9439048486",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</si>
  <si>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"153.524799383",
  "ERP": "0.0287405404",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</si>
  <si>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"153.5247999998",
  "ERP": "2500.5924395166",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</si>
  <si>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"6765.801133663",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</si>
  <si>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"3454.2693448978",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</si>
  <si>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"10421.86400255",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</si>
  <si>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"1228.1983993811",
  "ERP": "0.3853960968",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</si>
  <si>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"1228.198397683",
  "ERP": "0.0297750882",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</si>
  <si>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"1228.198399999",
  "ERP": "2211.7680441714",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</si>
  <si>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"48.9011885934",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</si>
  <si>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"153.5247999018",
  "ERP": "0.1579839976",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</si>
  <si>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"33219.3228778554",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</si>
  <si>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"107895.8374393614",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</si>
  <si>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"35096.896343938",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</si>
  <si>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"1681.1636731898",
  "ERP": "14.5705747044",
  "BenefitType": "Charge",
  "aks-managed-consolidated-additional-properties": "228c4f25-ea0d-11f0-aa94-664ac880d383",
  "aks-managed-creationSource": "vmssclient-aks-monitoring-30876736-vmss",
  "aks-managed-enable-imds-restriction": "False",
  "aks-managed-kubeletIdentityClientID": "295ca385-8ba8-4c59-8454-74b13124e52a",
  "aks-managed-operationID": "98236b2d-42cf-4cc3-b5e1-77a3def373ab",
  "aks-managed-orchestrator": "Kubernetes:1.33.5",
  "aks-managed-poolName": "monitoring",
  "aks-managed-resourceNameSuffix": "75743100.0",
  "aks-managed-ssh-access": "LocalUser",
  "purpose": "monitoring"
}</t>
  </si>
  <si>
    <t>{
  "Organization Name": "PT Nawa Darsana Teknologi",
  "Publisher": "Microsoft",
  "Publisher Customer ID": "346fa229-7c19-44ef-85c6-29e00edf66cf",
  "Unit Price": "1842.2975998952",
  "ERP": "2.6600230228",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</si>
  <si>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"1842.297599967",
  "ERP": "152.0192067108",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</si>
  <si>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"1842.2975999978",
  "ERP": "457.2685871182",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</si>
  <si>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"1842.2975999954",
  "ERP": "840.4664739614",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</si>
  <si>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{
  "Organization Name": "PT Nawa Darsana Teknologi",
  "Publisher": "Microsoft",
  "Publisher Customer ID": "346fa229-7c19-44ef-85c6-29e00edf66cf",
  "Unit Price": "429.8694399999",
  "ERP": "2089.141054",
  "BenefitType": "Charge",
  "CDC": "ITC",
  "ITC": "ITC"
}</t>
  </si>
  <si>
    <t>{
  "Organization Name": "PT Nawa Darsana Teknologi",
  "Publisher": "Microsoft",
  "Publisher Customer ID": "346fa229-7c19-44ef-85c6-29e00edf66cf",
  "Unit Price": "0.0",
  "ERP": "4.7592688",
  "BenefitType": "Charge",
  "CDC": "ITC",
  "ITC": "ITC"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</si>
  <si>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</si>
  <si>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Price=0.0; ERP=0.0;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</si>
  <si>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Price=153.5240595403; ERP=3.4892e-05;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</si>
  <si>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</si>
  <si>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Price=1842.2975999957; ERP=355.9428332174;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</si>
  <si>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Price=1743.607526942; ERP=467.8539511074;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</si>
  <si>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</si>
  <si>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Price=6140.9919999587; ERP=916.3127670554; BenefitType=Charge; ITC=CE</t>
  </si>
  <si>
    <t>Organization Name=PT Nawa Darsana Teknologi; Publisher=Microsoft; Publisher Customer ID=346fa229-7c19-44ef-85c6-29e00edf66cf; Unit Price=153.5247966073; ERP=0.006638203;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</si>
  <si>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Price=153.5247998166; ERP=0.0458411096;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</si>
  <si>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ERP=3170.8652943968;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</si>
  <si>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</si>
  <si>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ERP=15797.5873102476;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</si>
  <si>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ERP=29261.1512190998;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</si>
  <si>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Price=76.7624; ERP=64899.12; BenefitType=Charge; aks-managed-cluster-name=imbe; aks-managed-cluster-rg=rg-itc; Environment=Production; ITC=CE; k8s-azure-cluster-name=kubernetes; k8s-azure-service=portainer/portainer-agent; MD=ITC; Product=CE</t>
  </si>
  <si>
    <t>Organization Name=PT Nawa Darsana Teknologi; Publisher=Microsoft; Publisher Customer ID=346fa229-7c19-44ef-85c6-29e00edf66cf; Unit Price=153.5248; ERP=8791.6208385434;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</si>
  <si>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Price=153.5247999908; ERP=1.9762183298;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</si>
  <si>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Price=153.5247999985; ERP=178.3469984582;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</si>
  <si>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Price=1228.1983999905; ERP=295.3095253966;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</si>
  <si>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Price=1228.19839997; ERP=0.0572560274;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</si>
  <si>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Price=1228.1983999624; ERP=0.2780700494;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</si>
  <si>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Price=76.7624; ERP=279306.3520636532; BenefitType=Charge; aks-managed-cluster-name=Imbe; aks-managed-cluster-rg=rg-itc; Environment=Production; ITC=CE; MD=ITC; Product=CE</t>
  </si>
  <si>
    <t>Organization Name=PT Nawa Darsana Teknologi; Publisher=Microsoft; Publisher Customer ID=346fa229-7c19-44ef-85c6-29e00edf66cf; Unit Price=1228.1983991097; ERP=3.6122745516;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</si>
  <si>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Price=1228.1982738927; ERP=0.0005443152;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</si>
  <si>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Price=153.524799999; ERP=103.4798289668;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</si>
  <si>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ERP=31353.829714779;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</si>
  <si>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Price=1228.1983999989; ERP=527.017002512;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</si>
  <si>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Price=153.5247999968; ERP=4.1269088718;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</si>
  <si>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Price=1842.2965503045; ERP=0.0002564562;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</si>
  <si>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Price=153.5247999679; ERP=3.5229946466; BenefitType=Charge; ITC=CE</t>
  </si>
  <si>
    <t>Organization Name=PT Nawa Darsana Teknologi; Publisher=Microsoft; Publisher Customer ID=346fa229-7c19-44ef-85c6-29e00edf66cf; Unit Price=1228.1983996166; ERP=0.2333629298;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</si>
  <si>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Price=153.5247999861; ERP=1.5690618372;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</si>
  <si>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Price=2368.904172042; ERP=8722.9999982554; BenefitType=Charge; ITC=CE</t>
  </si>
  <si>
    <t>Organization Name=PT Nawa Darsana Teknologi; Publisher=Microsoft; Publisher Customer ID=346fa229-7c19-44ef-85c6-29e00edf66cf; Unit Price=2118.6422399999; ERP=156490.62; BenefitType=Charge; ITC=CE</t>
  </si>
  <si>
    <t>Organization Name=PT Nawa Darsana Teknologi; Publisher=Microsoft; Publisher Customer ID=346fa229-7c19-44ef-85c6-29e00edf66cf; Unit Price=460.5744; ERP=389394.72; BenefitType=Charge; CDC=ITC; ITC=ITC</t>
  </si>
  <si>
    <t>Organization Name=PT Nawa Darsana Teknologi; Publisher=Microsoft; Publisher Customer ID=346fa229-7c19-44ef-85c6-29e00edf66cf; Unit Price=0.0; ERP=0.0; BenefitType=Charge; ITC=CE</t>
  </si>
  <si>
    <t>Organization Name=PT Nawa Darsana Teknologi; Publisher=Microsoft; Publisher Customer ID=346fa229-7c19-44ef-85c6-29e00edf66cf; Unit Price=153.5247999982; ERP=180.1459287914;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</si>
  <si>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Price=153.524799999; ERP=108.0308029944;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</si>
  <si>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Price=153.5247999736; ERP=3.1976738508;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</si>
  <si>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Price=153.5247999989; ERP=54.7155530922;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</si>
  <si>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Price=1228.198398614; ERP=0.1551839146;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</si>
  <si>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</si>
  <si>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Price=1842.2975999991; ERP=5763.251181831;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</si>
  <si>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Price=1842.2975999302; ERP=4.0590247412;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</si>
  <si>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Price=1842.2975998954; ERP=2.5686373856;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</si>
  <si>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Price=6140.992; ERP=2971.4236552; BenefitType=Charge; Billing=ITC</t>
  </si>
  <si>
    <t>Organization Name=PT Nawa Darsana Teknologi; Publisher=Microsoft; Publisher Customer ID=346fa229-7c19-44ef-85c6-29e00edf66cf; Unit Price=1761.1685868435; ERP=54.486117257;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</si>
  <si>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Price=1842.2975999927; ERP=628.888915655;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</si>
  <si>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Price=6140.992; ERP=1097.632536; BenefitType=Charge; Billing=ITC</t>
  </si>
  <si>
    <t>Organization Name=PT Nawa Darsana Teknologi; Publisher=Microsoft; Publisher Customer ID=346fa229-7c19-44ef-85c6-29e00edf66cf; Unit Price=1720.3073947476; ERP=368.3689543248;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</si>
  <si>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Price=1842.2975998356; ERP=2.2085257766;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</si>
  <si>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Price=1842.2975979365; ERP=0.1680852316;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</si>
  <si>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Price=153.5247999958; ERP=106.779010624;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</si>
  <si>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Price=153.5247999816; ERP=0.1974485942;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</si>
  <si>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Price=153.5247999994; ERP=482.411968181;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</si>
  <si>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Price=3838.12; ERP=3200.38147;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</si>
  <si>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Price=3838.12; ERP=872.3130845;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</si>
  <si>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Price=3838.12; ERP=1818.65827;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</si>
  <si>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Price=3838.12; ERP=4361.5;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</si>
  <si>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Price=1919.06; ERP=4216.131205;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</si>
  <si>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Price=1919.06; ERP=36.34656025;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</si>
  <si>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Price=1534.72601568; ERP=3690318.464976; BenefitType=Charge; ITC=CE</t>
  </si>
  <si>
    <t>Organization Name=PT Nawa Darsana Teknologi; Publisher=Microsoft; Publisher Customer ID=346fa229-7c19-44ef-85c6-29e00edf66cf; Unit Price=1534.72601568; ERP=749922.93948; BenefitType=Charge; ITC=CE</t>
  </si>
  <si>
    <t>Organization Name=PT Nawa Darsana Teknologi; Publisher=Microsoft; Publisher Customer ID=346fa229-7c19-44ef-85c6-29e00edf66cf; Unit Price=153.5247999111; ERP=0.1132995578;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</si>
  <si>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Price=3838.12; ERP=84617.8976482554;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</si>
  <si>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Price=3838.12; ERP=12940.30881;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</si>
  <si>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Price=3838.12; ERP=4943.891095;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</si>
  <si>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ERP=129798.24; BenefitType=Charge; CDC=ITC; ITC=ITC</t>
  </si>
  <si>
    <t>Organization Name=PT Nawa Darsana Teknologi; Publisher=Microsoft; Publisher Customer ID=346fa229-7c19-44ef-85c6-29e00edf66cf; Unit Price=156702.7633599999; ERP=177776.435890768;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kubernetes.io-created-for-pv-name=pvc-277ed1dd-9df0-4b4c-b3ad-fff4d18afaec</t>
  </si>
  <si>
    <t>Organization Name=PT Nawa Darsana Teknologi; Publisher=Microsoft; Publisher Customer ID=346fa229-7c19-44ef-85c6-29e00edf66cf; Unit Price=1009.4252285605; ERP=480.574450785;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</si>
  <si>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Price=1010.2366945931; ERP=460.2201990958;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</si>
  <si>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Price=1228.1983997894; ERP=0.7386182804;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</si>
  <si>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Price=1228.198387535; ERP=0.0174442554;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</si>
  <si>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Price=1228.1983996827; ERP=0.6803102592;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</si>
  <si>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Price=1228.1983999982; ERP=1317.6279759786;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</si>
  <si>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Price=153.524799999; ERP=112.4063156216;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</si>
  <si>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Price=153.5247999895; ERP=0.3331871972;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</si>
  <si>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Price=302597.3808; ERP=549.83319534;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</si>
  <si>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Price=302597.3807999999; ERP=63314.37560448; BenefitType=Charge; aks-managed-consolidated-additional-properties=228c4f25-ea0d-11f0-aa94-664ac880d383; aks-managed-creationSource=vmssclient-aks-monitoring-30876736-vmss; aks-managed-enable-imds-restriction=False; aks-managed-kubeletIdentityClientID=295ca385-8ba8-4c59-8454-74b13124e52a; aks-managed-operationID=98236b2d-42cf-4cc3-b5e1-77a3def373ab; aks-managed-orchestrator=Kubernetes:1.33.5; aks-managed-poolName=monitoring; aks-managed-resourceNameSuffix=75743100.0; aks-managed-ssh-access=LocalUser; purpose=monitoring</t>
  </si>
  <si>
    <t>Organization Name=PT Nawa Darsana Teknologi; Publisher=Microsoft; Publisher Customer ID=346fa229-7c19-44ef-85c6-29e00edf66cf; Unit Price=153.5247999999; ERP=2879.875299158;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</si>
  <si>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ERP=3163.3900951224;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</si>
  <si>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Price=153.5247999702; ERP=10.9355610364; BenefitType=Charge; ITC=CE</t>
  </si>
  <si>
    <t>Organization Name=PT Nawa Darsana Teknologi; Publisher=Microsoft; Publisher Customer ID=346fa229-7c19-44ef-85c6-29e00edf66cf; Unit Price=153.5247999941; ERP=2.0444513804;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</si>
  <si>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Price=153.5247999993; ERP=19.477298841;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</si>
  <si>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Price=153.5247999898; ERP=0.3105161202;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</si>
  <si>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ERP=2876.6857272296;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</si>
  <si>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Price=153.5247999998; ERP=549.9615141592;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</si>
  <si>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Price=153.5247999893; ERP=0.3834578462;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</si>
  <si>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Price=1228.1983991304; ERP=0.8200562084; BenefitType=Charge; aks-managed-consolidated-additional-properties=228c4f25-ea0d-11f0-aa94-664ac880d383; aks-managed-creationSource=vmssclient-aks-monitoring-30876736-vmss; aks-managed-enable-imds-restriction=False; aks-managed-kubeletIdentityClientID=295ca385-8ba8-4c59-8454-74b13124e52a; aks-managed-operationID=98236b2d-42cf-4cc3-b5e1-77a3def373ab; aks-managed-orchestrator=Kubernetes:1.33.5; aks-managed-poolName=monitoring; aks-managed-resourceNameSuffix=75743100.0; aks-managed-ssh-access=LocalUser; purpose=monitoring</t>
  </si>
  <si>
    <t>Organization Name=PT Nawa Darsana Teknologi; Publisher=Microsoft; Publisher Customer ID=346fa229-7c19-44ef-85c6-29e00edf66cf; Unit Price=1228.1964268787; ERP=7.67624e-05;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</si>
  <si>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Price=1228.198399996; ERP=668.247754603;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</si>
  <si>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Price=1228.1983999987; ERP=1996.5821453864;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</si>
  <si>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Price=1228.1983999998; ERP=6699.5751651114;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</si>
  <si>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Price=3838.12; ERP=38677.782;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</si>
  <si>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Price=3838.12; ERP=64043.3936982554;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</si>
  <si>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Price=153.5247999897; ERP=11.5299706808;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</si>
  <si>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Price=153.5247999993; ERP=140.6994045028;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</si>
  <si>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Price=153.5247999684; ERP=0.613767726;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</si>
  <si>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Price=153.5247999993; ERP=131.6361743554;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</si>
  <si>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Price=153.524799405; ERP=0.0131124136;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</si>
  <si>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Price=153.5247999993; ERP=156.6730981816;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</si>
  <si>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Price=153.5247999994; ERP=174.4475906602;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</si>
  <si>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Price=153.5247999994; ERP=184.5418567278;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</si>
  <si>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Price=153.5247935667; ERP=0.0035572394;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</si>
  <si>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Price=153.5247999906; ERP=0.1754648896;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</si>
  <si>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Price=153.5247999994; ERP=173.0820154778;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</si>
  <si>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Price=153.5247997979; ERP=0.089698609;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</si>
  <si>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Price=153.5247999992; ERP=341.7589857396;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</si>
  <si>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Price=302597.3808; ERP=59.48789418;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</si>
  <si>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Price=1228.1964268787; ERP=7.67624e-05;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</si>
  <si>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Price=1228.1983185805; ERP=0.0005635058;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</si>
  <si>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Price=1228.1983997455; ERP=2.8895181744;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</si>
  <si>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Price=1228.198399996; ERP=858.5352438234;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</si>
  <si>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Price=1228.1983999998; ERP=5315.1636499104;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</si>
  <si>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Price=1228.198043016; ERP=0.0003105388;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</si>
  <si>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Price=1228.1983994872; ERP=1.7388375862;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</si>
  <si>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Price=1228.1983999428; ERP=3.5506029416;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</si>
  <si>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Price=1228.1983999986; ERP=1991.8284331374;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</si>
  <si>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Price=1228.1983999985; ERP=727.071270211;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</si>
  <si>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Price=1012.0654531751; ERP=141.0223927684;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</si>
  <si>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Price=153.5248; ERP=30662.207591301;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</si>
  <si>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ERP=55965.5230551846;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</si>
  <si>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Price=1919.06; ERP=529886.31124;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</si>
  <si>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Price=1919.06; ERP=3998.2786415;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</si>
  <si>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Price=1919.06; ERP=2180.75;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</si>
  <si>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Price=1919.06; ERP=165555.4525625;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</si>
  <si>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Price=153.524748958; ERP=0.0004344054;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</si>
  <si>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ERP=129798.24; BenefitType=Charge; ITC=CE</t>
  </si>
  <si>
    <t>Organization Name=PT Nawa Darsana Teknologi; Publisher=Microsoft; Publisher Customer ID=346fa229-7c19-44ef-85c6-29e00edf66cf; Unit Price=153.5248; ERP=129798.24; BenefitType=Charge; ITC=ITC</t>
  </si>
  <si>
    <t>Organization Name=PT Nawa Darsana Teknologi; Publisher=Microsoft; Publisher Customer ID=346fa229-7c19-44ef-85c6-29e00edf66cf; Unit Price=153.524799977; ERP=4.1128055254;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</si>
  <si>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Price=153.524799999; ERP=383.6908078718;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</si>
  <si>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Price=3838.12; ERP=1090.392446;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</si>
  <si>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Price=302597.3807999999; ERP=280009.86176592;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</si>
  <si>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Price=153.5247999975; ERP=154.536990751;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</si>
  <si>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Price=153.52479342; ERP=0.00331474;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</si>
  <si>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Price=1228.1983999642; ERP=1.4199840226;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</si>
  <si>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Price=1008.3049311394; ERP=102.3592811098; BenefitType=Charge; aks-managed-consolidated-additional-properties=228c4f25-ea0d-11f0-aa94-664ac880d383; aks-managed-creationSource=vmssclient-aks-monitoring-30876736-vmss; aks-managed-enable-imds-restriction=False; aks-managed-kubeletIdentityClientID=295ca385-8ba8-4c59-8454-74b13124e52a; aks-managed-operationID=98236b2d-42cf-4cc3-b5e1-77a3def373ab; aks-managed-orchestrator=Kubernetes:1.33.5; aks-managed-poolName=monitoring; aks-managed-resourceNameSuffix=75743100.0; aks-managed-ssh-access=LocalUser; purpose=monitoring</t>
  </si>
  <si>
    <t>Organization Name=PT Nawa Darsana Teknologi; Publisher=Microsoft; Publisher Customer ID=346fa229-7c19-44ef-85c6-29e00edf66cf; Unit Price=1228.1983969174; ERP=0.0798834894;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</si>
  <si>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Price=1228.1983998337; ERP=0.9904635026;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</si>
  <si>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ERP=2458.8350233018;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</si>
  <si>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Price=153.5248; ERP=3245.1117561434;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</si>
  <si>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Price=1842.2975997956; ERP=0.5805191392;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</si>
  <si>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Price=1842.2975998423; ERP=2.2567779234;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</si>
  <si>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Price=1842.2975818392; ERP=0.017350047;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</si>
  <si>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Price=1842.2975999976; ERP=1477.2965087452;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</si>
  <si>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Price=3838.12; ERP=945.006205;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</si>
  <si>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Price=3838.12; ERP=3125.79982;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</si>
  <si>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ERP=90319.3922755124;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</si>
  <si>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Price=153.5247999992; ERP=131.799365984;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</si>
  <si>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Price=1535.248; ERP=1297935.0107829534; BenefitType=Charge; Environment=Production; ITC=CE; MD=ITC; Product=CE</t>
  </si>
  <si>
    <t>Organization Name=PT Nawa Darsana Teknologi; Publisher=Microsoft; Publisher Customer ID=346fa229-7c19-44ef-85c6-29e00edf66cf; Unit Price=153.5248; ERP=29494.186786922;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</si>
  <si>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Price=1686.7813396093; ERP=1406.624564917;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</si>
  <si>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Price=153.524799961; ERP=6.8342454466; BenefitType=Charge; ITC=CE</t>
  </si>
  <si>
    <t>Organization Name=PT Nawa Darsana Teknologi; Publisher=Microsoft; Publisher Customer ID=346fa229-7c19-44ef-85c6-29e00edf66cf; Unit Price=1842.2975999965; ERP=1256.4196479978;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</si>
  <si>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Price=1758.3018731895; ERP=472.3825436616;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</si>
  <si>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Price=1842.297599995; ERP=321.3455641968;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</si>
  <si>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Price=1919.06; ERP=296327.8335875;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</si>
  <si>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Price=1919.06; ERP=2689.6716275;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</si>
  <si>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Price=1919.06; ERP=1453.8406025;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</si>
  <si>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Price=1919.06; ERP=763.393345;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</si>
  <si>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Price=1919.06; ERP=581.544964;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</si>
  <si>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Price=1842.2975758007; ERP=0.0108706026;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</si>
  <si>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Price=3684.5952; ERP=327107.4218409998; BenefitType=Charge; ITC=CE</t>
  </si>
  <si>
    <t>Organization Name=PT Nawa Darsana Teknologi; Publisher=Microsoft; Publisher Customer ID=346fa229-7c19-44ef-85c6-29e00edf66cf; Unit Price=153.52479329; ERP=0.0022557678;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</si>
  <si>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Price=153.5247999993; ERP=75.9650549944;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</si>
  <si>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Price=153.5247999951; ERP=95.8583223026;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</si>
  <si>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Price=153.5247999986; ERP=101.2766346878;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</si>
  <si>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Price=153.5247999983; ERP=67.1569167698;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</si>
  <si>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Price=153.5247999068; ERP=0.1089694606;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</si>
  <si>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Price=153.5247998441; ERP=0.1984517392;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</si>
  <si>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Price=153.5247999819; ERP=5.4402611978;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</si>
  <si>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Price=1020.8406867171; ERP=469.3311370748;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</si>
  <si>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Price=1228.1983879138; ERP=0.0174494892;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</si>
  <si>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Price=1228.1983998064; ERP=0.0790670166;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</si>
  <si>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Price=1228.1983999985; ERP=1625.992557761;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</si>
  <si>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Price=1008.6208298397; ERP=159.1258697028;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</si>
  <si>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Price=1228.1983999935; ERP=489.6073493168;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</si>
  <si>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Price=1228.1983822969; ERP=0.0138189766;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</si>
  <si>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Price=1228.1983999925; ERP=451.3067236678;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</si>
  <si>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Price=153.524799694; ERP=0.368503135; BenefitType=Charge; ITC=CE</t>
  </si>
  <si>
    <t>Organization Name=PT Nawa Darsana Teknologi; Publisher=Microsoft; Publisher Customer ID=346fa229-7c19-44ef-85c6-29e00edf66cf; Unit Price=1228.1983999988; ERP=745.0865384248;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</si>
  <si>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Price=1228.198399999; ERP=534.28532014;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</si>
  <si>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Price=1228.1983999913; ERP=9.4288023544;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</si>
  <si>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Price=383.812; ERP=324495.6; BenefitType=Charge; aks-managed-cluster-name=Imbe; aks-managed-cluster-rg=rg-itc; Environment=Production; ITC=CE; MD=ITC; Product=CE</t>
  </si>
  <si>
    <t>Organization Name=PT Nawa Darsana Teknologi; Publisher=Microsoft; Publisher Customer ID=346fa229-7c19-44ef-85c6-29e00edf66cf; Unit Price=76.7624; ERP=11918.234385343; BenefitType=Charge; aks-managed-cluster-name=imbe; aks-managed-cluster-rg=rg-itc; Environment=Production; ITC=CE; MD=ITC; Product=CE</t>
  </si>
  <si>
    <t>Organization Name=PT Nawa Darsana Teknologi; Publisher=Microsoft; Publisher Customer ID=346fa229-7c19-44ef-85c6-29e00edf66cf; Unit Price=0.0; ERP=0.0; BenefitType=Charge; aks-managed-consolidated-additional-properties=228c4f25-ea0d-11f0-aa94-664ac880d383; aks-managed-creationSource=vmssclient-aks-monitoring-30876736-vmss; aks-managed-enable-imds-restriction=False; aks-managed-kubeletIdentityClientID=295ca385-8ba8-4c59-8454-74b13124e52a; aks-managed-operationID=98236b2d-42cf-4cc3-b5e1-77a3def373ab; aks-managed-orchestrator=Kubernetes:1.33.5; aks-managed-poolName=monitoring; aks-managed-resourceNameSuffix=75743100.0; aks-managed-ssh-access=LocalUser; purpose=monitoring</t>
  </si>
  <si>
    <t>Organization Name=PT Nawa Darsana Teknologi; Publisher=Microsoft; Publisher Customer ID=346fa229-7c19-44ef-85c6-29e00edf66cf; Unit Price=76.7624; ERP=64899.12; BenefitType=Charge; aks-managed-cluster-name=Imbe; aks-managed-cluster-rg=rg-itc; aks-managed-type=aks-slb-managed-outbound-ip; Environment=Production; ITC=CE; MD=ITC; Product=CE</t>
  </si>
  <si>
    <t>Organization Name=PT Nawa Darsana Teknologi; Publisher=Microsoft; Publisher Customer ID=346fa229-7c19-44ef-85c6-29e00edf66cf; Unit Price=3838.12; ERP=11414.1327282554;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</si>
  <si>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Price=2368.904172042; ERP=8722.9999982554; BenefitType=Charge; Billing=ITC</t>
  </si>
  <si>
    <t>Organization Name=PT Nawa Darsana Teknologi; Publisher=Microsoft; Publisher Customer ID=346fa229-7c19-44ef-85c6-29e00edf66cf; Unit Price=153.5247999914; ERP=47.0672476274;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</si>
  <si>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Price=153.5247999986; ERP=218.7500590132;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</si>
  <si>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Price=153.5247941953; ERP=0.0025331592;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</si>
  <si>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Price=1228.1983999981; ERP=545.2637425092;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</si>
  <si>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Price=1228.1983850217; ERP=0.0150349628;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</si>
  <si>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Price=1228.1983999984; ERP=1722.971051087;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</si>
  <si>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Price=1228.1983999987; ERP=629.2576700124; BenefitType=Charge; aks-managed-consolidated-additional-properties=228c54eb-ea0d-11f0-aa94-664ac880d383; aks-managed-creationSource=vmssclient-aks-usereph2-42372498-vmss; aks-managed-enable-imds-restriction=False; aks-managed-kubeletIdentityClientID=295ca385-8ba8-4c59-8454-74b13124e52a; aks-managed-operationID=98236b2d-42cf-4cc3-b5e1-77a3def373ab; aks-managed-orchestrator=Kubernetes:1.33.5; aks-managed-poolName=usereph2; aks-managed-resourceNameSuffix=75743100.0; aks-managed-ssh-access=LocalUser</t>
  </si>
  <si>
    <t>Organization Name=PT Nawa Darsana Teknologi; Publisher=Microsoft; Publisher Customer ID=346fa229-7c19-44ef-85c6-29e00edf66cf; Unit Price=1228.1983999998; ERP=5468.3139087148;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</si>
  <si>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ERP=129798.24; BenefitType=Charge; Billing=ITC</t>
  </si>
  <si>
    <t>Organization Name=PT Nawa Darsana Teknologi; Publisher=Microsoft; Publisher Customer ID=346fa229-7c19-44ef-85c6-29e00edf66cf; Unit Price=153.5247999997; ERP=25.7568836096;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</si>
  <si>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ERP=204.7095182132;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</si>
  <si>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Price=153.5247999965; ERP=4.8391522894;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</si>
  <si>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Price=153.5247999974; ERP=30.4119317502; BenefitType=Charge; aks-managed-consolidated-additional-properties=228c5aed-ea0d-11f0-aa94-664ac880d383; aks-managed-creationSource=vmssclient-aks-systemeph-38276485-vmss; aks-managed-enable-imds-restriction=False; aks-managed-kubeletIdentityClientID=295ca385-8ba8-4c59-8454-74b13124e52a; aks-managed-operationID=98236b2d-42cf-4cc3-b5e1-77a3def373ab; aks-managed-orchestrator=Kubernetes:1.33.5; aks-managed-poolName=systemeph; aks-managed-resourceNameSuffix=75743100.0; aks-managed-ssh-access=LocalUser</t>
  </si>
  <si>
    <t>Organization Name=PT Nawa Darsana Teknologi; Publisher=Microsoft; Publisher Customer ID=346fa229-7c19-44ef-85c6-29e00edf66cf; Unit Price=153.5248; ERP=40489.327413678;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</si>
  <si>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Price=1228.1983999694; ERP=1.9439048486;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</si>
  <si>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Price=153.524799383; ERP=0.0287405404;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</si>
  <si>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Price=153.5247999998; ERP=2500.5924395166;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</si>
  <si>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ERP=6765.801133663;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</si>
  <si>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ERP=3454.2693448978;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</si>
  <si>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ERP=10421.86400255;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</si>
  <si>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Price=1228.1983993811; ERP=0.3853960968;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</si>
  <si>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Price=1228.198397683; ERP=0.0297750882;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</si>
  <si>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Price=1228.198399999; ERP=2211.7680441714;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</si>
  <si>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Price=153.5247999999; ERP=48.9011885934;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</si>
  <si>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Price=153.5247999018; ERP=0.1579839976;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</si>
  <si>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ERP=33219.3228778554;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</si>
  <si>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ERP=107895.8374393614;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</si>
  <si>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Price=153.5248; ERP=35096.896343938;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</si>
  <si>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Price=1681.1636731898; ERP=14.5705747044; BenefitType=Charge; aks-managed-consolidated-additional-properties=228c4f25-ea0d-11f0-aa94-664ac880d383; aks-managed-creationSource=vmssclient-aks-monitoring-30876736-vmss; aks-managed-enable-imds-restriction=False; aks-managed-kubeletIdentityClientID=295ca385-8ba8-4c59-8454-74b13124e52a; aks-managed-operationID=98236b2d-42cf-4cc3-b5e1-77a3def373ab; aks-managed-orchestrator=Kubernetes:1.33.5; aks-managed-poolName=monitoring; aks-managed-resourceNameSuffix=75743100.0; aks-managed-ssh-access=LocalUser; purpose=monitoring</t>
  </si>
  <si>
    <t>Organization Name=PT Nawa Darsana Teknologi; Publisher=Microsoft; Publisher Customer ID=346fa229-7c19-44ef-85c6-29e00edf66cf; Unit Price=1842.2975998952; ERP=2.6600230228;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</si>
  <si>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Organization Name=PT Nawa Darsana Teknologi; Publisher=Microsoft; Publisher Customer ID=346fa229-7c19-44ef-85c6-29e00edf66cf; Unit Price=1842.297599967; ERP=152.0192067108;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</si>
  <si>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Organization Name=PT Nawa Darsana Teknologi; Publisher=Microsoft; Publisher Customer ID=346fa229-7c19-44ef-85c6-29e00edf66cf; Unit Price=1842.2975999978; ERP=457.2685871182;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</si>
  <si>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Price=1842.2975999954; ERP=840.4664739614;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</si>
  <si>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Organization Name=PT Nawa Darsana Teknologi; Publisher=Microsoft; Publisher Customer ID=346fa229-7c19-44ef-85c6-29e00edf66cf; Unit Price=429.8694399999; ERP=2089.141054; BenefitType=Charge; CDC=ITC; ITC=ITC</t>
  </si>
  <si>
    <t>Organization Name=PT Nawa Darsana Teknologi; Publisher=Microsoft; Publisher Customer ID=346fa229-7c19-44ef-85c6-29e00edf66cf; Unit Price=0.0; ERP=4.7592688; BenefitType=Charge; CDC=ITC; ITC=ITC</t>
  </si>
  <si>
    <t>Organization Name=PT Nawa Darsana Teknologi; Publisher=Microsoft; Publisher Customer ID=346fa229-7c19-44ef-85c6-29e00edf66cf; Unit Price=383.812; ERP=324495.6; BenefitType=Charge; aks-managed-cluster-name=imbe; aks-managed-cluster-rg=rg-itc; Environment=Production; ITC=CE; MD=ITC; Product=CE</t>
  </si>
  <si>
    <t>SQL DB Single/Elastic Pool Gen Pur-Compute G5</t>
  </si>
  <si>
    <t>Redis Cache Reservation</t>
  </si>
  <si>
    <t>Azure Front Door</t>
  </si>
  <si>
    <t>Redis Cache</t>
  </si>
  <si>
    <t>Azure Front Door Service</t>
  </si>
  <si>
    <t>SQL Database Single/Elastic Pool General Purpose - Compute Gen5</t>
  </si>
  <si>
    <t>Standard Cache</t>
  </si>
  <si>
    <t>Premium Requests</t>
  </si>
  <si>
    <t>Premium Data Transfer Out</t>
  </si>
  <si>
    <t>mokita-production</t>
  </si>
  <si>
    <t>MOKITA-PRODUCTION</t>
  </si>
  <si>
    <t>{
  "Organization Name": "PT Nawa Darsana Teknologi",
  "Publisher": "Microsoft",
  "Publisher Customer ID": "346fa229-7c19-44ef-85c6-29e00edf66cf",
  "Unit Price": "0.44522192",
  "ERP": "210.974478",
  "BenefitType": "Charge"
}</t>
  </si>
  <si>
    <t>{
  "Organization Name": "PT Nawa Darsana Teknologi",
  "Publisher": "Microsoft",
  "Publisher Customer ID": "346fa229-7c19-44ef-85c6-29e00edf66cf",
  "Unit Price": "153.5248",
  "ERP": "129798.24",
  "BenefitType": "Charge"
}</t>
  </si>
  <si>
    <t>{
  "Organization Name": "PT Nawa Darsana Teknologi",
  "Publisher": "Microsoft",
  "Publisher Customer ID": "346fa229-7c19-44ef-85c6-29e00edf66cf",
  "Unit Price": "0.44522192",
  "ERP": "209.456676",
  "BenefitType": "Charge"
}</t>
  </si>
  <si>
    <t>Organization Name=PT Nawa Darsana Teknologi; Publisher=Microsoft; Publisher Customer ID=346fa229-7c19-44ef-85c6-29e00edf66cf; Unit Price=0.44522192; ERP=210.974478; BenefitType=Charge</t>
  </si>
  <si>
    <t>Organization Name=PT Nawa Darsana Teknologi; Publisher=Microsoft; Publisher Customer ID=346fa229-7c19-44ef-85c6-29e00edf66cf; Unit Price=153.5248; ERP=129798.24; BenefitType=Charge</t>
  </si>
  <si>
    <t>Organization Name=PT Nawa Darsana Teknologi; Publisher=Microsoft; Publisher Customer ID=346fa229-7c19-44ef-85c6-29e00edf66cf; Unit Price=0.44522192; ERP=209.456676; BenefitType=Charge</t>
  </si>
  <si>
    <t>mc_rg-kawista_kawista_southeastasia</t>
  </si>
  <si>
    <t>MC_RG-KAWISTA_KAWISTA_SOUTHEASTASIA</t>
  </si>
  <si>
    <t>RG-KAWISTA</t>
  </si>
  <si>
    <t>rg-kawista</t>
  </si>
  <si>
    <t>aks-usereph2-20887657-vmss</t>
  </si>
  <si>
    <t>aks-monitoring-32215719-vmss</t>
  </si>
  <si>
    <t>aks-systemeph-20273592-vmss</t>
  </si>
  <si>
    <t>kemangkon</t>
  </si>
  <si>
    <t>moschatuhub</t>
  </si>
  <si>
    <t>aks-yellow-to-database-kemangkon</t>
  </si>
  <si>
    <t>aks-monitoring-32215aks-monitoring-322157OS__1_d75bc783381e4e8a93064182bd7a0f84</t>
  </si>
  <si>
    <t>9e9e5f6d-96d3-491c-9c77-ace8958eaded</t>
  </si>
  <si>
    <t>eventhub-moschatuhub-to-aks-salvia</t>
  </si>
  <si>
    <t>redis-kawista-private-endpoint</t>
  </si>
  <si>
    <t>sql-kawista-access-to-vpn</t>
  </si>
  <si>
    <t>CURL-API-MSK</t>
  </si>
  <si>
    <t>api-curl-msk</t>
  </si>
  <si>
    <t>aks-monitoring-32215aks-monitoring-322157OS__1_fce95c5e9bae4997a6f37019b93cb2c6</t>
  </si>
  <si>
    <t>aks-kawista-access-to-seroja</t>
  </si>
  <si>
    <t>aks-salvia-to-sql-kawista</t>
  </si>
  <si>
    <t>aks-monitoring-32215aks-monitoring-322157disk1_e082c94ed45345d791c3875b7858031d</t>
  </si>
  <si>
    <t>keemanaan</t>
  </si>
  <si>
    <t>aks-monitoring-32215aks-monitoring-322157OS__1_b0dbb43e966141dda02a05b9756846f7</t>
  </si>
  <si>
    <t>sql-access-to-aks-kawista</t>
  </si>
  <si>
    <t>Kawista</t>
  </si>
  <si>
    <t>{
  "Organization Name": "PT Nawa Darsana Teknologi",
  "Publisher": "Microsoft",
  "Publisher Customer ID": "346fa229-7c19-44ef-85c6-29e00edf66cf",
  "Unit Price": "153.5247999999",
  "ERP": "3257.1456213868",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</si>
  <si>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"1842.297599621",
  "ERP": "0.3080475112",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</si>
  <si>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"1842.2975998479",
  "ERP": "1.7038740576",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</si>
  <si>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</si>
  <si>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</si>
  <si>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"f5c47d0e-ea10-11f0-bb73-46f542307458",
  "aks-managed-creationSource": "vmssclient-aks-systemeph-20273592-vmss",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"systemeph",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</si>
  <si>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"153.5247999978",
  "ERP": "42.800690504",
  "BenefitType": "Charge",
  "aks-managed-consolidated-additional-properties": "f5c47d0e-ea10-11f0-bb73-46f542307458",
  "aks-managed-creationSource": "vmssclient-aks-systemeph-20273592-vmss",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"systemeph",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</si>
  <si>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"1919.06",
  "ERP": "2653.4275625",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</si>
  <si>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"4.8569664",
  "BenefitType": "Charge"
}</t>
  </si>
  <si>
    <t>{
  "Organization Name": "PT Nawa Darsana Teknologi",
  "Publisher": "Microsoft",
  "Publisher Customer ID": "346fa229-7c19-44ef-85c6-29e00edf66cf",
  "Unit Price": "3684.5951999998",
  "ERP": "60380.7796679516",
  "BenefitType": "Charge"
}</t>
  </si>
  <si>
    <t>{
  "Organization Name": "PT Nawa Darsana Teknologi",
  "Publisher": "Microsoft",
  "Publisher Customer ID": "346fa229-7c19-44ef-85c6-29e00edf66cf",
  "Unit Price": "302597.3807999999",
  "ERP": "63776.52433152",
  "BenefitType": "Charge",
  "aks-managed-consolidated-additional-properties": "f5c47483-ea10-11f0-bb73-46f542307458",
  "aks-managed-creationSource": "vmssclient-aks-monitoring-32215719-vmss",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"monitoring",
  "aks-managed-resourceNameSuffix": "51599822.0",
  "aks-managed-ssh-access": "LocalUser",
  "purpose": "monitoring"
}</t>
  </si>
  <si>
    <t>{
  "Organization Name": "PT Nawa Darsana Teknologi",
  "Publisher": "Microsoft",
  "Publisher Customer ID": "346fa229-7c19-44ef-85c6-29e00edf66cf",
  "Unit Price": "153.5247999999",
  "ERP": "1233.4975893526",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</si>
  <si>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</si>
  <si>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"Kawista",
  "aks-managed-cluster-rg": "rg-kawista",
  "aks-managed-type": "aks-slb-managed-outbound-ip",
  "Environment": "Production",
  "Kawista": "CE",
  "Product": "CE"
}</t>
  </si>
  <si>
    <t>{
  "Organization Name": "PT Nawa Darsana Teknologi",
  "Publisher": "Microsoft",
  "Publisher Customer ID": "346fa229-7c19-44ef-85c6-29e00edf66cf",
  "Unit Price": "153.5248",
  "ERP": "129798.24",
  "BenefitType": "Charge",
  "Kawsita": "Kawista"
}</t>
  </si>
  <si>
    <t>{
  "Organization Name": "PT Nawa Darsana Teknologi",
  "Publisher": "Microsoft",
  "Publisher Customer ID": "346fa229-7c19-44ef-85c6-29e00edf66cf",
  "Unit Price": "153.5248",
  "ERP": "129798.24",
  "BenefitType": "Charge",
  "Billing": "MSK"
}</t>
  </si>
  <si>
    <t>{
  "Organization Name": "PT Nawa Darsana Teknologi",
  "Publisher": "Microsoft",
  "Publisher Customer ID": "346fa229-7c19-44ef-85c6-29e00edf66cf",
  "Unit Price": "153.5248",
  "ERP": "129798.24",
  "BenefitType": "Charge",
  "Kawista": "CE"
}</t>
  </si>
  <si>
    <t>{
  "Organization Name": "PT Nawa Darsana Teknologi",
  "Publisher": "Microsoft",
  "Publisher Customer ID": "346fa229-7c19-44ef-85c6-29e00edf66cf",
  "Unit Price": "429.8694399981",
  "ERP": "725.1174473114",
  "BenefitType": "Charge"
}</t>
  </si>
  <si>
    <t>{
  "Organization Name": "PT Nawa Darsana Teknologi",
  "Publisher": "Microsoft",
  "Publisher Customer ID": "346fa229-7c19-44ef-85c6-29e00edf66cf",
  "Unit Price": "153.524799986",
  "ERP": "0.5992980136",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</si>
  <si>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"153.5247999971",
  "ERP": "27.661313394",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</si>
  <si>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"f5c47483-ea10-11f0-bb73-46f542307458",
  "aks-managed-creationSource": "vmssclient-aks-monitoring-32215719-vmss",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"monitoring",
  "aks-managed-resourceNameSuffix": "51599822.0",
  "aks-managed-ssh-access": "LocalUser",
  "purpose": "monitoring"
}</t>
  </si>
  <si>
    <t>{
  "Organization Name": "PT Nawa Darsana Teknologi",
  "Publisher": "Microsoft",
  "Publisher Customer ID": "346fa229-7c19-44ef-85c6-29e00edf66cf",
  "Unit Price": "1228.1983999892",
  "ERP": "139.067465537",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</si>
  <si>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"1228.1983999983",
  "ERP": "1910.0918243836",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</si>
  <si>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"153.5247999606",
  "ERP": "6.759095057",
  "BenefitType": "Charge",
  "Kawista": "CE"
}</t>
  </si>
  <si>
    <t>{
  "Organization Name": "PT Nawa Darsana Teknologi",
  "Publisher": "Microsoft",
  "Publisher Customer ID": "346fa229-7c19-44ef-85c6-29e00edf66cf",
  "Unit Price": "2.24146208",
  "ERP": "6293.923636",
  "BenefitType": "Charge"
}</t>
  </si>
  <si>
    <t>{
  "Organization Name": "PT Nawa Darsana Teknologi",
  "Publisher": "Microsoft",
  "Publisher Customer ID": "346fa229-7c19-44ef-85c6-29e00edf66cf",
  "Unit Price": "2368.904172042",
  "ERP": "8722.9999982554",
  "BenefitType": "Charge",
  "Billing": "MSK"
}</t>
  </si>
  <si>
    <t>{
  "Organization Name": "PT Nawa Darsana Teknologi",
  "Publisher": "Microsoft",
  "Publisher Customer ID": "346fa229-7c19-44ef-85c6-29e00edf66cf",
  "Unit Price": "6140.992",
  "ERP": "2504.2546672",
  "BenefitType": "Charge",
  "Billing": "MSK"
}</t>
  </si>
  <si>
    <t>{
  "Organization Name": "PT Nawa Darsana Teknologi",
  "Publisher": "Microsoft",
  "Publisher Customer ID": "346fa229-7c19-44ef-85c6-29e00edf66cf",
  "Unit Price": "153.5247996725",
  "ERP": "0.339708512",
  "BenefitType": "Charge",
  "Kawista": "CE"
}</t>
  </si>
  <si>
    <t>{
  "Organization Name": "PT Nawa Darsana Teknologi",
  "Publisher": "Microsoft",
  "Publisher Customer ID": "346fa229-7c19-44ef-85c6-29e00edf66cf",
  "Unit Price": "153.5247999704",
  "ERP": "4.450282694",
  "BenefitType": "Charge",
  "aks-managed-consolidated-additional-properties": "f5c47d0e-ea10-11f0-bb73-46f542307458",
  "aks-managed-creationSource": "vmssclient-aks-systemeph-20273592-vmss",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"systemeph",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</si>
  <si>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"153.5247999966",
  "ERP": "115.0909689072",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</si>
  <si>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"153.5247999978",
  "ERP": "111.5321244752",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</si>
  <si>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"1842.2975999517",
  "ERP": "101.868397774",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</si>
  <si>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"1685.0068149313",
  "ERP": "14.3421681832",
  "BenefitType": "Charge",
  "aks-managed-consolidated-additional-properties": "f5c47483-ea10-11f0-bb73-46f542307458",
  "aks-managed-creationSource": "vmssclient-aks-monitoring-32215719-vmss",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"monitoring",
  "aks-managed-resourceNameSuffix": "51599822.0",
  "aks-managed-ssh-access": "LocalUser",
  "purpose": "monitoring"
}</t>
  </si>
  <si>
    <t>{
  "Organization Name": "PT Nawa Darsana Teknologi",
  "Publisher": "Microsoft",
  "Publisher Customer ID": "346fa229-7c19-44ef-85c6-29e00edf66cf",
  "Unit Price": "153.5247999541",
  "ERP": "9.6635871332",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</si>
  <si>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"153.5247999987",
  "ERP": "166.591103822",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</si>
  <si>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"153.524799998",
  "ERP": "59.074650778",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</si>
  <si>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"153.5247999975",
  "ERP": "28.2167050594",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</si>
  <si>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"1228.1983986247",
  "ERP": "0.0353961894",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</si>
  <si>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"1016.154733608",
  "ERP": "192.5055352792",
  "BenefitType": "Charge",
  "aks-managed-consolidated-additional-properties": "f5c47d0e-ea10-11f0-bb73-46f542307458",
  "aks-managed-creationSource": "vmssclient-aks-systemeph-20273592-vmss",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"systemeph",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</si>
  <si>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"1228.1983999979",
  "ERP": "788.811661066",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</si>
  <si>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"1228.1983999984",
  "ERP": "2203.266863083",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</si>
  <si>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"1228.1983998499",
  "ERP": "1.1448117538",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</si>
  <si>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"302597.3808",
  "ERP": "45.38960712",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</si>
  <si>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"153.5247999999",
  "ERP": "3559.7134887886",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</si>
  <si>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"2268.4343863038",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</si>
  <si>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"26703.7116846786",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</si>
  <si>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"9373.6572546188",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</si>
  <si>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"1228.1980430187",
  "ERP": "0.0006228222",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</si>
  <si>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"1228.1983999995",
  "ERP": "3662.5788155528",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</si>
  <si>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"153.5247999982",
  "ERP": "136.097153192",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</si>
  <si>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"153.5247999771",
  "ERP": "3.8363945906",
  "BenefitType": "Charge",
  "aks-managed-consolidated-additional-properties": "f5c47d0e-ea10-11f0-bb73-46f542307458",
  "aks-managed-creationSource": "vmssclient-aks-systemeph-20273592-vmss",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"systemeph",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</si>
  <si>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"153.5247999986",
  "ERP": "177.2099571528",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</si>
  <si>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"153.5247999974",
  "ERP": "169.9583684942",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</si>
  <si>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"129798.24",
  "BenefitType": "Charge",
  "Kawsita": "CE"
}</t>
  </si>
  <si>
    <t>{
  "Organization Name": "PT Nawa Darsana Teknologi",
  "Publisher": "Microsoft",
  "Publisher Customer ID": "346fa229-7c19-44ef-85c6-29e00edf66cf",
  "Unit Price": "153.5248",
  "ERP": "129798.24",
  "BenefitType": "Charge",
  "Kawista": "Kawista"
}</t>
  </si>
  <si>
    <t>{
  "Organization Name": "PT Nawa Darsana Teknologi",
  "Publisher": "Microsoft",
  "Publisher Customer ID": "346fa229-7c19-44ef-85c6-29e00edf66cf",
  "Unit Price": "153.5247999719",
  "ERP": "3.2999754502",
  "BenefitType": "Charge",
  "Kawista": "CE"
}</t>
  </si>
  <si>
    <t>{
  "Organization Name": "PT Nawa Darsana Teknologi",
  "Publisher": "Microsoft",
  "Publisher Customer ID": "346fa229-7c19-44ef-85c6-29e00edf66cf",
  "Unit Price": "153.5247995497",
  "ERP": "0.0660523006",
  "BenefitType": "Charge",
  "Kawista": "CE"
}</t>
  </si>
  <si>
    <t>{
  "Organization Name": "PT Nawa Darsana Teknologi",
  "Publisher": "Microsoft",
  "Publisher Customer ID": "346fa229-7c19-44ef-85c6-29e00edf66cf",
  "Unit Price": "302597.3808",
  "ERP": "307.06756938",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</si>
  <si>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"1228.1983999969",
  "ERP": "523.0441924136",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</si>
  <si>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"1228.1983989219",
  "ERP": "3.59893534",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</si>
  <si>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"153.5247979514",
  "ERP": "0.001753323",
  "BenefitType": "Charge",
  "Kawista": "CE"
}</t>
  </si>
  <si>
    <t>{
  "Organization Name": "PT Nawa Darsana Teknologi",
  "Publisher": "Microsoft",
  "Publisher Customer ID": "346fa229-7c19-44ef-85c6-29e00edf66cf",
  "Unit Price": "1228.1983999945",
  "ERP": "141.42320764",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</si>
  <si>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"153.5248",
  "ERP": "1221.0499049892",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</si>
  <si>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"153.5247999999",
  "ERP": "999.692384262",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</si>
  <si>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"1228.198043016",
  "ERP": "0.0004675528",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</si>
  <si>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"1228.1983662456",
  "ERP": "0.0007798362",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</si>
  <si>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"1011.5373703135",
  "ERP": "95.3520795084",
  "BenefitType": "Charge",
  "aks-managed-consolidated-additional-properties": "f5c47483-ea10-11f0-bb73-46f542307458",
  "aks-managed-creationSource": "vmssclient-aks-monitoring-32215719-vmss",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"monitoring",
  "aks-managed-resourceNameSuffix": "51599822.0",
  "aks-managed-ssh-access": "LocalUser",
  "purpose": "monitoring"
}</t>
  </si>
  <si>
    <t>{
  "Organization Name": "PT Nawa Darsana Teknologi",
  "Publisher": "Microsoft",
  "Publisher Customer ID": "346fa229-7c19-44ef-85c6-29e00edf66cf",
  "Unit Price": "230287.1999999971",
  "ERP": "260986.5322571078",
  "BenefitType": "Charge",
  "Kawista": "CE",
  "Product": "CE"
}</t>
  </si>
  <si>
    <t>{
  "Organization Name": "PT Nawa Darsana Teknologi",
  "Publisher": "Microsoft",
  "Publisher Customer ID": "346fa229-7c19-44ef-85c6-29e00edf66cf",
  "Unit Price": "153.5247999997",
  "ERP": "1249.7714118032",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</si>
  <si>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"Kawista",
  "aks-managed-cluster-rg": "rg-kawista",
  "Environment": "Production",
  "Kawista": "CE",
  "Product": "CE"
}</t>
  </si>
  <si>
    <t>{
  "Organization Name": "PT Nawa Darsana Teknologi",
  "Publisher": "Microsoft",
  "Publisher Customer ID": "346fa229-7c19-44ef-85c6-29e00edf66cf",
  "Unit Price": "76.7623999999",
  "ERP": "3448.39982487",
  "BenefitType": "Charge",
  "aks-managed-cluster-name": "kawista",
  "aks-managed-cluster-rg": "rg-kawista",
  "Environment": "Production",
  "Kawista": "CE",
  "Product": "CE"
}</t>
  </si>
  <si>
    <t>{
  "Organization Name": "PT Nawa Darsana Teknologi",
  "Publisher": "Microsoft",
  "Publisher Customer ID": "346fa229-7c19-44ef-85c6-29e00edf66cf",
  "Unit Price": "1919.06",
  "ERP": "2180.75",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</si>
  <si>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"2118.6422399999",
  "ERP": "100153.9968",
  "BenefitType": "Charge"
}</t>
  </si>
  <si>
    <t>{
  "Organization Name": "PT Nawa Darsana Teknologi",
  "Publisher": "Microsoft",
  "Publisher Customer ID": "346fa229-7c19-44ef-85c6-29e00edf66cf",
  "Unit Price": "2155.4881919822",
  "ERP": "42.7651913832",
  "BenefitType": "Charge"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</si>
  <si>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</si>
  <si>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"153.524799998",
  "ERP": "115.9507182548",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</si>
  <si>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"153.5247996265",
  "ERP": "0.0378717768",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</si>
  <si>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"302597.3807999999",
  "ERP": "279781.53828768",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</si>
  <si>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"153.5247999989",
  "ERP": "56.6195728956",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</si>
  <si>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"153.5247999984",
  "ERP": "56.2869212906",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</si>
  <si>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"1842.2975999203",
  "ERP": "2.9518387756",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</si>
  <si>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"1842.2975999991",
  "ERP": "4711.490512729",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</si>
  <si>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"1755.3024846125",
  "ERP": "254.4435701236",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</si>
  <si>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"1730.0226176062",
  "ERP": "185.8381398874",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</si>
  <si>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"1842.2975999958",
  "ERP": "579.4627280728",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</si>
  <si>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"153.5247999279",
  "ERP": "4.012117681",
  "BenefitType": "Charge",
  "Kawista": "CE"
}</t>
  </si>
  <si>
    <t>{
  "Organization Name": "PT Nawa Darsana Teknologi",
  "Publisher": "Microsoft",
  "Publisher Customer ID": "346fa229-7c19-44ef-85c6-29e00edf66cf",
  "Unit Price": "1228.198394858",
  "ERP": "0.015151851",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</si>
  <si>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"1010.643636228",
  "ERP": "470.0007145548",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</si>
  <si>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"1010.459715606",
  "ERP": "477.7740816706",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</si>
  <si>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"153.5248",
  "ERP": "30575.5587541976",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</si>
  <si>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"10687.3801580832",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</si>
  <si>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"153.5248",
  "ERP": "10830.3791652056",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</si>
  <si>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"153.5247999964",
  "ERP": "2.2336410382",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</si>
  <si>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"24087.0375615298",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</si>
  <si>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"1535.248",
  "ERP": "1297935.0107829534",
  "BenefitType": "Charge",
  "Environment": "Production",
  "Kawista": "CE",
  "Product": "CE"
}</t>
  </si>
  <si>
    <t>{
  "Organization Name": "PT Nawa Darsana Teknologi",
  "Publisher": "Microsoft",
  "Publisher Customer ID": "346fa229-7c19-44ef-85c6-29e00edf66cf",
  "Unit Price": "153.5247999999",
  "ERP": "3127.2439248622",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</si>
  <si>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"76.7624",
  "ERP": "207310.0203322434",
  "BenefitType": "Charge",
  "aks-managed-cluster-name": "Kawista",
  "aks-managed-cluster-rg": "rg-kawista",
  "Environment": "Production",
  "Kawista": "CE",
  "Product": "CE"
}</t>
  </si>
  <si>
    <t>{
  "Organization Name": "PT Nawa Darsana Teknologi",
  "Publisher": "Microsoft",
  "Publisher Customer ID": "346fa229-7c19-44ef-85c6-29e00edf66cf",
  "Unit Price": "1842.2975884982",
  "ERP": "0.0134316754",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</si>
  <si>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"1842.2975999894",
  "ERP": "466.0925593324",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</si>
  <si>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"1842.2975999894",
  "ERP": "283.096311784",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</si>
  <si>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"1842.2975997116",
  "ERP": "0.12700688",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</si>
  <si>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"2368.904172042",
  "ERP": "8722.9999982554",
  "BenefitType": "Charge",
  "Kawista": "CE"
}</t>
  </si>
  <si>
    <t>{
  "Organization Name": "PT Nawa Darsana Teknologi",
  "Publisher": "Microsoft",
  "Publisher Customer ID": "346fa229-7c19-44ef-85c6-29e00edf66cf",
  "Unit Price": "6140.9919999519",
  "ERP": "811.5809398554",
  "BenefitType": "Charge",
  "Kawista": "CE"
}</t>
  </si>
  <si>
    <t>{
  "Organization Name": "PT Nawa Darsana Teknologi",
  "Publisher": "Microsoft",
  "Publisher Customer ID": "346fa229-7c19-44ef-85c6-29e00edf66cf",
  "Unit Price": "1919.06",
  "ERP": "109.081115",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</si>
  <si>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"1919.06",
  "ERP": "363.4656025",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</si>
  <si>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"1842.297599991",
  "ERP": "309.6565016974",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</si>
  <si>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"1919.06",
  "ERP": "545.196223",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</si>
  <si>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"1694.8990216463",
  "ERP": "151.4297761548",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</si>
  <si>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"153.5247999973",
  "ERP": "59.5950701918",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</si>
  <si>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"153.5247999964",
  "ERP": "57.437753659",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</si>
  <si>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"153.5247992052",
  "ERP": "0.0116766078",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</si>
  <si>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"153.52479995",
  "ERP": "8.1830445554",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</si>
  <si>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"1228.198399994",
  "ERP": "550.8021008204",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</si>
  <si>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"1228.1983999984",
  "ERP": "991.4709794418",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</si>
  <si>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"1228.1983999922",
  "ERP": "457.6834024048",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</si>
  <si>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"1228.1983999984",
  "ERP": "1222.8442452798",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</si>
  <si>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"1228.1983976714",
  "ERP": "0.0721374654",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</si>
  <si>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"1228.1983937854",
  "ERP": "0.0270918934",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</si>
  <si>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"1010.0781104671",
  "ERP": "459.9711138308",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</si>
  <si>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"1228.198043016",
  "ERP": "0.0001552694",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</si>
  <si>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"1228.1983990885",
  "ERP": "0.7912214596",
  "BenefitType": "Charge",
  "aks-managed-consolidated-additional-properties": "f5c47483-ea10-11f0-bb73-46f542307458",
  "aks-managed-creationSource": "vmssclient-aks-monitoring-32215719-vmss",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"monitoring",
  "aks-managed-resourceNameSuffix": "51599822.0",
  "aks-managed-ssh-access": "LocalUser",
  "purpose": "monitoring"
}</t>
  </si>
  <si>
    <t>{
  "Organization Name": "PT Nawa Darsana Teknologi",
  "Publisher": "Microsoft",
  "Publisher Customer ID": "346fa229-7c19-44ef-85c6-29e00edf66cf",
  "Unit Price": "1228.1983991612",
  "ERP": "0.9391164354",
  "BenefitType": "Charge",
  "aks-managed-consolidated-additional-properties": "f5c47d0e-ea10-11f0-bb73-46f542307458",
  "aks-managed-creationSource": "vmssclient-aks-systemeph-20273592-vmss",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"systemeph",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</si>
  <si>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"153.5247999979",
  "ERP": "106.7706923712",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</si>
  <si>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"153.5247999944",
  "ERP": "25.3604878098",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</si>
  <si>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"1228.1983999991",
  "ERP": "1364.0251890408",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</si>
  <si>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"1228.1983999993",
  "ERP": "2993.0896227804",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</si>
  <si>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"1228.1983999862",
  "ERP": "200.0310889434",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</si>
  <si>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"15888.3005454602",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</si>
  <si>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"153.524799999",
  "ERP": "425.8220744206",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</si>
  <si>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"4491.4010004292",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</si>
  <si>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"1228.1983999953",
  "ERP": "140.8004761592",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</si>
  <si>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"1228.1983999941",
  "ERP": "152.3350682854",
  "BenefitType": "Charge",
  "aks-managed-consolidated-additional-properties": "f5c4889b-ea10-11f0-bb73-46f542307458",
  "aks-managed-creationSource": "vmssclient-aks-usereph2-20887657-vmss",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"usereph2",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</si>
  <si>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"153.5247999995",
  "ERP": "137.5343389706",
  "BenefitType": "Charge",
  "aks-managed-consolidated-additional-properties": "f5c47d0e-ea10-11f0-bb73-46f542307458",
  "aks-managed-creationSource": "vmssclient-aks-systemeph-20273592-vmss",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"systemeph",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</si>
  <si>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"153.5248",
  "ERP": "38270.510669105",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</si>
  <si>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"kawista",
  "aks-managed-cluster-rg": "rg-kawista",
  "Environment": "Production",
  "Kawista": "CE",
  "Product": "CE"
}</t>
  </si>
  <si>
    <t>{
  "Organization Name": "PT Nawa Darsana Teknologi",
  "Publisher": "Microsoft",
  "Publisher Customer ID": "346fa229-7c19-44ef-85c6-29e00edf66cf",
  "Unit Price": "1842.297599905",
  "ERP": "2.2774723686",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</si>
  <si>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"1842.2975999954",
  "ERP": "426.0532199638",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</si>
  <si>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{
  "Organization Name": "PT Nawa Darsana Teknologi",
  "Publisher": "Microsoft",
  "Publisher Customer ID": "346fa229-7c19-44ef-85c6-29e00edf66cf",
  "Unit Price": "460.5744",
  "ERP": "389394.72",
  "BenefitType": "Charge"
}</t>
  </si>
  <si>
    <t>{
  "Organization Name": "PT Nawa Darsana Teknologi",
  "Publisher": "Microsoft",
  "Publisher Customer ID": "346fa229-7c19-44ef-85c6-29e00edf66cf",
  "Unit Price": "1683.0862686895",
  "ERP": "1127.1927261166",
  "BenefitType": "Charge",
  "aks-managed-consolidated-additional-properties": "f5c47d0e-ea10-11f0-bb73-46f542307458",
  "aks-managed-creationSource": "vmssclient-aks-systemeph-20273592-vmss",
  "aks-managed-enable-imds-restriction": "False",
  "aks-managed-kubeletIdentityClientID": "b38ce40c-e81b-400c-9fad-e2cad8fa99ce",
  "aks-managed-operationID": "f9f43a0e-192e-40b3-86c7-3b6c05776ad9",
  "aks-managed-orchestrator": "Kubernetes:1.33.5",
  "aks-managed-poolName": "systemeph",
  "aks-managed-resourceNameSuffix": "51599822.0",
  "aks-managed-ssh-access": "LocalUser"
}</t>
  </si>
  <si>
    <t>{
  "Organization Name": "PT Nawa Darsana Teknologi",
  "Publisher": "Microsoft",
  "Publisher Customer ID": "346fa229-7c19-44ef-85c6-29e00edf66cf",
  "Unit Price": "6140.992",
  "ERP": "925.8522416",
  "BenefitType": "Charge",
  "Billing": "MSK"
}</t>
  </si>
  <si>
    <t>Organization Name=PT Nawa Darsana Teknologi; Publisher=Microsoft; Publisher Customer ID=346fa229-7c19-44ef-85c6-29e00edf66cf; Unit Price=153.5247999999; ERP=3257.1456213868;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</si>
  <si>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Price=1842.297599621; ERP=0.3080475112;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</si>
  <si>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Price=1842.2975998479; ERP=1.7038740576;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</si>
  <si>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</si>
  <si>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</si>
  <si>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Price=0.0; ERP=0.0;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</t>
  </si>
  <si>
    <t>Organization Name=PT Nawa Darsana Teknologi; Publisher=Microsoft; Publisher Customer ID=346fa229-7c19-44ef-85c6-29e00edf66cf; Unit Price=153.5247999978; ERP=42.800690504;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</t>
  </si>
  <si>
    <t>Organization Name=PT Nawa Darsana Teknologi; Publisher=Microsoft; Publisher Customer ID=346fa229-7c19-44ef-85c6-29e00edf66cf; Unit Price=1919.06; ERP=2653.4275625;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</si>
  <si>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Price=0.0; ERP=4.8569664; BenefitType=Charge</t>
  </si>
  <si>
    <t>Organization Name=PT Nawa Darsana Teknologi; Publisher=Microsoft; Publisher Customer ID=346fa229-7c19-44ef-85c6-29e00edf66cf; Unit Price=3684.5951999998; ERP=60380.7796679516; BenefitType=Charge</t>
  </si>
  <si>
    <t>Organization Name=PT Nawa Darsana Teknologi; Publisher=Microsoft; Publisher Customer ID=346fa229-7c19-44ef-85c6-29e00edf66cf; Unit Price=302597.3807999999; ERP=63776.52433152; BenefitType=Charge; aks-managed-consolidated-additional-properties=f5c47483-ea10-11f0-bb73-46f542307458; aks-managed-creationSource=vmssclient-aks-monitoring-32215719-vmss; aks-managed-enable-imds-restriction=False; aks-managed-kubeletIdentityClientID=b38ce40c-e81b-400c-9fad-e2cad8fa99ce; aks-managed-operationID=f9f43a0e-192e-40b3-86c7-3b6c05776ad9; aks-managed-orchestrator=Kubernetes:1.33.5; aks-managed-poolName=monitoring; aks-managed-resourceNameSuffix=51599822.0; aks-managed-ssh-access=LocalUser; purpose=monitoring</t>
  </si>
  <si>
    <t>Organization Name=PT Nawa Darsana Teknologi; Publisher=Microsoft; Publisher Customer ID=346fa229-7c19-44ef-85c6-29e00edf66cf; Unit Price=153.5247999999; ERP=1233.4975893526;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</si>
  <si>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</si>
  <si>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Price=76.7624; ERP=64899.12; BenefitType=Charge; aks-managed-cluster-name=Kawista; aks-managed-cluster-rg=rg-kawista; aks-managed-type=aks-slb-managed-outbound-ip; Environment=Production; Kawista=CE; Product=CE</t>
  </si>
  <si>
    <t>Organization Name=PT Nawa Darsana Teknologi; Publisher=Microsoft; Publisher Customer ID=346fa229-7c19-44ef-85c6-29e00edf66cf; Unit Price=153.5248; ERP=129798.24; BenefitType=Charge; Kawsita=Kawista</t>
  </si>
  <si>
    <t>Organization Name=PT Nawa Darsana Teknologi; Publisher=Microsoft; Publisher Customer ID=346fa229-7c19-44ef-85c6-29e00edf66cf; Unit Price=153.5248; ERP=129798.24; BenefitType=Charge; Billing=MSK</t>
  </si>
  <si>
    <t>Organization Name=PT Nawa Darsana Teknologi; Publisher=Microsoft; Publisher Customer ID=346fa229-7c19-44ef-85c6-29e00edf66cf; Unit Price=153.5248; ERP=129798.24; BenefitType=Charge; Kawista=CE</t>
  </si>
  <si>
    <t>Organization Name=PT Nawa Darsana Teknologi; Publisher=Microsoft; Publisher Customer ID=346fa229-7c19-44ef-85c6-29e00edf66cf; Unit Price=429.8694399981; ERP=725.1174473114; BenefitType=Charge</t>
  </si>
  <si>
    <t>Organization Name=PT Nawa Darsana Teknologi; Publisher=Microsoft; Publisher Customer ID=346fa229-7c19-44ef-85c6-29e00edf66cf; Unit Price=153.524799986; ERP=0.5992980136;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</si>
  <si>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Price=153.5247999971; ERP=27.661313394;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</si>
  <si>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Price=0.0; ERP=0.0; BenefitType=Charge; aks-managed-consolidated-additional-properties=f5c47483-ea10-11f0-bb73-46f542307458; aks-managed-creationSource=vmssclient-aks-monitoring-32215719-vmss; aks-managed-enable-imds-restriction=False; aks-managed-kubeletIdentityClientID=b38ce40c-e81b-400c-9fad-e2cad8fa99ce; aks-managed-operationID=f9f43a0e-192e-40b3-86c7-3b6c05776ad9; aks-managed-orchestrator=Kubernetes:1.33.5; aks-managed-poolName=monitoring; aks-managed-resourceNameSuffix=51599822.0; aks-managed-ssh-access=LocalUser; purpose=monitoring</t>
  </si>
  <si>
    <t>Organization Name=PT Nawa Darsana Teknologi; Publisher=Microsoft; Publisher Customer ID=346fa229-7c19-44ef-85c6-29e00edf66cf; Unit Price=1228.1983999892; ERP=139.067465537;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</si>
  <si>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Price=1228.1983999983; ERP=1910.0918243836;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</si>
  <si>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Price=153.5247999606; ERP=6.759095057; BenefitType=Charge; Kawista=CE</t>
  </si>
  <si>
    <t>Organization Name=PT Nawa Darsana Teknologi; Publisher=Microsoft; Publisher Customer ID=346fa229-7c19-44ef-85c6-29e00edf66cf; Unit Price=2.24146208; ERP=6293.923636; BenefitType=Charge</t>
  </si>
  <si>
    <t>Organization Name=PT Nawa Darsana Teknologi; Publisher=Microsoft; Publisher Customer ID=346fa229-7c19-44ef-85c6-29e00edf66cf; Unit Price=2368.904172042; ERP=8722.9999982554; BenefitType=Charge; Billing=MSK</t>
  </si>
  <si>
    <t>Organization Name=PT Nawa Darsana Teknologi; Publisher=Microsoft; Publisher Customer ID=346fa229-7c19-44ef-85c6-29e00edf66cf; Unit Price=6140.992; ERP=2504.2546672; BenefitType=Charge; Billing=MSK</t>
  </si>
  <si>
    <t>Organization Name=PT Nawa Darsana Teknologi; Publisher=Microsoft; Publisher Customer ID=346fa229-7c19-44ef-85c6-29e00edf66cf; Unit Price=153.5247996725; ERP=0.339708512; BenefitType=Charge; Kawista=CE</t>
  </si>
  <si>
    <t>Organization Name=PT Nawa Darsana Teknologi; Publisher=Microsoft; Publisher Customer ID=346fa229-7c19-44ef-85c6-29e00edf66cf; Unit Price=153.5247999704; ERP=4.450282694;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</t>
  </si>
  <si>
    <t>Organization Name=PT Nawa Darsana Teknologi; Publisher=Microsoft; Publisher Customer ID=346fa229-7c19-44ef-85c6-29e00edf66cf; Unit Price=153.5247999966; ERP=115.0909689072;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</si>
  <si>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Price=153.5247999978; ERP=111.5321244752;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</si>
  <si>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Price=1842.2975999517; ERP=101.868397774;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</si>
  <si>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Price=1685.0068149313; ERP=14.3421681832; BenefitType=Charge; aks-managed-consolidated-additional-properties=f5c47483-ea10-11f0-bb73-46f542307458; aks-managed-creationSource=vmssclient-aks-monitoring-32215719-vmss; aks-managed-enable-imds-restriction=False; aks-managed-kubeletIdentityClientID=b38ce40c-e81b-400c-9fad-e2cad8fa99ce; aks-managed-operationID=f9f43a0e-192e-40b3-86c7-3b6c05776ad9; aks-managed-orchestrator=Kubernetes:1.33.5; aks-managed-poolName=monitoring; aks-managed-resourceNameSuffix=51599822.0; aks-managed-ssh-access=LocalUser; purpose=monitoring</t>
  </si>
  <si>
    <t>Organization Name=PT Nawa Darsana Teknologi; Publisher=Microsoft; Publisher Customer ID=346fa229-7c19-44ef-85c6-29e00edf66cf; Unit Price=153.5247999541; ERP=9.6635871332;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</si>
  <si>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Price=153.5247999987; ERP=166.591103822;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</si>
  <si>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Price=153.524799998; ERP=59.074650778;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</si>
  <si>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Price=153.5247999975; ERP=28.2167050594;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</si>
  <si>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Price=1228.1983986247; ERP=0.0353961894;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</si>
  <si>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Price=1016.154733608; ERP=192.5055352792;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</t>
  </si>
  <si>
    <t>Organization Name=PT Nawa Darsana Teknologi; Publisher=Microsoft; Publisher Customer ID=346fa229-7c19-44ef-85c6-29e00edf66cf; Unit Price=1228.1983999979; ERP=788.811661066;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</si>
  <si>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Price=1228.1983999984; ERP=2203.266863083;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</si>
  <si>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Price=1228.1983998499; ERP=1.1448117538;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</si>
  <si>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Price=302597.3808; ERP=45.38960712;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</si>
  <si>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Price=153.5247999999; ERP=3559.7134887886;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</si>
  <si>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Price=153.5247999999; ERP=2268.4343863038;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</si>
  <si>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Price=153.5248; ERP=26703.7116846786;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</si>
  <si>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Price=153.5248; ERP=9373.6572546188;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</si>
  <si>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Price=1228.1980430187; ERP=0.0006228222;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</si>
  <si>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Price=1228.1983999995; ERP=3662.5788155528;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</si>
  <si>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Price=153.5247999982; ERP=136.097153192;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</si>
  <si>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Price=153.5247999771; ERP=3.8363945906;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</t>
  </si>
  <si>
    <t>Organization Name=PT Nawa Darsana Teknologi; Publisher=Microsoft; Publisher Customer ID=346fa229-7c19-44ef-85c6-29e00edf66cf; Unit Price=153.5247999986; ERP=177.2099571528;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</si>
  <si>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Price=153.5247999974; ERP=169.9583684942;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</si>
  <si>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Price=153.5248; ERP=129798.24; BenefitType=Charge; Kawsita=CE</t>
  </si>
  <si>
    <t>Organization Name=PT Nawa Darsana Teknologi; Publisher=Microsoft; Publisher Customer ID=346fa229-7c19-44ef-85c6-29e00edf66cf; Unit Price=153.5248; ERP=129798.24; BenefitType=Charge; Kawista=Kawista</t>
  </si>
  <si>
    <t>Organization Name=PT Nawa Darsana Teknologi; Publisher=Microsoft; Publisher Customer ID=346fa229-7c19-44ef-85c6-29e00edf66cf; Unit Price=153.5247999719; ERP=3.2999754502; BenefitType=Charge; Kawista=CE</t>
  </si>
  <si>
    <t>Organization Name=PT Nawa Darsana Teknologi; Publisher=Microsoft; Publisher Customer ID=346fa229-7c19-44ef-85c6-29e00edf66cf; Unit Price=153.5247995497; ERP=0.0660523006; BenefitType=Charge; Kawista=CE</t>
  </si>
  <si>
    <t>Organization Name=PT Nawa Darsana Teknologi; Publisher=Microsoft; Publisher Customer ID=346fa229-7c19-44ef-85c6-29e00edf66cf; Unit Price=302597.3808; ERP=307.06756938;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</si>
  <si>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Price=1228.1983999969; ERP=523.0441924136;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</si>
  <si>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Price=1228.1983989219; ERP=3.59893534;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</si>
  <si>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Price=153.5247979514; ERP=0.001753323; BenefitType=Charge; Kawista=CE</t>
  </si>
  <si>
    <t>Organization Name=PT Nawa Darsana Teknologi; Publisher=Microsoft; Publisher Customer ID=346fa229-7c19-44ef-85c6-29e00edf66cf; Unit Price=1228.1983999945; ERP=141.42320764;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</si>
  <si>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Price=153.5248; ERP=1221.0499049892;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</si>
  <si>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Price=153.5247999999; ERP=999.692384262;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</si>
  <si>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Price=1228.198043016; ERP=0.0004675528;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</si>
  <si>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Price=1228.1983662456; ERP=0.0007798362;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</si>
  <si>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Price=1011.5373703135; ERP=95.3520795084; BenefitType=Charge; aks-managed-consolidated-additional-properties=f5c47483-ea10-11f0-bb73-46f542307458; aks-managed-creationSource=vmssclient-aks-monitoring-32215719-vmss; aks-managed-enable-imds-restriction=False; aks-managed-kubeletIdentityClientID=b38ce40c-e81b-400c-9fad-e2cad8fa99ce; aks-managed-operationID=f9f43a0e-192e-40b3-86c7-3b6c05776ad9; aks-managed-orchestrator=Kubernetes:1.33.5; aks-managed-poolName=monitoring; aks-managed-resourceNameSuffix=51599822.0; aks-managed-ssh-access=LocalUser; purpose=monitoring</t>
  </si>
  <si>
    <t>Organization Name=PT Nawa Darsana Teknologi; Publisher=Microsoft; Publisher Customer ID=346fa229-7c19-44ef-85c6-29e00edf66cf; Unit Price=230287.1999999971; ERP=260986.5322571078; BenefitType=Charge; Kawista=CE; Product=CE</t>
  </si>
  <si>
    <t>Organization Name=PT Nawa Darsana Teknologi; Publisher=Microsoft; Publisher Customer ID=346fa229-7c19-44ef-85c6-29e00edf66cf; Unit Price=153.5247999997; ERP=1249.7714118032;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</si>
  <si>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Price=383.812; ERP=324495.6; BenefitType=Charge; aks-managed-cluster-name=Kawista; aks-managed-cluster-rg=rg-kawista; Environment=Production; Kawista=CE; Product=CE</t>
  </si>
  <si>
    <t>Organization Name=PT Nawa Darsana Teknologi; Publisher=Microsoft; Publisher Customer ID=346fa229-7c19-44ef-85c6-29e00edf66cf; Unit Price=76.7623999999; ERP=3448.39982487; BenefitType=Charge; aks-managed-cluster-name=kawista; aks-managed-cluster-rg=rg-kawista; Environment=Production; Kawista=CE; Product=CE</t>
  </si>
  <si>
    <t>Organization Name=PT Nawa Darsana Teknologi; Publisher=Microsoft; Publisher Customer ID=346fa229-7c19-44ef-85c6-29e00edf66cf; Unit Price=1919.06; ERP=2180.75;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</si>
  <si>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Price=2118.6422399999; ERP=100153.9968; BenefitType=Charge</t>
  </si>
  <si>
    <t>Organization Name=PT Nawa Darsana Teknologi; Publisher=Microsoft; Publisher Customer ID=346fa229-7c19-44ef-85c6-29e00edf66cf; Unit Price=2155.4881919822; ERP=42.7651913832; BenefitType=Charge</t>
  </si>
  <si>
    <t>Organization Name=PT Nawa Darsana Teknologi; Publisher=Microsoft; Publisher Customer ID=346fa229-7c19-44ef-85c6-29e00edf66cf; Unit Price=0.0; ERP=0.0;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</si>
  <si>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Price=153.524799998; ERP=115.9507182548;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</si>
  <si>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Price=153.5247996265; ERP=0.0378717768;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</si>
  <si>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Price=302597.3807999999; ERP=279781.53828768;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</si>
  <si>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Price=153.5247999989; ERP=56.6195728956;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</si>
  <si>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Price=153.5247999984; ERP=56.2869212906;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</si>
  <si>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Price=1842.2975999203; ERP=2.9518387756;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</si>
  <si>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Price=1842.2975999991; ERP=4711.490512729;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</si>
  <si>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Price=1755.3024846125; ERP=254.4435701236;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</si>
  <si>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Price=1730.0226176062; ERP=185.8381398874;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</si>
  <si>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Price=1842.2975999958; ERP=579.4627280728;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</si>
  <si>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Price=153.5247999279; ERP=4.012117681; BenefitType=Charge; Kawista=CE</t>
  </si>
  <si>
    <t>Organization Name=PT Nawa Darsana Teknologi; Publisher=Microsoft; Publisher Customer ID=346fa229-7c19-44ef-85c6-29e00edf66cf; Unit Price=1228.198394858; ERP=0.015151851;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</si>
  <si>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Price=1010.643636228; ERP=470.0007145548;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</si>
  <si>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Price=1010.459715606; ERP=477.7740816706;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</si>
  <si>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Price=153.5248; ERP=30575.5587541976;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</si>
  <si>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Price=153.5248; ERP=10687.3801580832;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</si>
  <si>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Price=153.5248; ERP=10830.3791652056;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</si>
  <si>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Price=153.5247999964; ERP=2.2336410382;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</si>
  <si>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Price=153.5248; ERP=24087.0375615298;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</si>
  <si>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Price=1535.248; ERP=1297935.0107829534; BenefitType=Charge; Environment=Production; Kawista=CE; Product=CE</t>
  </si>
  <si>
    <t>Organization Name=PT Nawa Darsana Teknologi; Publisher=Microsoft; Publisher Customer ID=346fa229-7c19-44ef-85c6-29e00edf66cf; Unit Price=153.5247999999; ERP=3127.2439248622;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</si>
  <si>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Price=76.7624; ERP=207310.0203322434; BenefitType=Charge; aks-managed-cluster-name=Kawista; aks-managed-cluster-rg=rg-kawista; Environment=Production; Kawista=CE; Product=CE</t>
  </si>
  <si>
    <t>Organization Name=PT Nawa Darsana Teknologi; Publisher=Microsoft; Publisher Customer ID=346fa229-7c19-44ef-85c6-29e00edf66cf; Unit Price=1842.2975884982; ERP=0.0134316754;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</si>
  <si>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Price=1842.2975999894; ERP=466.0925593324;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</si>
  <si>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Price=1842.2975999894; ERP=283.096311784;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</si>
  <si>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Price=1842.2975997116; ERP=0.12700688;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</si>
  <si>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Price=2368.904172042; ERP=8722.9999982554; BenefitType=Charge; Kawista=CE</t>
  </si>
  <si>
    <t>Organization Name=PT Nawa Darsana Teknologi; Publisher=Microsoft; Publisher Customer ID=346fa229-7c19-44ef-85c6-29e00edf66cf; Unit Price=6140.9919999519; ERP=811.5809398554; BenefitType=Charge; Kawista=CE</t>
  </si>
  <si>
    <t>Organization Name=PT Nawa Darsana Teknologi; Publisher=Microsoft; Publisher Customer ID=346fa229-7c19-44ef-85c6-29e00edf66cf; Unit Price=1919.06; ERP=109.081115;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</si>
  <si>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Price=1919.06; ERP=363.4656025;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</si>
  <si>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Price=1842.297599991; ERP=309.6565016974;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</si>
  <si>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Price=1919.06; ERP=545.196223;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</si>
  <si>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Price=1694.8990216463; ERP=151.4297761548;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</si>
  <si>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Price=153.5247999973; ERP=59.5950701918;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</si>
  <si>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Price=153.5247999964; ERP=57.437753659;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</si>
  <si>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Price=153.5247992052; ERP=0.0116766078;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</si>
  <si>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Price=153.52479995; ERP=8.1830445554;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</si>
  <si>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Price=1228.198399994; ERP=550.8021008204;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</si>
  <si>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Price=1228.1983999984; ERP=991.4709794418;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</si>
  <si>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Price=1228.1983999922; ERP=457.6834024048;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</si>
  <si>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Price=1228.1983999984; ERP=1222.8442452798;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</si>
  <si>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Price=1228.1983976714; ERP=0.0721374654;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</si>
  <si>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Organization Name=PT Nawa Darsana Teknologi; Publisher=Microsoft; Publisher Customer ID=346fa229-7c19-44ef-85c6-29e00edf66cf; Unit Price=1228.1983937854; ERP=0.0270918934;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</si>
  <si>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Price=1010.0781104671; ERP=459.9711138308;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</si>
  <si>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Price=1228.198043016; ERP=0.0001552694;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</si>
  <si>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Price=1228.1983990885; ERP=0.7912214596; BenefitType=Charge; aks-managed-consolidated-additional-properties=f5c47483-ea10-11f0-bb73-46f542307458; aks-managed-creationSource=vmssclient-aks-monitoring-32215719-vmss; aks-managed-enable-imds-restriction=False; aks-managed-kubeletIdentityClientID=b38ce40c-e81b-400c-9fad-e2cad8fa99ce; aks-managed-operationID=f9f43a0e-192e-40b3-86c7-3b6c05776ad9; aks-managed-orchestrator=Kubernetes:1.33.5; aks-managed-poolName=monitoring; aks-managed-resourceNameSuffix=51599822.0; aks-managed-ssh-access=LocalUser; purpose=monitoring</t>
  </si>
  <si>
    <t>Organization Name=PT Nawa Darsana Teknologi; Publisher=Microsoft; Publisher Customer ID=346fa229-7c19-44ef-85c6-29e00edf66cf; Unit Price=1228.1983991612; ERP=0.9391164354;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</t>
  </si>
  <si>
    <t>Organization Name=PT Nawa Darsana Teknologi; Publisher=Microsoft; Publisher Customer ID=346fa229-7c19-44ef-85c6-29e00edf66cf; Unit Price=153.5247999979; ERP=106.7706923712;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</si>
  <si>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Price=153.5247999944; ERP=25.3604878098;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</si>
  <si>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Price=1228.1983999991; ERP=1364.0251890408;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</si>
  <si>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Price=1228.1983999993; ERP=2993.0896227804;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</si>
  <si>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Price=1228.1983999862; ERP=200.0310889434;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</si>
  <si>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Price=153.5248; ERP=15888.3005454602;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</si>
  <si>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Price=153.524799999; ERP=425.8220744206;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</si>
  <si>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Price=153.5247999999; ERP=4491.4010004292;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</si>
  <si>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Price=1228.1983999953; ERP=140.8004761592;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</si>
  <si>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Price=1228.1983999941; ERP=152.3350682854; BenefitType=Charge; aks-managed-consolidated-additional-properties=f5c4889b-ea10-11f0-bb73-46f542307458; aks-managed-creationSource=vmssclient-aks-usereph2-20887657-vmss; aks-managed-enable-imds-restriction=False; aks-managed-kubeletIdentityClientID=b38ce40c-e81b-400c-9fad-e2cad8fa99ce; aks-managed-operationID=f9f43a0e-192e-40b3-86c7-3b6c05776ad9; aks-managed-orchestrator=Kubernetes:1.33.5; aks-managed-poolName=usereph2; aks-managed-resourceNameSuffix=51599822.0; aks-managed-ssh-access=LocalUser</t>
  </si>
  <si>
    <t>Organization Name=PT Nawa Darsana Teknologi; Publisher=Microsoft; Publisher Customer ID=346fa229-7c19-44ef-85c6-29e00edf66cf; Unit Price=153.5247999995; ERP=137.5343389706;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</t>
  </si>
  <si>
    <t>Organization Name=PT Nawa Darsana Teknologi; Publisher=Microsoft; Publisher Customer ID=346fa229-7c19-44ef-85c6-29e00edf66cf; Unit Price=153.5248; ERP=38270.510669105;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</si>
  <si>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Price=383.812; ERP=324495.6; BenefitType=Charge; aks-managed-cluster-name=kawista; aks-managed-cluster-rg=rg-kawista; Environment=Production; Kawista=CE; Product=CE</t>
  </si>
  <si>
    <t>Organization Name=PT Nawa Darsana Teknologi; Publisher=Microsoft; Publisher Customer ID=346fa229-7c19-44ef-85c6-29e00edf66cf; Unit Price=1842.297599905; ERP=2.2774723686;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</si>
  <si>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Organization Name=PT Nawa Darsana Teknologi; Publisher=Microsoft; Publisher Customer ID=346fa229-7c19-44ef-85c6-29e00edf66cf; Unit Price=1842.2975999954; ERP=426.0532199638;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</si>
  <si>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Organization Name=PT Nawa Darsana Teknologi; Publisher=Microsoft; Publisher Customer ID=346fa229-7c19-44ef-85c6-29e00edf66cf; Unit Price=460.5744; ERP=389394.72; BenefitType=Charge</t>
  </si>
  <si>
    <t>Organization Name=PT Nawa Darsana Teknologi; Publisher=Microsoft; Publisher Customer ID=346fa229-7c19-44ef-85c6-29e00edf66cf; Unit Price=1683.0862686895; ERP=1127.1927261166; BenefitType=Charge; aks-managed-consolidated-additional-properties=f5c47d0e-ea10-11f0-bb73-46f542307458; aks-managed-creationSource=vmssclient-aks-systemeph-20273592-vmss; aks-managed-enable-imds-restriction=False; aks-managed-kubeletIdentityClientID=b38ce40c-e81b-400c-9fad-e2cad8fa99ce; aks-managed-operationID=f9f43a0e-192e-40b3-86c7-3b6c05776ad9; aks-managed-orchestrator=Kubernetes:1.33.5; aks-managed-poolName=systemeph; aks-managed-resourceNameSuffix=51599822.0; aks-managed-ssh-access=LocalUser</t>
  </si>
  <si>
    <t>Organization Name=PT Nawa Darsana Teknologi; Publisher=Microsoft; Publisher Customer ID=346fa229-7c19-44ef-85c6-29e00edf66cf; Unit Price=6140.992; ERP=925.8522416; BenefitType=Charge; Billing=MSK</t>
  </si>
  <si>
    <t>LRS Data Stored</t>
  </si>
  <si>
    <t>mc_rg-tdm_toona_southeastasia</t>
  </si>
  <si>
    <t>MC_RG-TDM_TOONA_SOUTHEASTASIA</t>
  </si>
  <si>
    <t>RG-TDM</t>
  </si>
  <si>
    <t>rg-tdm</t>
  </si>
  <si>
    <t>aks-systemeph-25557629-vmss</t>
  </si>
  <si>
    <t>aks-monitoring-32979582-vmss</t>
  </si>
  <si>
    <t>aks-usereph2-18836599-vmss</t>
  </si>
  <si>
    <t>CURL-API-TDM</t>
  </si>
  <si>
    <t>sql-tdm-to-aks-salvia-private-endpoint</t>
  </si>
  <si>
    <t>vpn-access-to-sql-tdm</t>
  </si>
  <si>
    <t>tunreng</t>
  </si>
  <si>
    <t>sql-access-shared-to-aks-tunasdwi</t>
  </si>
  <si>
    <t>redis-toona-private-endpoint</t>
  </si>
  <si>
    <t>pvc-9985d1c7-6e80-47ee-883d-32c34665229b</t>
  </si>
  <si>
    <t>sql-access-to-aks-tunasdwi</t>
  </si>
  <si>
    <t>aks-monitoring-32979aks-monitoring-329795OS__1_725f5ef6db2043e5b37acae92492544d</t>
  </si>
  <si>
    <t>tukka</t>
  </si>
  <si>
    <t>kubernetes-ad47feca191714373944dad74851ac16</t>
  </si>
  <si>
    <t>Toona</t>
  </si>
  <si>
    <t>aks-yellow-to-database-tunreng</t>
  </si>
  <si>
    <t>tiramisuhub</t>
  </si>
  <si>
    <t>aks-monitoring-32979aks-monitoring-329795OS__1_31850735c2de469792a6987031950bba</t>
  </si>
  <si>
    <t>aks-monitoring-32979aks-monitoring-329795disk1_5f468642c2b24c36b0b30bc5170506e8</t>
  </si>
  <si>
    <t>2da1806f-94e4-460f-8c5e-40ebb8b68435</t>
  </si>
  <si>
    <t>aks-monitoring-32979aks-monitoring-329795OS__1_4c151cc0f5864456817cb95748004ac7</t>
  </si>
  <si>
    <t>tiramisuhub-to-aks-salvia-private-endpoint</t>
  </si>
  <si>
    <t>api-curl_tdm</t>
  </si>
  <si>
    <t>{
  "Organization Name": "PT Nawa Darsana Teknologi",
  "Publisher": "Microsoft",
  "Publisher Customer ID": "346fa229-7c19-44ef-85c6-29e00edf66cf",
  "Unit Price": "1228.1983993532",
  "ERP": "1.5647683766",
  "BenefitType": "Charge",
  "aks-managed-consolidated-additional-properties": "d61b78a9-ea23-11f0-8033-522e363cd051",
  "aks-managed-creationSource": "vmssclient-aks-systemeph-25557629-vmss",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"systemeph",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</si>
  <si>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"1683.2971532352",
  "ERP": "14.806498707",
  "BenefitType": "Charge",
  "aks-managed-consolidated-additional-properties": "d61b6f31-ea23-11f0-8033-522e363cd051",
  "aks-managed-creationSource": "vmssclient-aks-monitoring-32979582-vmss",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"monitoring",
  "aks-managed-resourceNameSuffix": "89105503.0",
  "aks-managed-ssh-access": "LocalUser",
  "purpose": "monitoring"
}</t>
  </si>
  <si>
    <t>{
  "Organization Name": "PT Nawa Darsana Teknologi",
  "Publisher": "Microsoft",
  "Publisher Customer ID": "346fa229-7c19-44ef-85c6-29e00edf66cf",
  "Unit Price": "1733.7939073423",
  "ERP": "170.7997559268",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</si>
  <si>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</si>
  <si>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"1228.1983948827",
  "ERP": "0.0175454422",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</si>
  <si>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"1228.1983999987",
  "ERP": "2471.1160093906",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</si>
  <si>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"129798.24",
  "BenefitType": "Charge",
  "TDM": "TDM"
}</t>
  </si>
  <si>
    <t>{
  "Organization Name": "PT Nawa Darsana Teknologi",
  "Publisher": "Microsoft",
  "Publisher Customer ID": "346fa229-7c19-44ef-85c6-29e00edf66cf",
  "Unit Price": "6140.9919999565",
  "ERP": "898.3015166554",
  "BenefitType": "Charge",
  "TDM": "CE"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</si>
  <si>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</si>
  <si>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"153.5247997585",
  "ERP": "0.4806442784",
  "BenefitType": "Charge",
  "TDM": "CE"
}</t>
  </si>
  <si>
    <t>{
  "Organization Name": "PT Nawa Darsana Teknologi",
  "Publisher": "Microsoft",
  "Publisher Customer ID": "346fa229-7c19-44ef-85c6-29e00edf66cf",
  "Unit Price": "1534.72601568",
  "ERP": "3676366.410288",
  "BenefitType": "Charge",
  "TDM": "CE"
}</t>
  </si>
  <si>
    <t>{
  "Organization Name": "PT Nawa Darsana Teknologi",
  "Publisher": "Microsoft",
  "Publisher Customer ID": "346fa229-7c19-44ef-85c6-29e00edf66cf",
  "Unit Price": "153.5248",
  "ERP": "129798.24",
  "BenefitType": "Charge",
  "TDM": "CE"
}</t>
  </si>
  <si>
    <t>{
  "Organization Name": "PT Nawa Darsana Teknologi",
  "Publisher": "Microsoft",
  "Publisher Customer ID": "346fa229-7c19-44ef-85c6-29e00edf66cf",
  "Unit Price": "1228.198399997",
  "ERP": "351.2779455328",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</si>
  <si>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"153.5248",
  "ERP": "102327.1509476788",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</si>
  <si>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"153.5247999952",
  "ERP": "6.351661173",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</si>
  <si>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"76.7624",
  "ERP": "7372.0314339958",
  "BenefitType": "Charge",
  "aks-managed-cluster-name": "toona",
  "aks-managed-cluster-rg": "rg-tdm",
  "Environment": "Production",
  "MD": "TDM",
  "Product": "CE",
  "TDM": "CE"
}</t>
  </si>
  <si>
    <t>{
  "Organization Name": "PT Nawa Darsana Teknologi",
  "Publisher": "Microsoft",
  "Publisher Customer ID": "346fa229-7c19-44ef-85c6-29e00edf66cf",
  "Unit Price": "153.5248",
  "ERP": "129798.24",
  "BenefitType": "Charge",
  "Billing": "TDM"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</si>
  <si>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</si>
  <si>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"d61b6f31-ea23-11f0-8033-522e363cd051",
  "aks-managed-creationSource": "vmssclient-aks-monitoring-32979582-vmss",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"monitoring",
  "aks-managed-resourceNameSuffix": "89105503.0",
  "aks-managed-ssh-access": "LocalUser",
  "purpose": "monitoring"
}</t>
  </si>
  <si>
    <t>{
  "Organization Name": "PT Nawa Darsana Teknologi",
  "Publisher": "Microsoft",
  "Publisher Customer ID": "346fa229-7c19-44ef-85c6-29e00edf66cf",
  "Unit Price": "1842.2975998871",
  "ERP": "2.0777610282",
  "BenefitType": "Charge",
  "aks-managed-consolidated-additional-properties": "d61b78a9-ea23-11f0-8033-522e363cd051",
  "aks-managed-creationSource": "vmssclient-aks-systemeph-25557629-vmss",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"systemeph",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</si>
  <si>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"153.5247999856",
  "ERP": "5.925734529",
  "BenefitType": "Charge",
  "aks-managed-consolidated-additional-properties": "d61b78a9-ea23-11f0-8033-522e363cd051",
  "aks-managed-creationSource": "vmssclient-aks-systemeph-25557629-vmss",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"systemeph",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</si>
  <si>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"1842.2975999931",
  "ERP": "550.6919031614",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</si>
  <si>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"1842.2975994833",
  "ERP": "0.3244362836",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</si>
  <si>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"1842.2975989341",
  "ERP": "0.168973233",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</si>
  <si>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"1842.2975999489",
  "ERP": "66.9047784548",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</si>
  <si>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"153.5247999914",
  "ERP": "25.621204323",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</si>
  <si>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"153.5247998784",
  "ERP": "0.0555375964",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</si>
  <si>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"153.5247999994",
  "ERP": "663.5984549194",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</si>
  <si>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"1842.2975999265",
  "ERP": "3.0172124268",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</si>
  <si>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"1842.297599999",
  "ERP": "4721.3510686914",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</si>
  <si>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"1842.2975999941",
  "ERP": "852.7262840954",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</si>
  <si>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"6140.992",
  "ERP": "1013.3404424",
  "BenefitType": "Charge",
  "Billing": "TDM"
}</t>
  </si>
  <si>
    <t>{
  "Organization Name": "PT Nawa Darsana Teknologi",
  "Publisher": "Microsoft",
  "Publisher Customer ID": "346fa229-7c19-44ef-85c6-29e00edf66cf",
  "Unit Price": "153.524799916",
  "ERP": "0.1566232096",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</si>
  <si>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"1534.72601568",
  "ERP": "756898.966824",
  "BenefitType": "Charge",
  "TDM": "CE"
}</t>
  </si>
  <si>
    <t>{
  "Organization Name": "PT Nawa Darsana Teknologi",
  "Publisher": "Microsoft",
  "Publisher Customer ID": "346fa229-7c19-44ef-85c6-29e00edf66cf",
  "Unit Price": "0.0",
  "ERP": "0.0",
  "BenefitType": "Charge",
  "TDM": "CE"
}</t>
  </si>
  <si>
    <t>{
  "Organization Name": "PT Nawa Darsana Teknologi",
  "Publisher": "Microsoft",
  "Publisher Customer ID": "346fa229-7c19-44ef-85c6-29e00edf66cf",
  "Unit Price": "156702.7633599999",
  "ERP": "178059.925435392",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"pvc-9985d1c7-6e80-47ee-883d-32c34665229b"
}</t>
  </si>
  <si>
    <t>{
  "Organization Name": "PT Nawa Darsana Teknologi",
  "Publisher": "Microsoft",
  "Publisher Customer ID": "346fa229-7c19-44ef-85c6-29e00edf66cf",
  "Unit Price": "153.5248",
  "ERP": "35415.683429555",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</si>
  <si>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"153.5247999992",
  "ERP": "41.9058572504",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</si>
  <si>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"153.5248",
  "ERP": "17314.5269405108",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</si>
  <si>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"153.5248",
  "ERP": "24703.7277821334",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</si>
  <si>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"302597.3808",
  "ERP": "50.54751702",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</si>
  <si>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"1228.1983985986",
  "ERP": "0.1265846868",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</si>
  <si>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"153.5247999699",
  "ERP": "4.321313139",
  "BenefitType": "Charge",
  "TDM": "CE"
}</t>
  </si>
  <si>
    <t>{
  "Organization Name": "PT Nawa Darsana Teknologi",
  "Publisher": "Microsoft",
  "Publisher Customer ID": "346fa229-7c19-44ef-85c6-29e00edf66cf",
  "Unit Price": "1024.8561454481",
  "ERP": "121.5994172822",
  "BenefitType": "Charge",
  "aks-managed-consolidated-additional-properties": "d61b78a9-ea23-11f0-8033-522e363cd051",
  "aks-managed-creationSource": "vmssclient-aks-systemeph-25557629-vmss",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"systemeph",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</si>
  <si>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"toona",
  "aks-managed-cluster-rg": "rg-tdm",
  "Environment": "Production",
  "k8s-azure-cluster-name": "kubernetes",
  "k8s-azure-service": "portainer/portainer-agent",
  "MD": "TDM",
  "Product": "CE",
  "TDM": "CE"
}</t>
  </si>
  <si>
    <t>{
  "Organization Name": "PT Nawa Darsana Teknologi",
  "Publisher": "Microsoft",
  "Publisher Customer ID": "346fa229-7c19-44ef-85c6-29e00edf66cf",
  "Unit Price": "1228.198043016",
  "ERP": "0.0001552694",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</si>
  <si>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"1228.198043016",
  "ERP": "0.0004675528",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</si>
  <si>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"1228.1983968121",
  "ERP": "0.0173727268",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</si>
  <si>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"1228.1964268787",
  "ERP": "7.67624e-05",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</si>
  <si>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"1535.248",
  "ERP": "1297935.0107829534",
  "BenefitType": "Charge",
  "Environment": "Production",
  "MD": "TDM",
  "Product": "CE",
  "TDM": "CE"
}</t>
  </si>
  <si>
    <t>{
  "Organization Name": "PT Nawa Darsana Teknologi",
  "Publisher": "Microsoft",
  "Publisher Customer ID": "346fa229-7c19-44ef-85c6-29e00edf66cf",
  "Unit Price": "1228.1983977052",
  "ERP": "0.0331718244",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</si>
  <si>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"1228.1983999984",
  "ERP": "1979.841864",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</si>
  <si>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"153.5247996454",
  "ERP": "0.0661412752",
  "BenefitType": "Charge",
  "TDM": "CE"
}</t>
  </si>
  <si>
    <t>{
  "Organization Name": "PT Nawa Darsana Teknologi",
  "Publisher": "Microsoft",
  "Publisher Customer ID": "346fa229-7c19-44ef-85c6-29e00edf66cf",
  "Unit Price": "153.5247999773",
  "ERP": "12.1969399838",
  "BenefitType": "Charge",
  "TDM": "CE"
}</t>
  </si>
  <si>
    <t>{
  "Organization Name": "PT Nawa Darsana Teknologi",
  "Publisher": "Microsoft",
  "Publisher Customer ID": "346fa229-7c19-44ef-85c6-29e00edf66cf",
  "Unit Price": "153.5248",
  "ERP": "2562.16640251",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</si>
  <si>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"153.5248",
  "ERP": "2336.5207352344",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</si>
  <si>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"153.5247999764",
  "ERP": "5.0484641636",
  "BenefitType": "Charge",
  "aks-managed-consolidated-additional-properties": "d61b78a9-ea23-11f0-8033-522e363cd051",
  "aks-managed-creationSource": "vmssclient-aks-systemeph-25557629-vmss",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"systemeph",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</si>
  <si>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"153.5247999982",
  "ERP": "221.1688893414",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</si>
  <si>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"153.5247999992",
  "ERP": "482.3578820918",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</si>
  <si>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"153.5247999989",
  "ERP": "241.9837468334",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</si>
  <si>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"153.524799999",
  "ERP": "134.0727245858",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</si>
  <si>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"153.5247999997",
  "ERP": "172.9507674752",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</si>
  <si>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"1017.0153494502",
  "ERP": "119.9543728812",
  "BenefitType": "Charge",
  "aks-managed-consolidated-additional-properties": "d61b6f31-ea23-11f0-8033-522e363cd051",
  "aks-managed-creationSource": "vmssclient-aks-monitoring-32979582-vmss",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"monitoring",
  "aks-managed-resourceNameSuffix": "89105503.0",
  "aks-managed-ssh-access": "LocalUser",
  "purpose": "monitoring"
}</t>
  </si>
  <si>
    <t>{
  "Organization Name": "PT Nawa Darsana Teknologi",
  "Publisher": "Microsoft",
  "Publisher Customer ID": "346fa229-7c19-44ef-85c6-29e00edf66cf",
  "Unit Price": "1228.1983999874",
  "ERP": "226.2627689322",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</si>
  <si>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"1228.1975043036",
  "ERP": "0.0002337764",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</si>
  <si>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"1228.198043016",
  "ERP": "0.0001552694",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</si>
  <si>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"1228.1983999996",
  "ERP": "7191.5417928354",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</si>
  <si>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"1228.1983662456",
  "ERP": "0.0007798362",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</si>
  <si>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"1228.1982572047",
  "ERP": "0.0016172442",
  "BenefitType": "Charge",
  "aks-managed-consolidated-additional-properties": "d61b78a9-ea23-11f0-8033-522e363cd051",
  "aks-managed-creationSource": "vmssclient-aks-systemeph-25557629-vmss",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"systemeph",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</si>
  <si>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"1228.1975043036",
  "ERP": "0.0002337764",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</si>
  <si>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"1228.1964268787",
  "ERP": "7.67624e-05",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</si>
  <si>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"153.522263833",
  "ERP": "8.723e-06",
  "BenefitType": "Charge",
  "aks-managed-consolidated-additional-properties": "d61b78a9-ea23-11f0-8033-522e363cd051",
  "aks-managed-creationSource": "vmssclient-aks-systemeph-25557629-vmss",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"systemeph",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</si>
  <si>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"153.524799993",
  "ERP": "1.4214634434",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</si>
  <si>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"153.5247984588",
  "ERP": "0.0031472584",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</si>
  <si>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</si>
  <si>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"1228.1983995613",
  "ERP": "6.2517008268",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</si>
  <si>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"1228.1983999995",
  "ERP": "7041.7035803686",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</si>
  <si>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"1228.1983999994",
  "ERP": "5372.1210244702",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</si>
  <si>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"6140.992",
  "ERP": "2566.9835048",
  "BenefitType": "Charge",
  "Billing": "TDM"
}</t>
  </si>
  <si>
    <t>{
  "Organization Name": "PT Nawa Darsana Teknologi",
  "Publisher": "Microsoft",
  "Publisher Customer ID": "346fa229-7c19-44ef-85c6-29e00edf66cf",
  "Unit Price": "460.5744",
  "ERP": "389394.72",
  "BenefitType": "Charge",
  "CDC": "TDM",
  "TDM": "TDM"
}</t>
  </si>
  <si>
    <t>{
  "Organization Name": "PT Nawa Darsana Teknologi",
  "Publisher": "Microsoft",
  "Publisher Customer ID": "346fa229-7c19-44ef-85c6-29e00edf66cf",
  "Unit Price": "2118.6422399999",
  "ERP": "100153.9968",
  "BenefitType": "Charge",
  "TDM": "CE"
}</t>
  </si>
  <si>
    <t>{
  "Organization Name": "PT Nawa Darsana Teknologi",
  "Publisher": "Microsoft",
  "Publisher Customer ID": "346fa229-7c19-44ef-85c6-29e00edf66cf",
  "Unit Price": "2.24146208",
  "ERP": "6327.036144",
  "BenefitType": "Charge"
}</t>
  </si>
  <si>
    <t>{
  "Organization Name": "PT Nawa Darsana Teknologi",
  "Publisher": "Microsoft",
  "Publisher Customer ID": "346fa229-7c19-44ef-85c6-29e00edf66cf",
  "Unit Price": "153.5247999993",
  "ERP": "549.2404988928",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</si>
  <si>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"153.5247999996",
  "ERP": "151.0673860982",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</si>
  <si>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"302597.3807999999",
  "ERP": "64700.8217856",
  "BenefitType": "Charge",
  "aks-managed-consolidated-additional-properties": "d61b6f31-ea23-11f0-8033-522e363cd051",
  "aks-managed-creationSource": "vmssclient-aks-monitoring-32979582-vmss",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"monitoring",
  "aks-managed-resourceNameSuffix": "89105503.0",
  "aks-managed-ssh-access": "LocalUser",
  "purpose": "monitoring"
}</t>
  </si>
  <si>
    <t>{
  "Organization Name": "PT Nawa Darsana Teknologi",
  "Publisher": "Microsoft",
  "Publisher Customer ID": "346fa229-7c19-44ef-85c6-29e00edf66cf",
  "Unit Price": "302597.3808",
  "ERP": "386.8432425",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</si>
  <si>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"d61b78a9-ea23-11f0-8033-522e363cd051",
  "aks-managed-creationSource": "vmssclient-aks-systemeph-25557629-vmss",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"systemeph",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</si>
  <si>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"153.5247999994",
  "ERP": "150.009352493",
  "BenefitType": "Charge",
  "aks-managed-consolidated-additional-properties": "d61b78a9-ea23-11f0-8033-522e363cd051",
  "aks-managed-creationSource": "vmssclient-aks-systemeph-25557629-vmss",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"systemeph",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</si>
  <si>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"153.5247999959",
  "ERP": "3.344119064",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</si>
  <si>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"153.5247643618",
  "ERP": "0.0008356634",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</si>
  <si>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"153.524059541",
  "ERP": "1.7446e-05",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</si>
  <si>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"25635.0334287476",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</si>
  <si>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"1228.198043016",
  "ERP": "0.0003105388",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</si>
  <si>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"1228.1983991845",
  "ERP": "3.5564700314",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</si>
  <si>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"153.5248",
  "ERP": "101119.3542123622",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</si>
  <si>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"3284.6673249104",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</si>
  <si>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"1022.2518036097",
  "ERP": "508.0046064236",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</si>
  <si>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"Toona",
  "aks-managed-cluster-rg": "rg-tdm",
  "Environment": "Production",
  "MD": "TDM",
  "Product": "CE",
  "TDM": "CE"
}</t>
  </si>
  <si>
    <t>{
  "Organization Name": "PT Nawa Darsana Teknologi",
  "Publisher": "Microsoft",
  "Publisher Customer ID": "346fa229-7c19-44ef-85c6-29e00edf66cf",
  "Unit Price": "1696.3567470427",
  "ERP": "1215.6090802856",
  "BenefitType": "Charge",
  "aks-managed-consolidated-additional-properties": "d61b78a9-ea23-11f0-8033-522e363cd051",
  "aks-managed-creationSource": "vmssclient-aks-systemeph-25557629-vmss",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"systemeph",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</si>
  <si>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"1842.2975993288",
  "ERP": "0.0149093516",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</si>
  <si>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"toona",
  "aks-managed-cluster-rg": "rg-tdm",
  "Environment": "Production",
  "MD": "TDM",
  "Product": "CE",
  "TDM": "CE"
}</t>
  </si>
  <si>
    <t>{
  "Organization Name": "PT Nawa Darsana Teknologi",
  "Publisher": "Microsoft",
  "Publisher Customer ID": "346fa229-7c19-44ef-85c6-29e00edf66cf",
  "Unit Price": "76.7624",
  "ERP": "244308.4891058526",
  "BenefitType": "Charge",
  "aks-managed-cluster-name": "Toona",
  "aks-managed-cluster-rg": "rg-tdm",
  "Environment": "Production",
  "MD": "TDM",
  "Product": "CE",
  "TDM": "CE"
}</t>
  </si>
  <si>
    <t>{
  "Organization Name": "PT Nawa Darsana Teknologi",
  "Publisher": "Microsoft",
  "Publisher Customer ID": "346fa229-7c19-44ef-85c6-29e00edf66cf",
  "Unit Price": "1842.29759987",
  "ERP": "2.9037157292",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</si>
  <si>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"1842.2975999854",
  "ERP": "258.2718767486",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</si>
  <si>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"1681.6922244459",
  "ERP": "132.236833157",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</si>
  <si>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"Toona",
  "aks-managed-cluster-rg": "rg-tdm",
  "aks-managed-type": "aks-slb-managed-outbound-ip",
  "Environment": "Production",
  "MD": "TDM",
  "Product": "CE",
  "TDM": "CE"
}</t>
  </si>
  <si>
    <t>{
  "Organization Name": "PT Nawa Darsana Teknologi",
  "Publisher": "Microsoft",
  "Publisher Customer ID": "346fa229-7c19-44ef-85c6-29e00edf66cf",
  "Unit Price": "1842.2976",
  "ERP": "175518.892070522",
  "BenefitType": "Charge",
  "TDM": "CE"
}</t>
  </si>
  <si>
    <t>{
  "Organization Name": "PT Nawa Darsana Teknologi",
  "Publisher": "Microsoft",
  "Publisher Customer ID": "346fa229-7c19-44ef-85c6-29e00edf66cf",
  "Unit Price": "2368.904172042",
  "ERP": "8722.9999982554",
  "BenefitType": "Charge",
  "Billing": "TDM"
}</t>
  </si>
  <si>
    <t>{
  "Organization Name": "PT Nawa Darsana Teknologi",
  "Publisher": "Microsoft",
  "Publisher Customer ID": "346fa229-7c19-44ef-85c6-29e00edf66cf",
  "Unit Price": "2368.904172042",
  "ERP": "8722.9999982554",
  "BenefitType": "Charge",
  "TDM": "CE"
}</t>
  </si>
  <si>
    <t>{
  "Organization Name": "PT Nawa Darsana Teknologi",
  "Publisher": "Microsoft",
  "Publisher Customer ID": "346fa229-7c19-44ef-85c6-29e00edf66cf",
  "Unit Price": "302597.3807999999",
  "ERP": "278749.61244702",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</si>
  <si>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"2155.4881919713",
  "ERP": "42.9150874152",
  "BenefitType": "Charge"
}</t>
  </si>
  <si>
    <t>{
  "Organization Name": "PT Nawa Darsana Teknologi",
  "Publisher": "Microsoft",
  "Publisher Customer ID": "346fa229-7c19-44ef-85c6-29e00edf66cf",
  "Unit Price": "1228.1983999943",
  "ERP": "426.3674573158",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</si>
  <si>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"1009.2748826502",
  "ERP": "500.4407273866",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</si>
  <si>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"1228.1983977648",
  "ERP": "0.0563558138",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</si>
  <si>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"1228.1983979734",
  "ERP": "0.1077342838",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</si>
  <si>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"153.5247999957",
  "ERP": "74.193712021",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</si>
  <si>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"153.5247999974",
  "ERP": "52.5049686876",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</si>
  <si>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"153.524799998",
  "ERP": "232.8460083092",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</si>
  <si>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"929.6517867494",
  "BenefitType": "Charge",
  "aks-managed-consolidated-additional-properties": "d61b78a9-ea23-11f0-8033-522e363cd051",
  "aks-managed-creationSource": "vmssclient-aks-systemeph-25557629-vmss",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"systemeph",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</si>
  <si>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"153.5247999999",
  "ERP": "3554.536369098",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</si>
  <si>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"11341.945299256",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</si>
  <si>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"153.524798169",
  "ERP": "0.0015823522",
  "BenefitType": "Charge",
  "TDM": "CE"
}</t>
  </si>
  <si>
    <t>{
  "Organization Name": "PT Nawa Darsana Teknologi",
  "Publisher": "Microsoft",
  "Publisher Customer ID": "346fa229-7c19-44ef-85c6-29e00edf66cf",
  "Unit Price": "153.5247999887",
  "ERP": "23.8932582746",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</si>
  <si>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"153.5247999987",
  "ERP": "281.7955519808",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</si>
  <si>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"153.5247990382",
  "ERP": "0.0139288864",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</si>
  <si>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"1228.1983969621",
  "ERP": "0.0451362912",
  "BenefitType": "Charge",
  "aks-managed-consolidated-additional-properties": "d61b78a9-ea23-11f0-8033-522e363cd051",
  "aks-managed-creationSource": "vmssclient-aks-systemeph-25557629-vmss",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"systemeph",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</si>
  <si>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"1005.7768324261",
  "ERP": "463.941870535",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</si>
  <si>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"1228.1983999312",
  "ERP": "0.6446105094",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</si>
  <si>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"1842.2975999151",
  "ERP": "2.3638667052",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</si>
  <si>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"1740.6906708811",
  "ERP": "191.0710710766",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</si>
  <si>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"1842.2975996344",
  "ERP": "0.485792593",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</si>
  <si>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"153.5247999979",
  "ERP": "59.415458388",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</si>
  <si>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"1228.1983997774",
  "ERP": "1.1203262928",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</si>
  <si>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"1228.198395725",
  "ERP": "0.0147645498",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</si>
  <si>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"1228.1983999664",
  "ERP": "0.0352339416",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</si>
  <si>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"1228.1983999925",
  "ERP": "448.6254618846",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</si>
  <si>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"1228.1983866433",
  "ERP": "0.017629183",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</si>
  <si>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"1228.1983999983",
  "ERP": "2120.629400461",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</si>
  <si>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"153.5247999977",
  "ERP": "58.9791757984",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</si>
  <si>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"153.5247996241",
  "ERP": "0.0493058852",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</si>
  <si>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"1228.1983980916",
  "ERP": "0.0971497956",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</si>
  <si>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"1228.1983910671",
  "ERP": "0.0280287436",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</si>
  <si>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"1228.1983988174",
  "ERP": "0.830054511",
  "BenefitType": "Charge",
  "aks-managed-consolidated-additional-properties": "d61b6f31-ea23-11f0-8033-522e363cd051",
  "aks-managed-creationSource": "vmssclient-aks-monitoring-32979582-vmss",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"monitoring",
  "aks-managed-resourceNameSuffix": "89105503.0",
  "aks-managed-ssh-access": "LocalUser",
  "purpose": "monitoring"
}</t>
  </si>
  <si>
    <t>{
  "Organization Name": "PT Nawa Darsana Teknologi",
  "Publisher": "Microsoft",
  "Publisher Customer ID": "346fa229-7c19-44ef-85c6-29e00edf66cf",
  "Unit Price": "1228.1983999987",
  "ERP": "573.787434363",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</si>
  <si>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"1228.1983999981",
  "ERP": "1677.7543216148",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</si>
  <si>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"1228.1983999984",
  "ERP": "545.9167567568",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</si>
  <si>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"153.5248",
  "ERP": "129798.24",
  "BenefitType": "Charge",
  "CDC": "TDM",
  "TDM": "TDM"
}</t>
  </si>
  <si>
    <t>{
  "Organization Name": "PT Nawa Darsana Teknologi",
  "Publisher": "Microsoft",
  "Publisher Customer ID": "346fa229-7c19-44ef-85c6-29e00edf66cf",
  "Unit Price": "153.5248",
  "ERP": "10467.2234821726",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</si>
  <si>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"153.5247999994",
  "ERP": "539.634822012",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</si>
  <si>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"8101.0244857828",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</si>
  <si>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"153.5247999759",
  "ERP": "10.7083652676",
  "BenefitType": "Charge",
  "TDM": "CE"
}</t>
  </si>
  <si>
    <t>{
  "Organization Name": "PT Nawa Darsana Teknologi",
  "Publisher": "Microsoft",
  "Publisher Customer ID": "346fa229-7c19-44ef-85c6-29e00edf66cf",
  "Unit Price": "153.5248",
  "ERP": "1835.2029381114",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</si>
  <si>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"153.5246581094",
  "ERP": "2.6169e-05",
  "BenefitType": "Charge",
  "aks-managed-consolidated-additional-properties": "d61b73f0-ea23-11f0-8033-522e363cd051",
  "aks-managed-creationSource": "vmssclient-aks-usereph2-18836599-vmss",
  "aks-managed-enable-imds-restriction": "False",
  "aks-managed-kubeletIdentityClientID": "fdf0abc0-f11e-4569-a799-c2730280c2f5",
  "aks-managed-operationID": "84c33ebf-5199-45a4-a28c-7924144cdb1b",
  "aks-managed-orchestrator": "Kubernetes:1.33.5",
  "aks-managed-poolName": "usereph2",
  "aks-managed-resourceNameSuffix": "89105503.0",
  "aks-managed-ssh-access": "LocalUser"
}</t>
  </si>
  <si>
    <t>{
  "Organization Name": "PT Nawa Darsana Teknologi",
  "Publisher": "Microsoft",
  "Publisher Customer ID": "346fa229-7c19-44ef-85c6-29e00edf66cf",
  "Unit Price": "153.5248",
  "ERP": "60451.163799884",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</si>
  <si>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"429.8694399989",
  "ERP": "1466.845932552",
  "BenefitType": "Charge",
  "CDC": "TDM",
  "TDM": "TDM"
}</t>
  </si>
  <si>
    <t>{
  "Organization Name": "PT Nawa Darsana Teknologi",
  "Publisher": "Microsoft",
  "Publisher Customer ID": "346fa229-7c19-44ef-85c6-29e00edf66cf",
  "Unit Price": "1842.2975999796",
  "ERP": "2.5891713276",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</si>
  <si>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"4.9825776",
  "BenefitType": "Charge",
  "CDC": "TDM",
  "TDM": "TDM"
}</t>
  </si>
  <si>
    <t>{
  "Organization Name": "PT Nawa Darsana Teknologi",
  "Publisher": "Microsoft",
  "Publisher Customer ID": "346fa229-7c19-44ef-85c6-29e00edf66cf",
  "Unit Price": "1842.297599995",
  "ERP": "818.643841301",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</si>
  <si>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Price=1228.1983993532; ERP=1.5647683766;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</t>
  </si>
  <si>
    <t>Organization Name=PT Nawa Darsana Teknologi; Publisher=Microsoft; Publisher Customer ID=346fa229-7c19-44ef-85c6-29e00edf66cf; Unit Price=1683.2971532352; ERP=14.806498707; BenefitType=Charge; aks-managed-consolidated-additional-properties=d61b6f31-ea23-11f0-8033-522e363cd051; aks-managed-creationSource=vmssclient-aks-monitoring-32979582-vmss; aks-managed-enable-imds-restriction=False; aks-managed-kubeletIdentityClientID=fdf0abc0-f11e-4569-a799-c2730280c2f5; aks-managed-operationID=84c33ebf-5199-45a4-a28c-7924144cdb1b; aks-managed-orchestrator=Kubernetes:1.33.5; aks-managed-poolName=monitoring; aks-managed-resourceNameSuffix=89105503.0; aks-managed-ssh-access=LocalUser; purpose=monitoring</t>
  </si>
  <si>
    <t>Organization Name=PT Nawa Darsana Teknologi; Publisher=Microsoft; Publisher Customer ID=346fa229-7c19-44ef-85c6-29e00edf66cf; Unit Price=1733.7939073423; ERP=170.7997559268;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</si>
  <si>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</si>
  <si>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Price=1228.1983948827; ERP=0.0175454422;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</si>
  <si>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Price=1228.1983999987; ERP=2471.1160093906;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</si>
  <si>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Price=153.5248; ERP=129798.24; BenefitType=Charge; TDM=TDM</t>
  </si>
  <si>
    <t>Organization Name=PT Nawa Darsana Teknologi; Publisher=Microsoft; Publisher Customer ID=346fa229-7c19-44ef-85c6-29e00edf66cf; Unit Price=6140.9919999565; ERP=898.3015166554; BenefitType=Charge; TDM=CE</t>
  </si>
  <si>
    <t>Organization Name=PT Nawa Darsana Teknologi; Publisher=Microsoft; Publisher Customer ID=346fa229-7c19-44ef-85c6-29e00edf66cf; Unit Price=0.0; ERP=0.0;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</si>
  <si>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Price=153.5247997585; ERP=0.4806442784; BenefitType=Charge; TDM=CE</t>
  </si>
  <si>
    <t>Organization Name=PT Nawa Darsana Teknologi; Publisher=Microsoft; Publisher Customer ID=346fa229-7c19-44ef-85c6-29e00edf66cf; Unit Price=1534.72601568; ERP=3676366.410288; BenefitType=Charge; TDM=CE</t>
  </si>
  <si>
    <t>Organization Name=PT Nawa Darsana Teknologi; Publisher=Microsoft; Publisher Customer ID=346fa229-7c19-44ef-85c6-29e00edf66cf; Unit Price=153.5248; ERP=129798.24; BenefitType=Charge; TDM=CE</t>
  </si>
  <si>
    <t>Organization Name=PT Nawa Darsana Teknologi; Publisher=Microsoft; Publisher Customer ID=346fa229-7c19-44ef-85c6-29e00edf66cf; Unit Price=1228.198399997; ERP=351.2779455328;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</si>
  <si>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Price=153.5248; ERP=102327.1509476788;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</si>
  <si>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Price=153.5247999952; ERP=6.351661173;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</si>
  <si>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Price=76.7624; ERP=7372.0314339958; BenefitType=Charge; aks-managed-cluster-name=toona; aks-managed-cluster-rg=rg-tdm; Environment=Production; MD=TDM; Product=CE; TDM=CE</t>
  </si>
  <si>
    <t>Organization Name=PT Nawa Darsana Teknologi; Publisher=Microsoft; Publisher Customer ID=346fa229-7c19-44ef-85c6-29e00edf66cf; Unit Price=153.5248; ERP=129798.24; BenefitType=Charge; Billing=TDM</t>
  </si>
  <si>
    <t>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</si>
  <si>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aks-managed-consolidated-additional-properties=d61b6f31-ea23-11f0-8033-522e363cd051; aks-managed-creationSource=vmssclient-aks-monitoring-32979582-vmss; aks-managed-enable-imds-restriction=False; aks-managed-kubeletIdentityClientID=fdf0abc0-f11e-4569-a799-c2730280c2f5; aks-managed-operationID=84c33ebf-5199-45a4-a28c-7924144cdb1b; aks-managed-orchestrator=Kubernetes:1.33.5; aks-managed-poolName=monitoring; aks-managed-resourceNameSuffix=89105503.0; aks-managed-ssh-access=LocalUser; purpose=monitoring</t>
  </si>
  <si>
    <t>Organization Name=PT Nawa Darsana Teknologi; Publisher=Microsoft; Publisher Customer ID=346fa229-7c19-44ef-85c6-29e00edf66cf; Unit Price=1842.2975998871; ERP=2.0777610282;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</t>
  </si>
  <si>
    <t>Organization Name=PT Nawa Darsana Teknologi; Publisher=Microsoft; Publisher Customer ID=346fa229-7c19-44ef-85c6-29e00edf66cf; Unit Price=153.5247999856; ERP=5.925734529;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</t>
  </si>
  <si>
    <t>Organization Name=PT Nawa Darsana Teknologi; Publisher=Microsoft; Publisher Customer ID=346fa229-7c19-44ef-85c6-29e00edf66cf; Unit Price=1842.2975999931; ERP=550.6919031614;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</si>
  <si>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Price=1842.2975994833; ERP=0.3244362836;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</si>
  <si>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Price=1842.2975989341; ERP=0.168973233;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</si>
  <si>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Price=1842.2975999489; ERP=66.9047784548;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</si>
  <si>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Price=153.5247999914; ERP=25.621204323;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</si>
  <si>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Price=153.5247998784; ERP=0.0555375964;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</si>
  <si>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Price=153.5247999994; ERP=663.5984549194;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</si>
  <si>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Price=1842.2975999265; ERP=3.0172124268;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</si>
  <si>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Price=1842.297599999; ERP=4721.3510686914;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</si>
  <si>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Price=1842.2975999941; ERP=852.7262840954;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</si>
  <si>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Price=6140.992; ERP=1013.3404424; BenefitType=Charge; Billing=TDM</t>
  </si>
  <si>
    <t>Organization Name=PT Nawa Darsana Teknologi; Publisher=Microsoft; Publisher Customer ID=346fa229-7c19-44ef-85c6-29e00edf66cf; Unit Price=153.524799916; ERP=0.1566232096;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</si>
  <si>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Price=1534.72601568; ERP=756898.966824; BenefitType=Charge; TDM=CE</t>
  </si>
  <si>
    <t>Organization Name=PT Nawa Darsana Teknologi; Publisher=Microsoft; Publisher Customer ID=346fa229-7c19-44ef-85c6-29e00edf66cf; Unit Price=0.0; ERP=0.0; BenefitType=Charge; TDM=CE</t>
  </si>
  <si>
    <t>Organization Name=PT Nawa Darsana Teknologi; Publisher=Microsoft; Publisher Customer ID=346fa229-7c19-44ef-85c6-29e00edf66cf; Unit Price=156702.7633599999; ERP=178059.925435392;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kubernetes.io-created-for-pv-name=pvc-9985d1c7-6e80-47ee-883d-32c34665229b</t>
  </si>
  <si>
    <t>Organization Name=PT Nawa Darsana Teknologi; Publisher=Microsoft; Publisher Customer ID=346fa229-7c19-44ef-85c6-29e00edf66cf; Unit Price=153.5248; ERP=35415.683429555;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</si>
  <si>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Price=153.5247999992; ERP=41.9058572504;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</si>
  <si>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Price=153.5248; ERP=17314.5269405108;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</si>
  <si>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Price=153.5248; ERP=24703.7277821334;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</si>
  <si>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Price=302597.3808; ERP=50.54751702;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</si>
  <si>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Price=1228.1983985986; ERP=0.1265846868;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</si>
  <si>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Price=153.5247999699; ERP=4.321313139; BenefitType=Charge; TDM=CE</t>
  </si>
  <si>
    <t>Organization Name=PT Nawa Darsana Teknologi; Publisher=Microsoft; Publisher Customer ID=346fa229-7c19-44ef-85c6-29e00edf66cf; Unit Price=1024.8561454481; ERP=121.5994172822;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</t>
  </si>
  <si>
    <t>Organization Name=PT Nawa Darsana Teknologi; Publisher=Microsoft; Publisher Customer ID=346fa229-7c19-44ef-85c6-29e00edf66cf; Unit Price=76.7624; ERP=64899.12; BenefitType=Charge; aks-managed-cluster-name=toona; aks-managed-cluster-rg=rg-tdm; Environment=Production; k8s-azure-cluster-name=kubernetes; k8s-azure-service=portainer/portainer-agent; MD=TDM; Product=CE; TDM=CE</t>
  </si>
  <si>
    <t>Organization Name=PT Nawa Darsana Teknologi; Publisher=Microsoft; Publisher Customer ID=346fa229-7c19-44ef-85c6-29e00edf66cf; Unit Price=1228.198043016; ERP=0.0001552694;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</si>
  <si>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Price=1228.198043016; ERP=0.0004675528;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</si>
  <si>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Price=1228.1983968121; ERP=0.0173727268;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</si>
  <si>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Price=1228.1964268787; ERP=7.67624e-05;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</si>
  <si>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Price=1535.248; ERP=1297935.0107829534; BenefitType=Charge; Environment=Production; MD=TDM; Product=CE; TDM=CE</t>
  </si>
  <si>
    <t>Organization Name=PT Nawa Darsana Teknologi; Publisher=Microsoft; Publisher Customer ID=346fa229-7c19-44ef-85c6-29e00edf66cf; Unit Price=1228.1983977052; ERP=0.0331718244;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</si>
  <si>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Price=1228.1983999984; ERP=1979.841864;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</si>
  <si>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Price=153.5247996454; ERP=0.0661412752; BenefitType=Charge; TDM=CE</t>
  </si>
  <si>
    <t>Organization Name=PT Nawa Darsana Teknologi; Publisher=Microsoft; Publisher Customer ID=346fa229-7c19-44ef-85c6-29e00edf66cf; Unit Price=153.5247999773; ERP=12.1969399838; BenefitType=Charge; TDM=CE</t>
  </si>
  <si>
    <t>Organization Name=PT Nawa Darsana Teknologi; Publisher=Microsoft; Publisher Customer ID=346fa229-7c19-44ef-85c6-29e00edf66cf; Unit Price=153.5248; ERP=2562.16640251;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</si>
  <si>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Price=153.5248; ERP=2336.5207352344;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</si>
  <si>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Price=153.5247999764; ERP=5.0484641636;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</t>
  </si>
  <si>
    <t>Organization Name=PT Nawa Darsana Teknologi; Publisher=Microsoft; Publisher Customer ID=346fa229-7c19-44ef-85c6-29e00edf66cf; Unit Price=153.5247999982; ERP=221.1688893414;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</si>
  <si>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Price=153.5247999992; ERP=482.3578820918;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</si>
  <si>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Price=153.5247999989; ERP=241.9837468334;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</si>
  <si>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Price=153.524799999; ERP=134.0727245858;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</si>
  <si>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Price=153.5247999997; ERP=172.9507674752;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</si>
  <si>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Price=1017.0153494502; ERP=119.9543728812; BenefitType=Charge; aks-managed-consolidated-additional-properties=d61b6f31-ea23-11f0-8033-522e363cd051; aks-managed-creationSource=vmssclient-aks-monitoring-32979582-vmss; aks-managed-enable-imds-restriction=False; aks-managed-kubeletIdentityClientID=fdf0abc0-f11e-4569-a799-c2730280c2f5; aks-managed-operationID=84c33ebf-5199-45a4-a28c-7924144cdb1b; aks-managed-orchestrator=Kubernetes:1.33.5; aks-managed-poolName=monitoring; aks-managed-resourceNameSuffix=89105503.0; aks-managed-ssh-access=LocalUser; purpose=monitoring</t>
  </si>
  <si>
    <t>Organization Name=PT Nawa Darsana Teknologi; Publisher=Microsoft; Publisher Customer ID=346fa229-7c19-44ef-85c6-29e00edf66cf; Unit Price=1228.1983999874; ERP=226.2627689322;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</si>
  <si>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Price=1228.1975043036; ERP=0.0002337764;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</si>
  <si>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Price=1228.198043016; ERP=0.0001552694;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</si>
  <si>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Price=1228.1983999996; ERP=7191.5417928354;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</si>
  <si>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Price=1228.1983662456; ERP=0.0007798362;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</si>
  <si>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Price=1228.1982572047; ERP=0.0016172442;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</t>
  </si>
  <si>
    <t>Organization Name=PT Nawa Darsana Teknologi; Publisher=Microsoft; Publisher Customer ID=346fa229-7c19-44ef-85c6-29e00edf66cf; Unit Price=1228.1975043036; ERP=0.0002337764;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</si>
  <si>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Price=1228.1964268787; ERP=7.67624e-05;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</si>
  <si>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Price=153.522263833; ERP=8.723e-06;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</t>
  </si>
  <si>
    <t>Organization Name=PT Nawa Darsana Teknologi; Publisher=Microsoft; Publisher Customer ID=346fa229-7c19-44ef-85c6-29e00edf66cf; Unit Price=153.524799993; ERP=1.4214634434;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</si>
  <si>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Price=153.5247984588; ERP=0.0031472584;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</si>
  <si>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</si>
  <si>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Price=1228.1983995613; ERP=6.2517008268;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</si>
  <si>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Price=1228.1983999995; ERP=7041.7035803686;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</si>
  <si>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Price=1228.1983999994; ERP=5372.1210244702;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</si>
  <si>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Price=6140.992; ERP=2566.9835048; BenefitType=Charge; Billing=TDM</t>
  </si>
  <si>
    <t>Organization Name=PT Nawa Darsana Teknologi; Publisher=Microsoft; Publisher Customer ID=346fa229-7c19-44ef-85c6-29e00edf66cf; Unit Price=460.5744; ERP=389394.72; BenefitType=Charge; CDC=TDM; TDM=TDM</t>
  </si>
  <si>
    <t>Organization Name=PT Nawa Darsana Teknologi; Publisher=Microsoft; Publisher Customer ID=346fa229-7c19-44ef-85c6-29e00edf66cf; Unit Price=2118.6422399999; ERP=100153.9968; BenefitType=Charge; TDM=CE</t>
  </si>
  <si>
    <t>Organization Name=PT Nawa Darsana Teknologi; Publisher=Microsoft; Publisher Customer ID=346fa229-7c19-44ef-85c6-29e00edf66cf; Unit Price=2.24146208; ERP=6327.036144; BenefitType=Charge</t>
  </si>
  <si>
    <t>Organization Name=PT Nawa Darsana Teknologi; Publisher=Microsoft; Publisher Customer ID=346fa229-7c19-44ef-85c6-29e00edf66cf; Unit Price=153.5247999993; ERP=549.2404988928;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</si>
  <si>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Price=153.5247999996; ERP=151.0673860982;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</si>
  <si>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Price=302597.3807999999; ERP=64700.8217856; BenefitType=Charge; aks-managed-consolidated-additional-properties=d61b6f31-ea23-11f0-8033-522e363cd051; aks-managed-creationSource=vmssclient-aks-monitoring-32979582-vmss; aks-managed-enable-imds-restriction=False; aks-managed-kubeletIdentityClientID=fdf0abc0-f11e-4569-a799-c2730280c2f5; aks-managed-operationID=84c33ebf-5199-45a4-a28c-7924144cdb1b; aks-managed-orchestrator=Kubernetes:1.33.5; aks-managed-poolName=monitoring; aks-managed-resourceNameSuffix=89105503.0; aks-managed-ssh-access=LocalUser; purpose=monitoring</t>
  </si>
  <si>
    <t>Organization Name=PT Nawa Darsana Teknologi; Publisher=Microsoft; Publisher Customer ID=346fa229-7c19-44ef-85c6-29e00edf66cf; Unit Price=302597.3808; ERP=386.8432425;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</si>
  <si>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Price=0.0; ERP=0.0;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</t>
  </si>
  <si>
    <t>Organization Name=PT Nawa Darsana Teknologi; Publisher=Microsoft; Publisher Customer ID=346fa229-7c19-44ef-85c6-29e00edf66cf; Unit Price=153.5247999994; ERP=150.009352493;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</t>
  </si>
  <si>
    <t>Organization Name=PT Nawa Darsana Teknologi; Publisher=Microsoft; Publisher Customer ID=346fa229-7c19-44ef-85c6-29e00edf66cf; Unit Price=153.5247999959; ERP=3.344119064;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</si>
  <si>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Price=153.5247643618; ERP=0.0008356634;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</si>
  <si>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Price=153.524059541; ERP=1.7446e-05;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</si>
  <si>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Price=153.5248; ERP=25635.0334287476;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</si>
  <si>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Price=1228.198043016; ERP=0.0003105388;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</si>
  <si>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Price=1228.1983991845; ERP=3.5564700314;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</si>
  <si>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Price=153.5248; ERP=101119.3542123622;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</si>
  <si>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Price=153.5247999999; ERP=3284.6673249104;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</si>
  <si>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Price=1022.2518036097; ERP=508.0046064236;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</si>
  <si>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Price=383.812; ERP=324495.6; BenefitType=Charge; aks-managed-cluster-name=Toona; aks-managed-cluster-rg=rg-tdm; Environment=Production; MD=TDM; Product=CE; TDM=CE</t>
  </si>
  <si>
    <t>Organization Name=PT Nawa Darsana Teknologi; Publisher=Microsoft; Publisher Customer ID=346fa229-7c19-44ef-85c6-29e00edf66cf; Unit Price=1696.3567470427; ERP=1215.6090802856;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</t>
  </si>
  <si>
    <t>Organization Name=PT Nawa Darsana Teknologi; Publisher=Microsoft; Publisher Customer ID=346fa229-7c19-44ef-85c6-29e00edf66cf; Unit Price=1842.2975993288; ERP=0.0149093516;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</si>
  <si>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Price=383.812; ERP=324495.6; BenefitType=Charge; aks-managed-cluster-name=toona; aks-managed-cluster-rg=rg-tdm; Environment=Production; MD=TDM; Product=CE; TDM=CE</t>
  </si>
  <si>
    <t>Organization Name=PT Nawa Darsana Teknologi; Publisher=Microsoft; Publisher Customer ID=346fa229-7c19-44ef-85c6-29e00edf66cf; Unit Price=76.7624; ERP=244308.4891058526; BenefitType=Charge; aks-managed-cluster-name=Toona; aks-managed-cluster-rg=rg-tdm; Environment=Production; MD=TDM; Product=CE; TDM=CE</t>
  </si>
  <si>
    <t>Organization Name=PT Nawa Darsana Teknologi; Publisher=Microsoft; Publisher Customer ID=346fa229-7c19-44ef-85c6-29e00edf66cf; Unit Price=1842.29759987; ERP=2.9037157292;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</si>
  <si>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Price=1842.2975999854; ERP=258.2718767486;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</si>
  <si>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Price=1681.6922244459; ERP=132.236833157;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</si>
  <si>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Price=76.7624; ERP=64899.12; BenefitType=Charge; aks-managed-cluster-name=Toona; aks-managed-cluster-rg=rg-tdm; aks-managed-type=aks-slb-managed-outbound-ip; Environment=Production; MD=TDM; Product=CE; TDM=CE</t>
  </si>
  <si>
    <t>Organization Name=PT Nawa Darsana Teknologi; Publisher=Microsoft; Publisher Customer ID=346fa229-7c19-44ef-85c6-29e00edf66cf; Unit Price=1842.2976; ERP=175518.892070522; BenefitType=Charge; TDM=CE</t>
  </si>
  <si>
    <t>Organization Name=PT Nawa Darsana Teknologi; Publisher=Microsoft; Publisher Customer ID=346fa229-7c19-44ef-85c6-29e00edf66cf; Unit Price=2368.904172042; ERP=8722.9999982554; BenefitType=Charge; Billing=TDM</t>
  </si>
  <si>
    <t>Organization Name=PT Nawa Darsana Teknologi; Publisher=Microsoft; Publisher Customer ID=346fa229-7c19-44ef-85c6-29e00edf66cf; Unit Price=2368.904172042; ERP=8722.9999982554; BenefitType=Charge; TDM=CE</t>
  </si>
  <si>
    <t>Organization Name=PT Nawa Darsana Teknologi; Publisher=Microsoft; Publisher Customer ID=346fa229-7c19-44ef-85c6-29e00edf66cf; Unit Price=302597.3807999999; ERP=278749.61244702;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</si>
  <si>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Price=2155.4881919713; ERP=42.9150874152; BenefitType=Charge</t>
  </si>
  <si>
    <t>Organization Name=PT Nawa Darsana Teknologi; Publisher=Microsoft; Publisher Customer ID=346fa229-7c19-44ef-85c6-29e00edf66cf; Unit Price=1228.1983999943; ERP=426.3674573158;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</si>
  <si>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Price=1009.2748826502; ERP=500.4407273866;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</si>
  <si>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Price=1228.1983977648; ERP=0.0563558138;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</si>
  <si>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Price=1228.1983979734; ERP=0.1077342838;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</si>
  <si>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Price=153.5247999957; ERP=74.193712021;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</si>
  <si>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Price=153.5247999974; ERP=52.5049686876;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</si>
  <si>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Price=153.524799998; ERP=232.8460083092;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</si>
  <si>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Price=153.5247999999; ERP=929.6517867494;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</t>
  </si>
  <si>
    <t>Organization Name=PT Nawa Darsana Teknologi; Publisher=Microsoft; Publisher Customer ID=346fa229-7c19-44ef-85c6-29e00edf66cf; Unit Price=153.5247999999; ERP=3554.536369098;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</si>
  <si>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Price=153.5248; ERP=11341.945299256;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</si>
  <si>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Price=153.524798169; ERP=0.0015823522; BenefitType=Charge; TDM=CE</t>
  </si>
  <si>
    <t>Organization Name=PT Nawa Darsana Teknologi; Publisher=Microsoft; Publisher Customer ID=346fa229-7c19-44ef-85c6-29e00edf66cf; Unit Price=153.5247999887; ERP=23.8932582746;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</si>
  <si>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Price=153.5247999987; ERP=281.7955519808;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</si>
  <si>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Price=153.5247990382; ERP=0.0139288864;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</si>
  <si>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Price=1228.1983969621; ERP=0.0451362912; BenefitType=Charge; aks-managed-consolidated-additional-properties=d61b78a9-ea23-11f0-8033-522e363cd051; aks-managed-creationSource=vmssclient-aks-systemeph-25557629-vmss; aks-managed-enable-imds-restriction=False; aks-managed-kubeletIdentityClientID=fdf0abc0-f11e-4569-a799-c2730280c2f5; aks-managed-operationID=84c33ebf-5199-45a4-a28c-7924144cdb1b; aks-managed-orchestrator=Kubernetes:1.33.5; aks-managed-poolName=systemeph; aks-managed-resourceNameSuffix=89105503.0; aks-managed-ssh-access=LocalUser</t>
  </si>
  <si>
    <t>Organization Name=PT Nawa Darsana Teknologi; Publisher=Microsoft; Publisher Customer ID=346fa229-7c19-44ef-85c6-29e00edf66cf; Unit Price=1005.7768324261; ERP=463.941870535;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</si>
  <si>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Price=1228.1983999312; ERP=0.6446105094;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</si>
  <si>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Price=1842.2975999151; ERP=2.3638667052;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</si>
  <si>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Price=1740.6906708811; ERP=191.0710710766;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</si>
  <si>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Price=1842.2975996344; ERP=0.485792593;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</si>
  <si>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Price=153.5247999979; ERP=59.415458388;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</si>
  <si>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Price=1228.1983997774; ERP=1.1203262928;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</si>
  <si>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Price=1228.198395725; ERP=0.0147645498;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</si>
  <si>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Price=1228.1983999664; ERP=0.0352339416;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</si>
  <si>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Price=1228.1983999925; ERP=448.6254618846;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</si>
  <si>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Organization Name=PT Nawa Darsana Teknologi; Publisher=Microsoft; Publisher Customer ID=346fa229-7c19-44ef-85c6-29e00edf66cf; Unit Price=1228.1983866433; ERP=0.017629183;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</si>
  <si>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Price=1228.1983999983; ERP=2120.629400461;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</si>
  <si>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Price=153.5247999977; ERP=58.9791757984;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</si>
  <si>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Price=153.5247996241; ERP=0.0493058852;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</si>
  <si>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Price=1228.1983980916; ERP=0.0971497956;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</si>
  <si>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Price=1228.1983910671; ERP=0.0280287436;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</si>
  <si>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Price=1228.1983988174; ERP=0.830054511; BenefitType=Charge; aks-managed-consolidated-additional-properties=d61b6f31-ea23-11f0-8033-522e363cd051; aks-managed-creationSource=vmssclient-aks-monitoring-32979582-vmss; aks-managed-enable-imds-restriction=False; aks-managed-kubeletIdentityClientID=fdf0abc0-f11e-4569-a799-c2730280c2f5; aks-managed-operationID=84c33ebf-5199-45a4-a28c-7924144cdb1b; aks-managed-orchestrator=Kubernetes:1.33.5; aks-managed-poolName=monitoring; aks-managed-resourceNameSuffix=89105503.0; aks-managed-ssh-access=LocalUser; purpose=monitoring</t>
  </si>
  <si>
    <t>Organization Name=PT Nawa Darsana Teknologi; Publisher=Microsoft; Publisher Customer ID=346fa229-7c19-44ef-85c6-29e00edf66cf; Unit Price=1228.1983999987; ERP=573.787434363;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</si>
  <si>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Price=1228.1983999981; ERP=1677.7543216148;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</si>
  <si>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Price=1228.1983999984; ERP=545.9167567568;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</si>
  <si>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Price=153.5248; ERP=129798.24; BenefitType=Charge; CDC=TDM; TDM=TDM</t>
  </si>
  <si>
    <t>Organization Name=PT Nawa Darsana Teknologi; Publisher=Microsoft; Publisher Customer ID=346fa229-7c19-44ef-85c6-29e00edf66cf; Unit Price=153.5248; ERP=10467.2234821726;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</si>
  <si>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Price=153.5247999994; ERP=539.634822012;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</si>
  <si>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Price=153.5248; ERP=8101.0244857828;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</si>
  <si>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Price=153.5247999759; ERP=10.7083652676; BenefitType=Charge; TDM=CE</t>
  </si>
  <si>
    <t>Organization Name=PT Nawa Darsana Teknologi; Publisher=Microsoft; Publisher Customer ID=346fa229-7c19-44ef-85c6-29e00edf66cf; Unit Price=153.5248; ERP=1835.2029381114;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</si>
  <si>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Price=153.5246581094; ERP=2.6169e-05; BenefitType=Charge; aks-managed-consolidated-additional-properties=d61b73f0-ea23-11f0-8033-522e363cd051; aks-managed-creationSource=vmssclient-aks-usereph2-18836599-vmss; aks-managed-enable-imds-restriction=False; aks-managed-kubeletIdentityClientID=fdf0abc0-f11e-4569-a799-c2730280c2f5; aks-managed-operationID=84c33ebf-5199-45a4-a28c-7924144cdb1b; aks-managed-orchestrator=Kubernetes:1.33.5; aks-managed-poolName=usereph2; aks-managed-resourceNameSuffix=89105503.0; aks-managed-ssh-access=LocalUser</t>
  </si>
  <si>
    <t>Organization Name=PT Nawa Darsana Teknologi; Publisher=Microsoft; Publisher Customer ID=346fa229-7c19-44ef-85c6-29e00edf66cf; Unit Price=153.5248; ERP=60451.163799884;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</si>
  <si>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Organization Name=PT Nawa Darsana Teknologi; Publisher=Microsoft; Publisher Customer ID=346fa229-7c19-44ef-85c6-29e00edf66cf; Unit Price=429.8694399989; ERP=1466.845932552; BenefitType=Charge; CDC=TDM; TDM=TDM</t>
  </si>
  <si>
    <t>Organization Name=PT Nawa Darsana Teknologi; Publisher=Microsoft; Publisher Customer ID=346fa229-7c19-44ef-85c6-29e00edf66cf; Unit Price=1842.2975999796; ERP=2.5891713276;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</si>
  <si>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Organization Name=PT Nawa Darsana Teknologi; Publisher=Microsoft; Publisher Customer ID=346fa229-7c19-44ef-85c6-29e00edf66cf; Unit Price=0.0; ERP=4.9825776; BenefitType=Charge; CDC=TDM; TDM=TDM</t>
  </si>
  <si>
    <t>Organization Name=PT Nawa Darsana Teknologi; Publisher=Microsoft; Publisher Customer ID=346fa229-7c19-44ef-85c6-29e00edf66cf; Unit Price=1842.297599995; ERP=818.643841301;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</si>
  <si>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mc_rg-trio_trevesia_southeastasia</t>
  </si>
  <si>
    <t>MC_RG-TRIO_TREVESIA_SOUTHEASTASIA</t>
  </si>
  <si>
    <t>rg-trio</t>
  </si>
  <si>
    <t>RG-TRIO</t>
  </si>
  <si>
    <t>aks-usereph-30630141-vmss</t>
  </si>
  <si>
    <t>aks-usereph2-39457383-vmss</t>
  </si>
  <si>
    <t>aks-systemeph-21043143-vmss</t>
  </si>
  <si>
    <t>aks-trio-access-to-sql-shared</t>
  </si>
  <si>
    <t>aks-monitoring-27110aks-monitoring-271107OS__1_5562ebeafd0741889501e31fb170fe4b</t>
  </si>
  <si>
    <t>aks-monitoring-27110aks-monitoring-271107disk1_d07f739689ee4ad2ab6a902a2f7d91e1</t>
  </si>
  <si>
    <t>tritiro</t>
  </si>
  <si>
    <t>vpn-to-sql-database-trio</t>
  </si>
  <si>
    <t>CURL-API-TRIO</t>
  </si>
  <si>
    <t>tritih</t>
  </si>
  <si>
    <t>redis-trevesia-private-endpoint</t>
  </si>
  <si>
    <t>aks-monitoring-27110711-vmss</t>
  </si>
  <si>
    <t>Trevesia</t>
  </si>
  <si>
    <t>aks-access-to-sql-trio</t>
  </si>
  <si>
    <t>aks-yellow-to-database-tritih</t>
  </si>
  <si>
    <t>tansyhub</t>
  </si>
  <si>
    <t>tansyhub-to-aks-salvia</t>
  </si>
  <si>
    <t>sql-trio-to-aks-salvia</t>
  </si>
  <si>
    <t>api-curl_trio</t>
  </si>
  <si>
    <t>aks-monitoring-27110aks-monitoring-271107OS__1_eb4bf93a6b2f40d59e4ff12ca66276f6</t>
  </si>
  <si>
    <t>pvc-ed9022c7-d0c0-447d-adeb-0bc655b57abd</t>
  </si>
  <si>
    <t>aks-monitoring-27110aks-monitoring-271107OS__1_8a5085169cae44e3b21a497353170301</t>
  </si>
  <si>
    <t>7d0c6546-da42-4c73-aec0-ee00206dabf5</t>
  </si>
  <si>
    <t>{
  "Organization Name": "PT Nawa Darsana Teknologi",
  "Publisher": "Microsoft",
  "Publisher Customer ID": "346fa229-7c19-44ef-85c6-29e00edf66cf",
  "Unit Price": "1228.1983999968",
  "ERP": "233.0656708952",
  "BenefitType": "Charge",
  "aks-managed-consolidated-additional-properties": "579c65f5-ea28-11f0-8033-522e363cd051",
  "aks-managed-creationSource": "vmssclient-aks-usereph-30630141-vmss",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</si>
  <si>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"1228.198399997",
  "ERP": "240.692133968",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</si>
  <si>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</si>
  <si>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</si>
  <si>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"1228.1983999989",
  "ERP": "2162.6442638086",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</si>
  <si>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"1842.2975961334",
  "ERP": "0.0585383084",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</si>
  <si>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"6140.992",
  "ERP": "2518.8116096",
  "BenefitType": "Charge"
}</t>
  </si>
  <si>
    <t>{
  "Organization Name": "PT Nawa Darsana Teknologi",
  "Publisher": "Microsoft",
  "Publisher Customer ID": "346fa229-7c19-44ef-85c6-29e00edf66cf",
  "Unit Price": "1016.293747947",
  "ERP": "252.1488192366",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</si>
  <si>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"1013.9378793679",
  "ERP": "705.2253331838",
  "BenefitType": "Charge",
  "aks-managed-consolidated-additional-properties": "579c65f5-ea28-11f0-8033-522e363cd051",
  "aks-managed-creationSource": "vmssclient-aks-usereph-30630141-vmss",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</si>
  <si>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"153.5248",
  "ERP": "129798.24",
  "BenefitType": "Charge",
  "Trio": "CE"
}</t>
  </si>
  <si>
    <t>{
  "Organization Name": "PT Nawa Darsana Teknologi",
  "Publisher": "Microsoft",
  "Publisher Customer ID": "346fa229-7c19-44ef-85c6-29e00edf66cf",
  "Unit Price": "1722.4951979136",
  "ERP": "279.0383861408",
  "BenefitType": "Charge",
  "aks-managed-consolidated-additional-properties": "579c65f5-ea28-11f0-8033-522e363cd051",
  "aks-managed-creationSource": "vmssclient-aks-usereph-30630141-vmss",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</si>
  <si>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"1698.0110556689",
  "ERP": "126.8003926332",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</si>
  <si>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"302597.3807999999",
  "ERP": "65162.97051264",
  "BenefitType": "Charge",
  "aks-managed-consolidated-additional-properties": "579c61bc-ea28-11f0-8033-522e363cd051",
  "aks-managed-creationSource": "vmssclient-aks-monitoring-27110711-vmss",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"monitoring",
  "aks-managed-resourceNameSuffix": "54597921.0",
  "aks-managed-ssh-access": "LocalUser",
  "purpose": "monitoring"
}</t>
  </si>
  <si>
    <t>{
  "Organization Name": "PT Nawa Darsana Teknologi",
  "Publisher": "Microsoft",
  "Publisher Customer ID": "346fa229-7c19-44ef-85c6-29e00edf66cf",
  "Unit Price": "302597.3808",
  "ERP": "214.22519118",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</si>
  <si>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"153.5247999695",
  "ERP": "0.4414814976",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</si>
  <si>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"3220.5366314264",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</si>
  <si>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"76.7624",
  "ERP": "5935.8983103992",
  "BenefitType": "Charge",
  "aks-managed-cluster-name": "trevesia",
  "aks-managed-cluster-rg": "rg-trio",
  "Environment": "Production",
  "MD": "Trio",
  "Product": "CE",
  "Trio": "Trio"
}</t>
  </si>
  <si>
    <t>{
  "Organization Name": "PT Nawa Darsana Teknologi",
  "Publisher": "Microsoft",
  "Publisher Customer ID": "346fa229-7c19-44ef-85c6-29e00edf66cf",
  "Unit Price": "2368.904172042",
  "ERP": "8722.9999982554",
  "BenefitType": "Charge",
  "Trio": "CE"
}</t>
  </si>
  <si>
    <t>{
  "Organization Name": "PT Nawa Darsana Teknologi",
  "Publisher": "Microsoft",
  "Publisher Customer ID": "346fa229-7c19-44ef-85c6-29e00edf66cf",
  "Unit Price": "153.5248",
  "ERP": "13754.5630946438",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</si>
  <si>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"230287.1999999972",
  "ERP": "261338.2661276816",
  "BenefitType": "Charge",
  "Product": "CE"
}</t>
  </si>
  <si>
    <t>{
  "Organization Name": "PT Nawa Darsana Teknologi",
  "Publisher": "Microsoft",
  "Publisher Customer ID": "346fa229-7c19-44ef-85c6-29e00edf66cf",
  "Unit Price": "2377.1581935474",
  "ERP": "8722.9999982554",
  "BenefitType": "Charge",
  "Billing": "Trio"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</si>
  <si>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"579c6a5d-ea28-11f0-8033-522e363cd051",
  "aks-managed-creationSource": "vmssclient-aks-systemeph-21043143-vmss",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"systemeph",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</si>
  <si>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"153.5247999965",
  "ERP": "108.2479219536",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</si>
  <si>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"1842.2975999907",
  "ERP": "360.7024544266",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</si>
  <si>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"Trevesia",
  "aks-managed-cluster-rg": "RG-TRIO",
  "Environment": "Production",
  "MD": "Trio",
  "Product": "CE",
  "Trio": "Trio"
}</t>
  </si>
  <si>
    <t>{
  "Organization Name": "PT Nawa Darsana Teknologi",
  "Publisher": "Microsoft",
  "Publisher Customer ID": "346fa229-7c19-44ef-85c6-29e00edf66cf",
  "Unit Price": "1842.2975999381",
  "ERP": "0.8889626746",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</si>
  <si>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"153.5247999974",
  "ERP": "45.7137380986",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</si>
  <si>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"2.24146208",
  "ERP": "6362.695768",
  "BenefitType": "Charge"
}</t>
  </si>
  <si>
    <t>{
  "Organization Name": "PT Nawa Darsana Teknologi",
  "Publisher": "Microsoft",
  "Publisher Customer ID": "346fa229-7c19-44ef-85c6-29e00edf66cf",
  "Unit Price": "0.0",
  "ERP": "0.0",
  "BenefitType": "Charge",
  "Trio": "CE"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</si>
  <si>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</si>
  <si>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</si>
  <si>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"153.5247999836",
  "ERP": "1.9098677026",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</si>
  <si>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"167754.096636841",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</si>
  <si>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"153.5247999996",
  "ERP": "1.0935187692",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</si>
  <si>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"17848.6733486204",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</si>
  <si>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"19529.1860136802",
  "BenefitType": "Charge",
  "aks-managed-consolidated-additional-properties": "579c65f5-ea28-11f0-8033-522e363cd051",
  "aks-managed-creationSource": "vmssclient-aks-usereph-30630141-vmss",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</si>
  <si>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"1228.1983996532",
  "ERP": "2.0809170096",
  "BenefitType": "Charge",
  "aks-managed-consolidated-additional-properties": "579c6a5d-ea28-11f0-8033-522e363cd051",
  "aks-managed-creationSource": "vmssclient-aks-systemeph-21043143-vmss",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"systemeph",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</si>
  <si>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"1228.1983999971",
  "ERP": "246.0341148694",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</si>
  <si>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"1228.1983999981",
  "ERP": "1821.1467866306",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</si>
  <si>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"1228.1983662434",
  "ERP": "0.0003890458",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</si>
  <si>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"1228.1983992653",
  "ERP": "0.0932384024",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</si>
  <si>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"1535.248",
  "ERP": "1297935.0107829534",
  "BenefitType": "Charge",
  "Environment": "Production",
  "MD": "Trio",
  "Product": "CE",
  "Trio": "Trio"
}</t>
  </si>
  <si>
    <t>{
  "Organization Name": "PT Nawa Darsana Teknologi",
  "Publisher": "Microsoft",
  "Publisher Customer ID": "346fa229-7c19-44ef-85c6-29e00edf66cf",
  "Unit Price": "1021.4396637854",
  "ERP": "400.8355747682",
  "BenefitType": "Charge",
  "aks-managed-consolidated-additional-properties": "579c6a5d-ea28-11f0-8033-522e363cd051",
  "aks-managed-creationSource": "vmssclient-aks-systemeph-21043143-vmss",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"systemeph",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</si>
  <si>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"1013.0196998784",
  "ERP": "261.7305165904",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</si>
  <si>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"153.5247999711",
  "ERP": "12.788293089",
  "BenefitType": "Charge",
  "Trio": "CE"
}</t>
  </si>
  <si>
    <t>{
  "Organization Name": "PT Nawa Darsana Teknologi",
  "Publisher": "Microsoft",
  "Publisher Customer ID": "346fa229-7c19-44ef-85c6-29e00edf66cf",
  "Unit Price": "153.5247999966",
  "ERP": "36.6026186812",
  "BenefitType": "Charge",
  "aks-managed-consolidated-additional-properties": "579c6a5d-ea28-11f0-8033-522e363cd051",
  "aks-managed-creationSource": "vmssclient-aks-systemeph-21043143-vmss",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"systemeph",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</si>
  <si>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"153.5247999984",
  "ERP": "73.1630354884",
  "BenefitType": "Charge",
  "aks-managed-consolidated-additional-properties": "579c65f5-ea28-11f0-8033-522e363cd051",
  "aks-managed-creationSource": "vmssclient-aks-usereph-30630141-vmss",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</si>
  <si>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"153.5247539076",
  "ERP": "0.0002896036",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</si>
  <si>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"153.5247999988",
  "ERP": "41.5033082464",
  "BenefitType": "Charge",
  "aks-managed-consolidated-additional-properties": "579c6a5d-ea28-11f0-8033-522e363cd051",
  "aks-managed-creationSource": "vmssclient-aks-systemeph-21043143-vmss",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"systemeph",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</si>
  <si>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"153.5247999996",
  "ERP": "748.4604657244",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</si>
  <si>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"153.5247994494",
  "ERP": "0.0245133746",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</si>
  <si>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"153.524799998",
  "ERP": "180.5432230602",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</si>
  <si>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"153.5247890961",
  "ERP": "0.0016608592",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</si>
  <si>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"1228.1983999983",
  "ERP": "0.3727721712",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</si>
  <si>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"1228.1983999977",
  "ERP": "1594.5169433908",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</si>
  <si>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"1228.1983990811",
  "ERP": "3.7040178318",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</si>
  <si>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"1228.198043016",
  "ERP": "0.0001552694",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</si>
  <si>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"13190.0465501662",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</si>
  <si>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"1228.197264875",
  "ERP": "0.000209352",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</si>
  <si>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"3438.2985804024",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</si>
  <si>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"153.5247999746",
  "ERP": "5.2341611322",
  "BenefitType": "Charge",
  "Trio": "CE"
}</t>
  </si>
  <si>
    <t>{
  "Organization Name": "PT Nawa Darsana Teknologi",
  "Publisher": "Microsoft",
  "Publisher Customer ID": "346fa229-7c19-44ef-85c6-29e00edf66cf",
  "Unit Price": "2780.91752224",
  "ERP": "3577271.176336",
  "BenefitType": "Charge",
  "Trio": "CE"
}</t>
  </si>
  <si>
    <t>{
  "Organization Name": "PT Nawa Darsana Teknologi",
  "Publisher": "Microsoft",
  "Publisher Customer ID": "346fa229-7c19-44ef-85c6-29e00edf66cf",
  "Unit Price": "153.5248",
  "ERP": "17762.9226263632",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</si>
  <si>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"21788.7486798124",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</si>
  <si>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"1228.1983999987",
  "ERP": "2447.3790079596",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</si>
  <si>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"1842.2975999805",
  "ERP": "289.0437875182",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</si>
  <si>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"6140.992",
  "ERP": "978.4275072",
  "BenefitType": "Charge",
  "Billing": "Trio"
}</t>
  </si>
  <si>
    <t>{
  "Organization Name": "PT Nawa Darsana Teknologi",
  "Publisher": "Microsoft",
  "Publisher Customer ID": "346fa229-7c19-44ef-85c6-29e00edf66cf",
  "Unit Price": "460.5744",
  "ERP": "389394.72",
  "BenefitType": "Charge",
  "CE": "CDC",
  "Trio": "Trio"
}</t>
  </si>
  <si>
    <t>{
  "Organization Name": "PT Nawa Darsana Teknologi",
  "Publisher": "Microsoft",
  "Publisher Customer ID": "346fa229-7c19-44ef-85c6-29e00edf66cf",
  "Unit Price": "1534.72601568",
  "ERP": "3411277.371216",
  "BenefitType": "Charge",
  "Trio": "CE"
}</t>
  </si>
  <si>
    <t>{
  "Organization Name": "PT Nawa Darsana Teknologi",
  "Publisher": "Microsoft",
  "Publisher Customer ID": "346fa229-7c19-44ef-85c6-29e00edf66cf",
  "Unit Price": "153.5248",
  "ERP": "129798.24",
  "BenefitType": "Charge",
  "CE": "CDC",
  "Trio": "Trio"
}</t>
  </si>
  <si>
    <t>{
  "Organization Name": "PT Nawa Darsana Teknologi",
  "Publisher": "Microsoft",
  "Publisher Customer ID": "346fa229-7c19-44ef-85c6-29e00edf66cf",
  "Unit Price": "153.5247999981",
  "ERP": "57.5941448368",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</si>
  <si>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"153.5247999995",
  "ERP": "140.2321325834",
  "BenefitType": "Charge",
  "aks-managed-consolidated-additional-properties": "579c65f5-ea28-11f0-8033-522e363cd051",
  "aks-managed-creationSource": "vmssclient-aks-usereph-30630141-vmss",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</si>
  <si>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"153.5247999975",
  "ERP": "173.0915218032",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</si>
  <si>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"579c65f5-ea28-11f0-8033-522e363cd051",
  "aks-managed-creationSource": "vmssclient-aks-usereph-30630141-vmss",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</si>
  <si>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"153.5247999999",
  "ERP": "1239.2863483572",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</si>
  <si>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"153.5248",
  "ERP": "129798.24",
  "BenefitType": "Charge",
  "Trio": "Trio"
}</t>
  </si>
  <si>
    <t>{
  "Organization Name": "PT Nawa Darsana Teknologi",
  "Publisher": "Microsoft",
  "Publisher Customer ID": "346fa229-7c19-44ef-85c6-29e00edf66cf",
  "Unit Price": "1228.1975043036",
  "ERP": "0.0002337764",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</si>
  <si>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"1228.1983990249",
  "ERP": "0.750971793",
  "BenefitType": "Charge",
  "aks-managed-consolidated-additional-properties": "579c61bc-ea28-11f0-8033-522e363cd051",
  "aks-managed-creationSource": "vmssclient-aks-monitoring-27110711-vmss",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"monitoring",
  "aks-managed-resourceNameSuffix": "54597921.0",
  "aks-managed-ssh-access": "LocalUser",
  "purpose": "monitoring"
}</t>
  </si>
  <si>
    <t>{
  "Organization Name": "PT Nawa Darsana Teknologi",
  "Publisher": "Microsoft",
  "Publisher Customer ID": "346fa229-7c19-44ef-85c6-29e00edf66cf",
  "Unit Price": "2118.6422399999",
  "ERP": "93894.3719982554",
  "BenefitType": "Charge",
  "Trio": "CE"
}</t>
  </si>
  <si>
    <t>{
  "Organization Name": "PT Nawa Darsana Teknologi",
  "Publisher": "Microsoft",
  "Publisher Customer ID": "346fa229-7c19-44ef-85c6-29e00edf66cf",
  "Unit Price": "2155.4881919705",
  "ERP": "43.2836760356",
  "BenefitType": "Charge"
}</t>
  </si>
  <si>
    <t>{
  "Organization Name": "PT Nawa Darsana Teknologi",
  "Publisher": "Microsoft",
  "Publisher Customer ID": "346fa229-7c19-44ef-85c6-29e00edf66cf",
  "Unit Price": "153.5248",
  "ERP": "2414.1468727376",
  "BenefitType": "Charge",
  "aks-managed-consolidated-additional-properties": "579c65f5-ea28-11f0-8033-522e363cd051",
  "aks-managed-creationSource": "vmssclient-aks-usereph-30630141-vmss",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</si>
  <si>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"76.7624",
  "ERP": "226870.8618739134",
  "BenefitType": "Charge",
  "aks-managed-cluster-name": "Trevesia",
  "aks-managed-cluster-rg": "RG-TRIO",
  "Environment": "Production",
  "MD": "Trio",
  "Product": "CE",
  "Trio": "Trio"
}</t>
  </si>
  <si>
    <t>{
  "Organization Name": "PT Nawa Darsana Teknologi",
  "Publisher": "Microsoft",
  "Publisher Customer ID": "346fa229-7c19-44ef-85c6-29e00edf66cf",
  "Unit Price": "1842.2975999971",
  "ERP": "1892.7420861778",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</si>
  <si>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"1685.4687998594",
  "ERP": "1132.2109999772",
  "BenefitType": "Charge",
  "aks-managed-consolidated-additional-properties": "579c61bc-ea28-11f0-8033-522e363cd051",
  "aks-managed-creationSource": "vmssclient-aks-monitoring-27110711-vmss",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"monitoring",
  "aks-managed-resourceNameSuffix": "54597921.0",
  "aks-managed-ssh-access": "LocalUser",
  "purpose": "monitoring"
}</t>
  </si>
  <si>
    <t>{
  "Organization Name": "PT Nawa Darsana Teknologi",
  "Publisher": "Microsoft",
  "Publisher Customer ID": "346fa229-7c19-44ef-85c6-29e00edf66cf",
  "Unit Price": "1842.2975972043",
  "ERP": "0.0430794078",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</si>
  <si>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"0.0",
  "ERP": "5.0663184",
  "BenefitType": "Charge",
  "CE": "CDC",
  "Trio": "Trio"
}</t>
  </si>
  <si>
    <t>{
  "Organization Name": "PT Nawa Darsana Teknologi",
  "Publisher": "Microsoft",
  "Publisher Customer ID": "346fa229-7c19-44ef-85c6-29e00edf66cf",
  "Unit Price": "3684.5951999999",
  "ERP": "177413.9105107798",
  "BenefitType": "Charge",
  "Trio": "CE"
}</t>
  </si>
  <si>
    <t>{
  "Organization Name": "PT Nawa Darsana Teknologi",
  "Publisher": "Microsoft",
  "Publisher Customer ID": "346fa229-7c19-44ef-85c6-29e00edf66cf",
  "Unit Price": "1534.72601568",
  "ERP": "889443.48636",
  "BenefitType": "Charge",
  "Trio": "CE"
}</t>
  </si>
  <si>
    <t>{
  "Organization Name": "PT Nawa Darsana Teknologi",
  "Publisher": "Microsoft",
  "Publisher Customer ID": "346fa229-7c19-44ef-85c6-29e00edf66cf",
  "Unit Price": "429.8694399997",
  "ERP": "1121.847374648",
  "BenefitType": "Charge",
  "CE": "CDC",
  "Trio": "Trio"
}</t>
  </si>
  <si>
    <t>{
  "Organization Name": "PT Nawa Darsana Teknologi",
  "Publisher": "Microsoft",
  "Publisher Customer ID": "346fa229-7c19-44ef-85c6-29e00edf66cf",
  "Unit Price": "302597.3808",
  "ERP": "49.51593504",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</si>
  <si>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"1228.1983996742",
  "ERP": "0.021414965",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</si>
  <si>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"1228.1983999974",
  "ERP": "1361.4162182478",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</si>
  <si>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"153.5247984664",
  "ERP": "0.001064206",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</si>
  <si>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"153.5247999964",
  "ERP": "26.7993170016",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</si>
  <si>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"153.5247999989",
  "ERP": "397.7131699398",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</si>
  <si>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"694.641258454",
  "BenefitType": "Charge",
  "aks-managed-consolidated-additional-properties": "579c6a5d-ea28-11f0-8033-522e363cd051",
  "aks-managed-creationSource": "vmssclient-aks-systemeph-21043143-vmss",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"systemeph",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</si>
  <si>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"153.5247999971",
  "ERP": "0.5607022278",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</si>
  <si>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</si>
  <si>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"153.5247998133",
  "ERP": "0.0661622104",
  "BenefitType": "Charge",
  "Trio": "CE"
}</t>
  </si>
  <si>
    <t>{
  "Organization Name": "PT Nawa Darsana Teknologi",
  "Publisher": "Microsoft",
  "Publisher Customer ID": "346fa229-7c19-44ef-85c6-29e00edf66cf",
  "Unit Price": "153.5247999747",
  "ERP": "11.0444205872",
  "BenefitType": "Charge",
  "Trio": "CE"
}</t>
  </si>
  <si>
    <t>{
  "Organization Name": "PT Nawa Darsana Teknologi",
  "Publisher": "Microsoft",
  "Publisher Customer ID": "346fa229-7c19-44ef-85c6-29e00edf66cf",
  "Unit Price": "153.5247999998",
  "ERP": "2663.919552008",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</si>
  <si>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"153.5247942979",
  "ERP": "0.0015928198",
  "BenefitType": "Charge",
  "Trio": "CE"
}</t>
  </si>
  <si>
    <t>{
  "Organization Name": "PT Nawa Darsana Teknologi",
  "Publisher": "Microsoft",
  "Publisher Customer ID": "346fa229-7c19-44ef-85c6-29e00edf66cf",
  "Unit Price": "6140.9919999977",
  "ERP": "2188.5169592",
  "BenefitType": "Charge",
  "Trio": "CE"
}</t>
  </si>
  <si>
    <t>{
  "Organization Name": "PT Nawa Darsana Teknologi",
  "Publisher": "Microsoft",
  "Publisher Customer ID": "346fa229-7c19-44ef-85c6-29e00edf66cf",
  "Unit Price": "1842.2975999839",
  "ERP": "318.090632574",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</si>
  <si>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"156702.7633599999",
  "ERP": "178059.925435392",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"pvc-ed9022c7-d0c0-447d-adeb-0bc655b57abd"
}</t>
  </si>
  <si>
    <t>{
  "Organization Name": "PT Nawa Darsana Teknologi",
  "Publisher": "Microsoft",
  "Publisher Customer ID": "346fa229-7c19-44ef-85c6-29e00edf66cf",
  "Unit Price": "153.524799995",
  "ERP": "17.9960008514",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</si>
  <si>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"153.5247265176",
  "ERP": "0.0001692262",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</si>
  <si>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"153.5247962184",
  "ERP": "0.0079169948",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</si>
  <si>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"153.5247999966",
  "ERP": "117.8726812692",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</si>
  <si>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"1031.0956314944",
  "ERP": "49.9446251304",
  "BenefitType": "Charge",
  "aks-managed-consolidated-additional-properties": "579c61bc-ea28-11f0-8033-522e363cd051",
  "aks-managed-creationSource": "vmssclient-aks-monitoring-27110711-vmss",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"monitoring",
  "aks-managed-resourceNameSuffix": "54597921.0",
  "aks-managed-ssh-access": "LocalUser",
  "purpose": "monitoring"
}</t>
  </si>
  <si>
    <t>{
  "Organization Name": "PT Nawa Darsana Teknologi",
  "Publisher": "Microsoft",
  "Publisher Customer ID": "346fa229-7c19-44ef-85c6-29e00edf66cf",
  "Unit Price": "1228.1983999989",
  "ERP": "2855.4354193222",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</si>
  <si>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"1228.1983994941",
  "ERP": "0.2851705714",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</si>
  <si>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"1228.1983999826",
  "ERP": "172.0800393598",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</si>
  <si>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"153.5247999953",
  "ERP": "87.4304056912",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</si>
  <si>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"153.5247999955",
  "ERP": "100.7371781988",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</si>
  <si>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"1228.198399998",
  "ERP": "1471.153611642",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</si>
  <si>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"1228.1983999995",
  "ERP": "7280.958607065",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</si>
  <si>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"302597.3807999999",
  "ERP": "278490.34150938",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</si>
  <si>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"153.5247998169",
  "ERP": "0.6711179618",
  "BenefitType": "Charge",
  "Trio": "CE"
}</t>
  </si>
  <si>
    <t>{
  "Organization Name": "PT Nawa Darsana Teknologi",
  "Publisher": "Microsoft",
  "Publisher Customer ID": "346fa229-7c19-44ef-85c6-29e00edf66cf",
  "Unit Price": "153.5247999999",
  "ERP": "1291.9778060618",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</si>
  <si>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"153.5247999996",
  "ERP": "208.0568892116",
  "BenefitType": "Charge",
  "aks-managed-consolidated-additional-properties": "579c6a5d-ea28-11f0-8033-522e363cd051",
  "aks-managed-creationSource": "vmssclient-aks-systemeph-21043143-vmss",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"systemeph",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</si>
  <si>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"153.5248",
  "ERP": "19201.1109428424",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</si>
  <si>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"trevesia",
  "aks-managed-cluster-rg": "rg-trio",
  "Environment": "Production",
  "MD": "Trio",
  "Product": "CE",
  "Trio": "Trio"
}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</si>
  <si>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"Trevesia",
  "aks-managed-cluster-rg": "rg-trio",
  "aks-managed-type": "aks-slb-managed-outbound-ip",
  "Environment": "Production",
  "MD": "Trio",
  "Product": "CE",
  "Trio": "Trio"
}</t>
  </si>
  <si>
    <t>{
  "Organization Name": "PT Nawa Darsana Teknologi",
  "Publisher": "Microsoft",
  "Publisher Customer ID": "346fa229-7c19-44ef-85c6-29e00edf66cf",
  "Unit Price": "1842.2975997448",
  "ERP": "0.5769008388",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</si>
  <si>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{
  "Organization Name": "PT Nawa Darsana Teknologi",
  "Publisher": "Microsoft",
  "Publisher Customer ID": "346fa229-7c19-44ef-85c6-29e00edf66cf",
  "Unit Price": "1715.9795840922",
  "ERP": "157.4278417998",
  "BenefitType": "Charge",
  "aks-managed-consolidated-additional-properties": "579c6e6a-ea28-11f0-8033-522e363cd051",
  "aks-managed-creationSource": "vmssclient-aks-usereph2-39457383-vmss",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"usereph2",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</si>
  <si>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"1749.2228901604",
  "ERP": "57.3518617672",
  "BenefitType": "Charge",
  "aks-managed-consolidated-additional-properties": "579c6a5d-ea28-11f0-8033-522e363cd051",
  "aks-managed-creationSource": "vmssclient-aks-systemeph-21043143-vmss",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"systemeph",
  "aks-managed-resourceNameSuffix": "54597921.0",
  "aks-managed-ssh-access": "LocalUser"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</si>
  <si>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"579c61bc-ea28-11f0-8033-522e363cd051",
  "aks-managed-creationSource": "vmssclient-aks-monitoring-27110711-vmss",
  "aks-managed-enable-imds-restriction": "False",
  "aks-managed-kubeletIdentityClientID": "ad57a470-2160-4895-a3aa-9067f7d5fd86",
  "aks-managed-operationID": "377479e1-a069-4520-bf0c-f2c76549c4e9",
  "aks-managed-orchestrator": "Kubernetes:1.33.5",
  "aks-managed-poolName": "monitoring",
  "aks-managed-resourceNameSuffix": "54597921.0",
  "aks-managed-ssh-access": "LocalUser",
  "purpose": "monitoring"
}</t>
  </si>
  <si>
    <t>{
  "Organization Name": "PT Nawa Darsana Teknologi",
  "Publisher": "Microsoft",
  "Publisher Customer ID": "346fa229-7c19-44ef-85c6-29e00edf66cf",
  "Unit Price": "1842.2975999989",
  "ERP": "4692.7176676666",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</si>
  <si>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Price=1228.1983999968; ERP=233.0656708952;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</t>
  </si>
  <si>
    <t>Organization Name=PT Nawa Darsana Teknologi; Publisher=Microsoft; Publisher Customer ID=346fa229-7c19-44ef-85c6-29e00edf66cf; Unit Price=1228.198399997; ERP=240.692133968;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</si>
  <si>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Price=0.0; ERP=0.0;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</si>
  <si>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</si>
  <si>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Price=1228.1983999989; ERP=2162.6442638086;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</si>
  <si>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Price=1842.2975961334; ERP=0.0585383084;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</si>
  <si>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Price=6140.992; ERP=2518.8116096; BenefitType=Charge</t>
  </si>
  <si>
    <t>Organization Name=PT Nawa Darsana Teknologi; Publisher=Microsoft; Publisher Customer ID=346fa229-7c19-44ef-85c6-29e00edf66cf; Unit Price=1016.293747947; ERP=252.1488192366;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</si>
  <si>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Price=1013.9378793679; ERP=705.2253331838;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</t>
  </si>
  <si>
    <t>Organization Name=PT Nawa Darsana Teknologi; Publisher=Microsoft; Publisher Customer ID=346fa229-7c19-44ef-85c6-29e00edf66cf; Unit Price=153.5248; ERP=129798.24; BenefitType=Charge; Trio=CE</t>
  </si>
  <si>
    <t>Organization Name=PT Nawa Darsana Teknologi; Publisher=Microsoft; Publisher Customer ID=346fa229-7c19-44ef-85c6-29e00edf66cf; Unit Price=1722.4951979136; ERP=279.0383861408;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</t>
  </si>
  <si>
    <t>Organization Name=PT Nawa Darsana Teknologi; Publisher=Microsoft; Publisher Customer ID=346fa229-7c19-44ef-85c6-29e00edf66cf; Unit Price=1698.0110556689; ERP=126.8003926332;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</si>
  <si>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Price=302597.3807999999; ERP=65162.97051264; BenefitType=Charge; aks-managed-consolidated-additional-properties=579c61bc-ea28-11f0-8033-522e363cd051; aks-managed-creationSource=vmssclient-aks-monitoring-27110711-vmss; aks-managed-enable-imds-restriction=False; aks-managed-kubeletIdentityClientID=ad57a470-2160-4895-a3aa-9067f7d5fd86; aks-managed-operationID=377479e1-a069-4520-bf0c-f2c76549c4e9; aks-managed-orchestrator=Kubernetes:1.33.5; aks-managed-poolName=monitoring; aks-managed-resourceNameSuffix=54597921.0; aks-managed-ssh-access=LocalUser; purpose=monitoring</t>
  </si>
  <si>
    <t>Organization Name=PT Nawa Darsana Teknologi; Publisher=Microsoft; Publisher Customer ID=346fa229-7c19-44ef-85c6-29e00edf66cf; Unit Price=302597.3808; ERP=214.22519118;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</si>
  <si>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Price=153.5247999695; ERP=0.4414814976;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</si>
  <si>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Price=153.5247999999; ERP=3220.5366314264;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</si>
  <si>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Price=76.7624; ERP=5935.8983103992; BenefitType=Charge; aks-managed-cluster-name=trevesia; aks-managed-cluster-rg=rg-trio; Environment=Production; MD=Trio; Product=CE; Trio=Trio</t>
  </si>
  <si>
    <t>Organization Name=PT Nawa Darsana Teknologi; Publisher=Microsoft; Publisher Customer ID=346fa229-7c19-44ef-85c6-29e00edf66cf; Unit Price=2368.904172042; ERP=8722.9999982554; BenefitType=Charge; Trio=CE</t>
  </si>
  <si>
    <t>Organization Name=PT Nawa Darsana Teknologi; Publisher=Microsoft; Publisher Customer ID=346fa229-7c19-44ef-85c6-29e00edf66cf; Unit Price=153.5248; ERP=13754.5630946438;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</si>
  <si>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Price=230287.1999999972; ERP=261338.2661276816; BenefitType=Charge; Product=CE</t>
  </si>
  <si>
    <t>Organization Name=PT Nawa Darsana Teknologi; Publisher=Microsoft; Publisher Customer ID=346fa229-7c19-44ef-85c6-29e00edf66cf; Unit Price=2377.1581935474; ERP=8722.9999982554; BenefitType=Charge; Billing=Trio</t>
  </si>
  <si>
    <t>Organization Name=PT Nawa Darsana Teknologi; Publisher=Microsoft; Publisher Customer ID=346fa229-7c19-44ef-85c6-29e00edf66cf; Unit Price=0.0; ERP=0.0;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</t>
  </si>
  <si>
    <t>Organization Name=PT Nawa Darsana Teknologi; Publisher=Microsoft; Publisher Customer ID=346fa229-7c19-44ef-85c6-29e00edf66cf; Unit Price=153.5247999965; ERP=108.2479219536;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</si>
  <si>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Price=1842.2975999907; ERP=360.7024544266;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</si>
  <si>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Price=383.812; ERP=324495.6; BenefitType=Charge; aks-managed-cluster-name=Trevesia; aks-managed-cluster-rg=RG-TRIO; Environment=Production; MD=Trio; Product=CE; Trio=Trio</t>
  </si>
  <si>
    <t>Organization Name=PT Nawa Darsana Teknologi; Publisher=Microsoft; Publisher Customer ID=346fa229-7c19-44ef-85c6-29e00edf66cf; Unit Price=1842.2975999381; ERP=0.8889626746;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</si>
  <si>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Price=153.5247999974; ERP=45.7137380986;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</si>
  <si>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Price=2.24146208; ERP=6362.695768; BenefitType=Charge</t>
  </si>
  <si>
    <t>Organization Name=PT Nawa Darsana Teknologi; Publisher=Microsoft; Publisher Customer ID=346fa229-7c19-44ef-85c6-29e00edf66cf; Unit Price=0.0; ERP=0.0; BenefitType=Charge; Trio=CE</t>
  </si>
  <si>
    <t>Organization Name=PT Nawa Darsana Teknologi; Publisher=Microsoft; Publisher Customer ID=346fa229-7c19-44ef-85c6-29e00edf66cf; Unit Price=0.0; ERP=0.0;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</si>
  <si>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</si>
  <si>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Price=153.5247999836; ERP=1.9098677026;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</si>
  <si>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Price=153.5248; ERP=167754.096636841;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</si>
  <si>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Price=153.5247999996; ERP=1.0935187692;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</si>
  <si>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Price=153.5248; ERP=17848.6733486204;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</si>
  <si>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Price=153.5248; ERP=19529.1860136802;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</t>
  </si>
  <si>
    <t>Organization Name=PT Nawa Darsana Teknologi; Publisher=Microsoft; Publisher Customer ID=346fa229-7c19-44ef-85c6-29e00edf66cf; Unit Price=1228.1983996532; ERP=2.0809170096;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</t>
  </si>
  <si>
    <t>Organization Name=PT Nawa Darsana Teknologi; Publisher=Microsoft; Publisher Customer ID=346fa229-7c19-44ef-85c6-29e00edf66cf; Unit Price=1228.1983999971; ERP=246.0341148694;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</si>
  <si>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Price=1228.1983999981; ERP=1821.1467866306;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</si>
  <si>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Price=1228.1983662434; ERP=0.0003890458;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</si>
  <si>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Price=1228.1983992653; ERP=0.0932384024;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</si>
  <si>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Price=1535.248; ERP=1297935.0107829534; BenefitType=Charge; Environment=Production; MD=Trio; Product=CE; Trio=Trio</t>
  </si>
  <si>
    <t>Organization Name=PT Nawa Darsana Teknologi; Publisher=Microsoft; Publisher Customer ID=346fa229-7c19-44ef-85c6-29e00edf66cf; Unit Price=1021.4396637854; ERP=400.8355747682;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</t>
  </si>
  <si>
    <t>Organization Name=PT Nawa Darsana Teknologi; Publisher=Microsoft; Publisher Customer ID=346fa229-7c19-44ef-85c6-29e00edf66cf; Unit Price=1013.0196998784; ERP=261.7305165904;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</si>
  <si>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Price=153.5247999711; ERP=12.788293089; BenefitType=Charge; Trio=CE</t>
  </si>
  <si>
    <t>Organization Name=PT Nawa Darsana Teknologi; Publisher=Microsoft; Publisher Customer ID=346fa229-7c19-44ef-85c6-29e00edf66cf; Unit Price=153.5247999966; ERP=36.6026186812;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</t>
  </si>
  <si>
    <t>Organization Name=PT Nawa Darsana Teknologi; Publisher=Microsoft; Publisher Customer ID=346fa229-7c19-44ef-85c6-29e00edf66cf; Unit Price=153.5247999984; ERP=73.1630354884;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</t>
  </si>
  <si>
    <t>Organization Name=PT Nawa Darsana Teknologi; Publisher=Microsoft; Publisher Customer ID=346fa229-7c19-44ef-85c6-29e00edf66cf; Unit Price=153.5247539076; ERP=0.0002896036;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</si>
  <si>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Price=153.5247999988; ERP=41.5033082464;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</t>
  </si>
  <si>
    <t>Organization Name=PT Nawa Darsana Teknologi; Publisher=Microsoft; Publisher Customer ID=346fa229-7c19-44ef-85c6-29e00edf66cf; Unit Price=153.5247999996; ERP=748.4604657244;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</si>
  <si>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Price=153.5247994494; ERP=0.0245133746;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</si>
  <si>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Price=153.524799998; ERP=180.5432230602;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</si>
  <si>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Price=153.5247890961; ERP=0.0016608592;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</si>
  <si>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Price=1228.1983999983; ERP=0.3727721712;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</si>
  <si>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Price=1228.1983999977; ERP=1594.5169433908;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</si>
  <si>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Price=1228.1983990811; ERP=3.7040178318;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</si>
  <si>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Price=1228.198043016; ERP=0.0001552694;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</si>
  <si>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Price=153.5248; ERP=13190.0465501662;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</si>
  <si>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Price=1228.197264875; ERP=0.000209352;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</si>
  <si>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Price=153.5247999999; ERP=3438.2985804024;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</si>
  <si>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Price=153.5247999746; ERP=5.2341611322; BenefitType=Charge; Trio=CE</t>
  </si>
  <si>
    <t>Organization Name=PT Nawa Darsana Teknologi; Publisher=Microsoft; Publisher Customer ID=346fa229-7c19-44ef-85c6-29e00edf66cf; Unit Price=2780.91752224; ERP=3577271.176336; BenefitType=Charge; Trio=CE</t>
  </si>
  <si>
    <t>Organization Name=PT Nawa Darsana Teknologi; Publisher=Microsoft; Publisher Customer ID=346fa229-7c19-44ef-85c6-29e00edf66cf; Unit Price=153.5248; ERP=17762.9226263632;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</si>
  <si>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Price=153.5248; ERP=21788.7486798124;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</si>
  <si>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Price=1228.1983999987; ERP=2447.3790079596;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</si>
  <si>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Price=1842.2975999805; ERP=289.0437875182;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</si>
  <si>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Price=6140.992; ERP=978.4275072; BenefitType=Charge; Billing=Trio</t>
  </si>
  <si>
    <t>Organization Name=PT Nawa Darsana Teknologi; Publisher=Microsoft; Publisher Customer ID=346fa229-7c19-44ef-85c6-29e00edf66cf; Unit Price=460.5744; ERP=389394.72; BenefitType=Charge; CE=CDC; Trio=Trio</t>
  </si>
  <si>
    <t>Organization Name=PT Nawa Darsana Teknologi; Publisher=Microsoft; Publisher Customer ID=346fa229-7c19-44ef-85c6-29e00edf66cf; Unit Price=1534.72601568; ERP=3411277.371216; BenefitType=Charge; Trio=CE</t>
  </si>
  <si>
    <t>Organization Name=PT Nawa Darsana Teknologi; Publisher=Microsoft; Publisher Customer ID=346fa229-7c19-44ef-85c6-29e00edf66cf; Unit Price=153.5248; ERP=129798.24; BenefitType=Charge; CE=CDC; Trio=Trio</t>
  </si>
  <si>
    <t>Organization Name=PT Nawa Darsana Teknologi; Publisher=Microsoft; Publisher Customer ID=346fa229-7c19-44ef-85c6-29e00edf66cf; Unit Price=153.5247999981; ERP=57.5941448368;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</si>
  <si>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Price=153.5247999995; ERP=140.2321325834;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</t>
  </si>
  <si>
    <t>Organization Name=PT Nawa Darsana Teknologi; Publisher=Microsoft; Publisher Customer ID=346fa229-7c19-44ef-85c6-29e00edf66cf; Unit Price=153.5247999975; ERP=173.0915218032;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</si>
  <si>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</t>
  </si>
  <si>
    <t>Organization Name=PT Nawa Darsana Teknologi; Publisher=Microsoft; Publisher Customer ID=346fa229-7c19-44ef-85c6-29e00edf66cf; Unit Price=153.5247999999; ERP=1239.2863483572;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</si>
  <si>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Price=153.5248; ERP=129798.24; BenefitType=Charge; Trio=Trio</t>
  </si>
  <si>
    <t>Organization Name=PT Nawa Darsana Teknologi; Publisher=Microsoft; Publisher Customer ID=346fa229-7c19-44ef-85c6-29e00edf66cf; Unit Price=1228.1975043036; ERP=0.0002337764;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</si>
  <si>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Price=1228.1983990249; ERP=0.750971793; BenefitType=Charge; aks-managed-consolidated-additional-properties=579c61bc-ea28-11f0-8033-522e363cd051; aks-managed-creationSource=vmssclient-aks-monitoring-27110711-vmss; aks-managed-enable-imds-restriction=False; aks-managed-kubeletIdentityClientID=ad57a470-2160-4895-a3aa-9067f7d5fd86; aks-managed-operationID=377479e1-a069-4520-bf0c-f2c76549c4e9; aks-managed-orchestrator=Kubernetes:1.33.5; aks-managed-poolName=monitoring; aks-managed-resourceNameSuffix=54597921.0; aks-managed-ssh-access=LocalUser; purpose=monitoring</t>
  </si>
  <si>
    <t>Organization Name=PT Nawa Darsana Teknologi; Publisher=Microsoft; Publisher Customer ID=346fa229-7c19-44ef-85c6-29e00edf66cf; Unit Price=2118.6422399999; ERP=93894.3719982554; BenefitType=Charge; Trio=CE</t>
  </si>
  <si>
    <t>Organization Name=PT Nawa Darsana Teknologi; Publisher=Microsoft; Publisher Customer ID=346fa229-7c19-44ef-85c6-29e00edf66cf; Unit Price=2155.4881919705; ERP=43.2836760356; BenefitType=Charge</t>
  </si>
  <si>
    <t>Organization Name=PT Nawa Darsana Teknologi; Publisher=Microsoft; Publisher Customer ID=346fa229-7c19-44ef-85c6-29e00edf66cf; Unit Price=153.5248; ERP=2414.1468727376; BenefitType=Charge; aks-managed-consolidated-additional-properties=579c65f5-ea28-11f0-8033-522e363cd051; aks-managed-creationSource=vmssclient-aks-usereph-30630141-vmss; aks-managed-enable-imds-restriction=False; aks-managed-kubeletIdentityClientID=ad57a470-2160-4895-a3aa-9067f7d5fd86; aks-managed-operationID=377479e1-a069-4520-bf0c-f2c76549c4e9; aks-managed-orchestrator=Kubernetes:1.33.5; aks-managed-poolName=usereph; aks-managed-resourceNameSuffix=54597921.0; aks-managed-ssh-access=LocalUser</t>
  </si>
  <si>
    <t>Organization Name=PT Nawa Darsana Teknologi; Publisher=Microsoft; Publisher Customer ID=346fa229-7c19-44ef-85c6-29e00edf66cf; Unit Price=76.7624; ERP=226870.8618739134; BenefitType=Charge; aks-managed-cluster-name=Trevesia; aks-managed-cluster-rg=RG-TRIO; Environment=Production; MD=Trio; Product=CE; Trio=Trio</t>
  </si>
  <si>
    <t>Organization Name=PT Nawa Darsana Teknologi; Publisher=Microsoft; Publisher Customer ID=346fa229-7c19-44ef-85c6-29e00edf66cf; Unit Price=1842.2975999971; ERP=1892.7420861778;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</si>
  <si>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Price=1685.4687998594; ERP=1132.2109999772; BenefitType=Charge; aks-managed-consolidated-additional-properties=579c61bc-ea28-11f0-8033-522e363cd051; aks-managed-creationSource=vmssclient-aks-monitoring-27110711-vmss; aks-managed-enable-imds-restriction=False; aks-managed-kubeletIdentityClientID=ad57a470-2160-4895-a3aa-9067f7d5fd86; aks-managed-operationID=377479e1-a069-4520-bf0c-f2c76549c4e9; aks-managed-orchestrator=Kubernetes:1.33.5; aks-managed-poolName=monitoring; aks-managed-resourceNameSuffix=54597921.0; aks-managed-ssh-access=LocalUser; purpose=monitoring</t>
  </si>
  <si>
    <t>Organization Name=PT Nawa Darsana Teknologi; Publisher=Microsoft; Publisher Customer ID=346fa229-7c19-44ef-85c6-29e00edf66cf; Unit Price=1842.2975972043; ERP=0.0430794078;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</si>
  <si>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Price=0.0; ERP=5.0663184; BenefitType=Charge; CE=CDC; Trio=Trio</t>
  </si>
  <si>
    <t>Organization Name=PT Nawa Darsana Teknologi; Publisher=Microsoft; Publisher Customer ID=346fa229-7c19-44ef-85c6-29e00edf66cf; Unit Price=3684.5951999999; ERP=177413.9105107798; BenefitType=Charge; Trio=CE</t>
  </si>
  <si>
    <t>Organization Name=PT Nawa Darsana Teknologi; Publisher=Microsoft; Publisher Customer ID=346fa229-7c19-44ef-85c6-29e00edf66cf; Unit Price=1534.72601568; ERP=889443.48636; BenefitType=Charge; Trio=CE</t>
  </si>
  <si>
    <t>Organization Name=PT Nawa Darsana Teknologi; Publisher=Microsoft; Publisher Customer ID=346fa229-7c19-44ef-85c6-29e00edf66cf; Unit Price=429.8694399997; ERP=1121.847374648; BenefitType=Charge; CE=CDC; Trio=Trio</t>
  </si>
  <si>
    <t>Organization Name=PT Nawa Darsana Teknologi; Publisher=Microsoft; Publisher Customer ID=346fa229-7c19-44ef-85c6-29e00edf66cf; Unit Price=302597.3808; ERP=49.51593504;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</si>
  <si>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Price=1228.1983996742; ERP=0.021414965;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</si>
  <si>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Price=1228.1983999974; ERP=1361.4162182478;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</si>
  <si>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Price=153.5247984664; ERP=0.001064206;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</si>
  <si>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Price=153.5247999964; ERP=26.7993170016;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</si>
  <si>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Price=153.5247999989; ERP=397.7131699398;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</si>
  <si>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Price=153.5247999999; ERP=694.641258454;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</t>
  </si>
  <si>
    <t>Organization Name=PT Nawa Darsana Teknologi; Publisher=Microsoft; Publisher Customer ID=346fa229-7c19-44ef-85c6-29e00edf66cf; Unit Price=153.5247999971; ERP=0.5607022278;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</si>
  <si>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</si>
  <si>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Price=153.5247998133; ERP=0.0661622104; BenefitType=Charge; Trio=CE</t>
  </si>
  <si>
    <t>Organization Name=PT Nawa Darsana Teknologi; Publisher=Microsoft; Publisher Customer ID=346fa229-7c19-44ef-85c6-29e00edf66cf; Unit Price=153.5247999747; ERP=11.0444205872; BenefitType=Charge; Trio=CE</t>
  </si>
  <si>
    <t>Organization Name=PT Nawa Darsana Teknologi; Publisher=Microsoft; Publisher Customer ID=346fa229-7c19-44ef-85c6-29e00edf66cf; Unit Price=153.5247999998; ERP=2663.919552008;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</si>
  <si>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Price=153.5247942979; ERP=0.0015928198; BenefitType=Charge; Trio=CE</t>
  </si>
  <si>
    <t>Organization Name=PT Nawa Darsana Teknologi; Publisher=Microsoft; Publisher Customer ID=346fa229-7c19-44ef-85c6-29e00edf66cf; Unit Price=6140.9919999977; ERP=2188.5169592; BenefitType=Charge; Trio=CE</t>
  </si>
  <si>
    <t>Organization Name=PT Nawa Darsana Teknologi; Publisher=Microsoft; Publisher Customer ID=346fa229-7c19-44ef-85c6-29e00edf66cf; Unit Price=1842.2975999839; ERP=318.090632574;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</si>
  <si>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Price=156702.7633599999; ERP=178059.925435392;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kubernetes.io-created-for-pv-name=pvc-ed9022c7-d0c0-447d-adeb-0bc655b57abd</t>
  </si>
  <si>
    <t>Organization Name=PT Nawa Darsana Teknologi; Publisher=Microsoft; Publisher Customer ID=346fa229-7c19-44ef-85c6-29e00edf66cf; Unit Price=153.524799995; ERP=17.9960008514;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</si>
  <si>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Price=153.5247265176; ERP=0.0001692262;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</si>
  <si>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Price=153.5247962184; ERP=0.0079169948;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</si>
  <si>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Price=153.5247999966; ERP=117.8726812692;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</si>
  <si>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Price=1031.0956314944; ERP=49.9446251304; BenefitType=Charge; aks-managed-consolidated-additional-properties=579c61bc-ea28-11f0-8033-522e363cd051; aks-managed-creationSource=vmssclient-aks-monitoring-27110711-vmss; aks-managed-enable-imds-restriction=False; aks-managed-kubeletIdentityClientID=ad57a470-2160-4895-a3aa-9067f7d5fd86; aks-managed-operationID=377479e1-a069-4520-bf0c-f2c76549c4e9; aks-managed-orchestrator=Kubernetes:1.33.5; aks-managed-poolName=monitoring; aks-managed-resourceNameSuffix=54597921.0; aks-managed-ssh-access=LocalUser; purpose=monitoring</t>
  </si>
  <si>
    <t>Organization Name=PT Nawa Darsana Teknologi; Publisher=Microsoft; Publisher Customer ID=346fa229-7c19-44ef-85c6-29e00edf66cf; Unit Price=1228.1983999989; ERP=2855.4354193222;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</si>
  <si>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Price=1228.1983994941; ERP=0.2851705714;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</si>
  <si>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Price=1228.1983999826; ERP=172.0800393598;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</si>
  <si>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Price=153.5247999953; ERP=87.4304056912;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</si>
  <si>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Organization Name=PT Nawa Darsana Teknologi; Publisher=Microsoft; Publisher Customer ID=346fa229-7c19-44ef-85c6-29e00edf66cf; Unit Price=153.5247999955; ERP=100.7371781988;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</si>
  <si>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Price=1228.198399998; ERP=1471.153611642;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</si>
  <si>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Price=1228.1983999995; ERP=7280.958607065;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</si>
  <si>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Price=302597.3807999999; ERP=278490.34150938;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</si>
  <si>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Organization Name=PT Nawa Darsana Teknologi; Publisher=Microsoft; Publisher Customer ID=346fa229-7c19-44ef-85c6-29e00edf66cf; Unit Price=153.5247998169; ERP=0.6711179618; BenefitType=Charge; Trio=CE</t>
  </si>
  <si>
    <t>Organization Name=PT Nawa Darsana Teknologi; Publisher=Microsoft; Publisher Customer ID=346fa229-7c19-44ef-85c6-29e00edf66cf; Unit Price=153.5247999999; ERP=1291.9778060618;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</si>
  <si>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Price=153.5247999996; ERP=208.0568892116;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</t>
  </si>
  <si>
    <t>Organization Name=PT Nawa Darsana Teknologi; Publisher=Microsoft; Publisher Customer ID=346fa229-7c19-44ef-85c6-29e00edf66cf; Unit Price=153.5248; ERP=19201.1109428424;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</si>
  <si>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Organization Name=PT Nawa Darsana Teknologi; Publisher=Microsoft; Publisher Customer ID=346fa229-7c19-44ef-85c6-29e00edf66cf; Unit Price=383.812; ERP=324495.6; BenefitType=Charge; aks-managed-cluster-name=trevesia; aks-managed-cluster-rg=rg-trio; Environment=Production; MD=Trio; Product=CE; Trio=Trio</t>
  </si>
  <si>
    <t>Organization Name=PT Nawa Darsana Teknologi; Publisher=Microsoft; Publisher Customer ID=346fa229-7c19-44ef-85c6-29e00edf66cf; Unit Price=76.7624; ERP=64899.12; BenefitType=Charge; aks-managed-cluster-name=Trevesia; aks-managed-cluster-rg=rg-trio; aks-managed-type=aks-slb-managed-outbound-ip; Environment=Production; MD=Trio; Product=CE; Trio=Trio</t>
  </si>
  <si>
    <t>Organization Name=PT Nawa Darsana Teknologi; Publisher=Microsoft; Publisher Customer ID=346fa229-7c19-44ef-85c6-29e00edf66cf; Unit Price=1842.2975997448; ERP=0.5769008388;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</si>
  <si>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Organization Name=PT Nawa Darsana Teknologi; Publisher=Microsoft; Publisher Customer ID=346fa229-7c19-44ef-85c6-29e00edf66cf; Unit Price=1715.9795840922; ERP=157.4278417998; BenefitType=Charge; aks-managed-consolidated-additional-properties=579c6e6a-ea28-11f0-8033-522e363cd051; aks-managed-creationSource=vmssclient-aks-usereph2-39457383-vmss; aks-managed-enable-imds-restriction=False; aks-managed-kubeletIdentityClientID=ad57a470-2160-4895-a3aa-9067f7d5fd86; aks-managed-operationID=377479e1-a069-4520-bf0c-f2c76549c4e9; aks-managed-orchestrator=Kubernetes:1.33.5; aks-managed-poolName=usereph2; aks-managed-resourceNameSuffix=54597921.0; aks-managed-ssh-access=LocalUser</t>
  </si>
  <si>
    <t>Organization Name=PT Nawa Darsana Teknologi; Publisher=Microsoft; Publisher Customer ID=346fa229-7c19-44ef-85c6-29e00edf66cf; Unit Price=1749.2228901604; ERP=57.3518617672; BenefitType=Charge; aks-managed-consolidated-additional-properties=579c6a5d-ea28-11f0-8033-522e363cd051; aks-managed-creationSource=vmssclient-aks-systemeph-21043143-vmss; aks-managed-enable-imds-restriction=False; aks-managed-kubeletIdentityClientID=ad57a470-2160-4895-a3aa-9067f7d5fd86; aks-managed-operationID=377479e1-a069-4520-bf0c-f2c76549c4e9; aks-managed-orchestrator=Kubernetes:1.33.5; aks-managed-poolName=systemeph; aks-managed-resourceNameSuffix=54597921.0; aks-managed-ssh-access=LocalUser</t>
  </si>
  <si>
    <t>Organization Name=PT Nawa Darsana Teknologi; Publisher=Microsoft; Publisher Customer ID=346fa229-7c19-44ef-85c6-29e00edf66cf; Unit Price=0.0; ERP=0.0; BenefitType=Charge; aks-managed-consolidated-additional-properties=579c61bc-ea28-11f0-8033-522e363cd051; aks-managed-creationSource=vmssclient-aks-monitoring-27110711-vmss; aks-managed-enable-imds-restriction=False; aks-managed-kubeletIdentityClientID=ad57a470-2160-4895-a3aa-9067f7d5fd86; aks-managed-operationID=377479e1-a069-4520-bf0c-f2c76549c4e9; aks-managed-orchestrator=Kubernetes:1.33.5; aks-managed-poolName=monitoring; aks-managed-resourceNameSuffix=54597921.0; aks-managed-ssh-access=LocalUser; purpose=monitoring</t>
  </si>
  <si>
    <t>Organization Name=PT Nawa Darsana Teknologi; Publisher=Microsoft; Publisher Customer ID=346fa229-7c19-44ef-85c6-29e00edf66cf; Unit Price=1842.2975999989; ERP=4692.7176676666;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</si>
  <si>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MC_RG-ANPER_APRICOT_SOUTHEASTASIA</t>
  </si>
  <si>
    <t>mc_rg-anper_apricot_southeastasia</t>
  </si>
  <si>
    <t>rg-anper</t>
  </si>
  <si>
    <t>RG-ANPER</t>
  </si>
  <si>
    <t>aks-usereph2-32489559-vmss</t>
  </si>
  <si>
    <t>aks-systemeph-11882456-vmss</t>
  </si>
  <si>
    <t>aks-monitoring-44423715-vmss</t>
  </si>
  <si>
    <t>vpn-access-to-sql-anper</t>
  </si>
  <si>
    <t>apitalawu</t>
  </si>
  <si>
    <t>CURL-API-ANPER</t>
  </si>
  <si>
    <t>api-curl-anper</t>
  </si>
  <si>
    <t>kubernetes-aa852ca54f7f1444585b7ccc1edd5a66</t>
  </si>
  <si>
    <t>azaleahub</t>
  </si>
  <si>
    <t>dd6dedbd-728e-4c1c-96f6-c8fb26d338b4</t>
  </si>
  <si>
    <t>aks-yellow-to-database-apitalawu</t>
  </si>
  <si>
    <t>aks-access-to-sql-anper</t>
  </si>
  <si>
    <t>apangcoe</t>
  </si>
  <si>
    <t>azaleahub-to-aks-salvia-private-endpoint</t>
  </si>
  <si>
    <t>redis-apricot-private-endpoint</t>
  </si>
  <si>
    <t>sql-anper-to-aks-salvia-private-endpoint</t>
  </si>
  <si>
    <t>aks-monitoring-44423aks-monitoring-444237OS__1_55db40fb86074ebe829b5f2f07e4dc21</t>
  </si>
  <si>
    <t>aks-monitoring-44423aks-monitoring-444237disk1_c05785cb4ad747ca95ae02553bf61183</t>
  </si>
  <si>
    <t>aks-monitoring-44423aks-monitoring-444237OS__1_6548f722396c4eea9c6f99e6adeb4ae4</t>
  </si>
  <si>
    <t>pvc-d716a12b-e6ae-4948-ab1d-1effc80c2890</t>
  </si>
  <si>
    <t>Apricot</t>
  </si>
  <si>
    <t>aks-monitoring-44423aks-monitoring-444237OS__1_95c137fe22e244eebc5df101848f38bd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</si>
  <si>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</si>
  <si>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"153.5247999916",
  "ERP": "39.8045284208",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</si>
  <si>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"153.5247999975",
  "ERP": "44.552216566",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</si>
  <si>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"1228.1983999935",
  "ERP": "92.2353516084",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</si>
  <si>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"1228.1983999875",
  "ERP": "60.423078287",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</si>
  <si>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"153.5247130735",
  "ERP": "0.0005792072",
  "BenefitType": "Charge",
  "aks-managed-consolidated-additional-properties": "c49875b0-e9fe-11f0-8033-522e363cd051",
  "aks-managed-creationSource": "vmssclient-aks-monitoring-44423715-vmss",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"monitoring",
  "aks-managed-resourceNameSuffix": "14784282.0",
  "aks-managed-ssh-access": "LocalUser",
  "purpose": "monitoring"
}</t>
  </si>
  <si>
    <t>{
  "Organization Name": "PT Nawa Darsana Teknologi",
  "Publisher": "Microsoft",
  "Publisher Customer ID": "346fa229-7c19-44ef-85c6-29e00edf66cf",
  "Unit Price": "153.5247999619",
  "ERP": "9.5563622726",
  "BenefitType": "Charge",
  "Anper": "CE"
}</t>
  </si>
  <si>
    <t>{
  "Organization Name": "PT Nawa Darsana Teknologi",
  "Publisher": "Microsoft",
  "Publisher Customer ID": "346fa229-7c19-44ef-85c6-29e00edf66cf",
  "Unit Price": "1534.72601568",
  "ERP": "3411277.371216",
  "BenefitType": "Charge",
  "Anper": "CE",
  "MD": "Apricot",
  "Product": "CE"
}</t>
  </si>
  <si>
    <t>{
  "Organization Name": "PT Nawa Darsana Teknologi",
  "Publisher": "Microsoft",
  "Publisher Customer ID": "346fa229-7c19-44ef-85c6-29e00edf66cf",
  "Unit Price": "2.24146208",
  "ERP": "6604.671788",
  "BenefitType": "Charge"
}</t>
  </si>
  <si>
    <t>{
  "Organization Name": "PT Nawa Darsana Teknologi",
  "Publisher": "Microsoft",
  "Publisher Customer ID": "346fa229-7c19-44ef-85c6-29e00edf66cf",
  "Unit Price": "6140.9919999763",
  "ERP": "797.9451462554",
  "BenefitType": "Charge",
  "Anper": "CE"
}</t>
  </si>
  <si>
    <t>{
  "Organization Name": "PT Nawa Darsana Teknologi",
  "Publisher": "Microsoft",
  "Publisher Customer ID": "346fa229-7c19-44ef-85c6-29e00edf66cf",
  "Unit Price": "153.5247999966",
  "ERP": "139.2492685584",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</si>
  <si>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"153.5247999971",
  "ERP": "31.0182517788",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</si>
  <si>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"153.5247999958",
  "ERP": "33.5821508308",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</si>
  <si>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"1228.198043016",
  "ERP": "0.0003105388",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</si>
  <si>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"1228.1983992178",
  "ERP": "0.8167118102",
  "BenefitType": "Charge",
  "aks-managed-consolidated-additional-properties": "c4987a06-e9fe-11f0-8033-522e363cd051",
  "aks-managed-creationSource": "vmssclient-aks-systemeph-11882456-vmss",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"systemeph",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</si>
  <si>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"1228.1983999984",
  "ERP": "2048.3588970988",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</si>
  <si>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</si>
  <si>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"1228.1983999915",
  "ERP": "456.4897645308",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</si>
  <si>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</si>
  <si>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"6140.992",
  "ERP": "824.4072408",
  "BenefitType": "Charge",
  "Billing": "Anper"
}</t>
  </si>
  <si>
    <t>{
  "Organization Name": "PT Nawa Darsana Teknologi",
  "Publisher": "Microsoft",
  "Publisher Customer ID": "346fa229-7c19-44ef-85c6-29e00edf66cf",
  "Unit Price": "76.7624",
  "ERP": "217719.2394425906",
  "BenefitType": "Charge",
  "aks-managed-cluster-name": "Apricot",
  "aks-managed-cluster-rg": "rg-anper",
  "Anper": "CE",
  "Environment": "Production",
  "MD": "Anper",
  "Product": "CE"
}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</si>
  <si>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"apricot",
  "aks-managed-cluster-rg": "rg-anper",
  "Anper": "CE",
  "Environment": "Production",
  "k8s-azure-cluster-name": "kubernetes",
  "k8s-azure-service": "portainer/portainer-agent",
  "MD": "Anper",
  "Product": "CE"
}</t>
  </si>
  <si>
    <t>{
  "Organization Name": "PT Nawa Darsana Teknologi",
  "Publisher": "Microsoft",
  "Publisher Customer ID": "346fa229-7c19-44ef-85c6-29e00edf66cf",
  "Unit Price": "429.86944",
  "ERP": "313.256607664",
  "BenefitType": "Charge",
  "Anper": "Anper",
  "CE": "CDC"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</si>
  <si>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"c4987a06-e9fe-11f0-8033-522e363cd051",
  "aks-managed-creationSource": "vmssclient-aks-systemeph-11882456-vmss",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"systemeph",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</si>
  <si>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"c49875b0-e9fe-11f0-8033-522e363cd051",
  "aks-managed-creationSource": "vmssclient-aks-monitoring-44423715-vmss",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"monitoring",
  "aks-managed-resourceNameSuffix": "14784282.0",
  "aks-managed-ssh-access": "LocalUser",
  "purpose": "monitoring"
}</t>
  </si>
  <si>
    <t>{
  "Organization Name": "PT Nawa Darsana Teknologi",
  "Publisher": "Microsoft",
  "Publisher Customer ID": "346fa229-7c19-44ef-85c6-29e00edf66cf",
  "Unit Price": "0.44522192",
  "ERP": "215.527884",
  "BenefitType": "Charge"
}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</si>
  <si>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</si>
  <si>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"153.5247987642",
  "ERP": "0.0161131256",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</si>
  <si>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"153.5247999972",
  "ERP": "173.526865798",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</si>
  <si>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"1228.1982738927",
  "ERP": "0.0005443152",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</si>
  <si>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"1842.2975999988",
  "ERP": "4811.5075950656",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</si>
  <si>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"1842.2975847972",
  "ERP": "0.011418407",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</si>
  <si>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"2368.904172042",
  "ERP": "8722.9999982554",
  "BenefitType": "Charge",
  "Billing": "Anper"
}</t>
  </si>
  <si>
    <t>{
  "Organization Name": "PT Nawa Darsana Teknologi",
  "Publisher": "Microsoft",
  "Publisher Customer ID": "346fa229-7c19-44ef-85c6-29e00edf66cf",
  "Unit Price": "153.5247265176",
  "ERP": "0.000340197",
  "BenefitType": "Charge",
  "aks-managed-consolidated-additional-properties": "c49875b0-e9fe-11f0-8033-522e363cd051",
  "aks-managed-creationSource": "vmssclient-aks-monitoring-44423715-vmss",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"monitoring",
  "aks-managed-resourceNameSuffix": "14784282.0",
  "aks-managed-ssh-access": "LocalUser",
  "purpose": "monitoring"
}</t>
  </si>
  <si>
    <t>{
  "Organization Name": "PT Nawa Darsana Teknologi",
  "Publisher": "Microsoft",
  "Publisher Customer ID": "346fa229-7c19-44ef-85c6-29e00edf66cf",
  "Unit Price": "1534.72601568",
  "ERP": "889443.48636",
  "BenefitType": "Charge",
  "Anper": "CE",
  "MD": "Apricot",
  "Product": "CE"
}</t>
  </si>
  <si>
    <t>{
  "Organization Name": "PT Nawa Darsana Teknologi",
  "Publisher": "Microsoft",
  "Publisher Customer ID": "346fa229-7c19-44ef-85c6-29e00edf66cf",
  "Unit Price": "0.0",
  "ERP": "0.0",
  "BenefitType": "Charge",
  "Anper": "CE",
  "MD": "Apricot",
  "Product": "CE"
}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</si>
  <si>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"Apricot",
  "aks-managed-cluster-rg": "rg-anper",
  "aks-managed-type": "aks-slb-managed-outbound-ip",
  "Anper": "CE",
  "Environment": "Production",
  "MD": "Anper",
  "Product": "CE"
}</t>
  </si>
  <si>
    <t>{
  "Organization Name": "PT Nawa Darsana Teknologi",
  "Publisher": "Microsoft",
  "Publisher Customer ID": "346fa229-7c19-44ef-85c6-29e00edf66cf",
  "Unit Price": "153.524418682",
  "ERP": "4.3615e-05",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</si>
  <si>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"153.5247999998",
  "ERP": "527.6233277744",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</si>
  <si>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"153.5247999997",
  "ERP": "449.8335659818",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</si>
  <si>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"153.5247999999",
  "ERP": "635.6406188418",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</si>
  <si>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"153.5248",
  "ERP": "129798.24",
  "BenefitType": "Charge",
  "Anper": "CE"
}</t>
  </si>
  <si>
    <t>{
  "Organization Name": "PT Nawa Darsana Teknologi",
  "Publisher": "Microsoft",
  "Publisher Customer ID": "346fa229-7c19-44ef-85c6-29e00edf66cf",
  "Unit Price": "153.5247999837",
  "ERP": "5.51223816",
  "BenefitType": "Charge",
  "Anper": "CE"
}</t>
  </si>
  <si>
    <t>{
  "Organization Name": "PT Nawa Darsana Teknologi",
  "Publisher": "Microsoft",
  "Publisher Customer ID": "346fa229-7c19-44ef-85c6-29e00edf66cf",
  "Unit Price": "1228.1983966842",
  "ERP": "0.0744787186",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</si>
  <si>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"1228.1983944611",
  "ERP": "0.0350804168",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</si>
  <si>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"230287.1999999971",
  "ERP": "260986.5322571078",
  "BenefitType": "Charge",
  "Anper": "CE",
  "md-alias": "Anper",
  "Product": "CE"
}</t>
  </si>
  <si>
    <t>{
  "Organization Name": "PT Nawa Darsana Teknologi",
  "Publisher": "Microsoft",
  "Publisher Customer ID": "346fa229-7c19-44ef-85c6-29e00edf66cf",
  "Unit Price": "1228.1983959639",
  "ERP": "0.030931758",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</si>
  <si>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"1001.5519141372",
  "ERP": "103.437613136",
  "BenefitType": "Charge",
  "aks-managed-consolidated-additional-properties": "c49875b0-e9fe-11f0-8033-522e363cd051",
  "aks-managed-creationSource": "vmssclient-aks-monitoring-44423715-vmss",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"monitoring",
  "aks-managed-resourceNameSuffix": "14784282.0",
  "aks-managed-ssh-access": "LocalUser",
  "purpose": "monitoring"
}</t>
  </si>
  <si>
    <t>{
  "Organization Name": "PT Nawa Darsana Teknologi",
  "Publisher": "Microsoft",
  "Publisher Customer ID": "346fa229-7c19-44ef-85c6-29e00edf66cf",
  "Unit Price": "1228.198396601",
  "ERP": "0.0553055646",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</si>
  <si>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"153.524799801",
  "ERP": "0.0660313654",
  "BenefitType": "Charge",
  "Anper": "CE"
}</t>
  </si>
  <si>
    <t>{
  "Organization Name": "PT Nawa Darsana Teknologi",
  "Publisher": "Microsoft",
  "Publisher Customer ID": "346fa229-7c19-44ef-85c6-29e00edf66cf",
  "Unit Price": "153.5248",
  "ERP": "129798.24",
  "BenefitType": "Charge",
  "Anper": "Anper",
  "CE": "CDC"
}</t>
  </si>
  <si>
    <t>{
  "Organization Name": "PT Nawa Darsana Teknologi",
  "Publisher": "Microsoft",
  "Publisher Customer ID": "346fa229-7c19-44ef-85c6-29e00edf66cf",
  "Unit Price": "1228.1983966858",
  "ERP": "0.0427304878",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</si>
  <si>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"1228.1983998723",
  "ERP": "1.0481452124",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</si>
  <si>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"1013.2052929397",
  "ERP": "477.2336063352",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</si>
  <si>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"1228.1983888601",
  "ERP": "0.0174617014",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</si>
  <si>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"153.524799998",
  "ERP": "40.8944759938",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</si>
  <si>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"153.5230926206",
  "ERP": "1.57014e-05",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</si>
  <si>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"129798.24",
  "BenefitType": "Charge",
  "Billing": "Anper"
}</t>
  </si>
  <si>
    <t>{
  "Organization Name": "PT Nawa Darsana Teknologi",
  "Publisher": "Microsoft",
  "Publisher Customer ID": "346fa229-7c19-44ef-85c6-29e00edf66cf",
  "Unit Price": "153.5248",
  "ERP": "129798.24",
  "BenefitType": "Charge",
  "Anper": "Anper"
}</t>
  </si>
  <si>
    <t>{
  "Organization Name": "PT Nawa Darsana Teknologi",
  "Publisher": "Microsoft",
  "Publisher Customer ID": "346fa229-7c19-44ef-85c6-29e00edf66cf",
  "Unit Price": "153.52479999",
  "ERP": "38.7312505008",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</si>
  <si>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"153.5247999981",
  "ERP": "192.114139503",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</si>
  <si>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"1007.1403826611",
  "ERP": "456.7486439802",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</si>
  <si>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"1002.15778482",
  "ERP": "480.1175993614",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</si>
  <si>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"302597.3808",
  "ERP": "50.54751702",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</si>
  <si>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"153.5247998684",
  "ERP": "0.6650118618",
  "BenefitType": "Charge",
  "aks-managed-consolidated-additional-properties": "c4987a06-e9fe-11f0-8033-522e363cd051",
  "aks-managed-creationSource": "vmssclient-aks-systemeph-11882456-vmss",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"systemeph",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</si>
  <si>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"153.5247999999",
  "ERP": "2807.160257759",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</si>
  <si>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"1228.1983992054",
  "ERP": "0.2290851706",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</si>
  <si>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"1228.1983934551",
  "ERP": "0.035450272",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</si>
  <si>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"153.524799998",
  "ERP": "1.6201559374",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</si>
  <si>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"17860.4209965324",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</si>
  <si>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"3133.4798091454",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</si>
  <si>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"153.5247999981",
  "ERP": "66.6012075872",
  "BenefitType": "Charge",
  "aks-managed-consolidated-additional-properties": "c4987a06-e9fe-11f0-8033-522e363cd051",
  "aks-managed-creationSource": "vmssclient-aks-systemeph-11882456-vmss",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"systemeph",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</si>
  <si>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"1228.1983999952",
  "ERP": "739.7136170424",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</si>
  <si>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"1228.1983999981",
  "ERP": "2372.9098794258",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</si>
  <si>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"1228.1983999984",
  "ERP": "1849.9097381622",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</si>
  <si>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"apricot",
  "aks-managed-cluster-rg": "rg-anper",
  "Anper": "CE",
  "Environment": "Production",
  "MD": "Anper",
  "Product": "CE"
}</t>
  </si>
  <si>
    <t>{
  "Organization Name": "PT Nawa Darsana Teknologi",
  "Publisher": "Microsoft",
  "Publisher Customer ID": "346fa229-7c19-44ef-85c6-29e00edf66cf",
  "Unit Price": "2118.6422399999",
  "ERP": "100153.9968",
  "BenefitType": "Charge",
  "Anper": "CE",
  "MD": "Apricot",
  "Product": "CE"
}</t>
  </si>
  <si>
    <t>{
  "Organization Name": "PT Nawa Darsana Teknologi",
  "Publisher": "Microsoft",
  "Publisher Customer ID": "346fa229-7c19-44ef-85c6-29e00edf66cf",
  "Unit Price": "460.5744",
  "ERP": "389394.72",
  "BenefitType": "Charge",
  "Anper": "Anper",
  "CE": "CDC"
}</t>
  </si>
  <si>
    <t>{
  "Organization Name": "PT Nawa Darsana Teknologi",
  "Publisher": "Microsoft",
  "Publisher Customer ID": "346fa229-7c19-44ef-85c6-29e00edf66cf",
  "Unit Price": "0.0",
  "ERP": "5.0802752",
  "BenefitType": "Charge",
  "Anper": "Anper",
  "CE": "CDC"
}</t>
  </si>
  <si>
    <t>{
  "Organization Name": "PT Nawa Darsana Teknologi",
  "Publisher": "Microsoft",
  "Publisher Customer ID": "346fa229-7c19-44ef-85c6-29e00edf66cf",
  "Unit Price": "3838.12",
  "ERP": "4361.5",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</si>
  <si>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"302597.3808",
  "ERP": "202.8777894",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</si>
  <si>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"1676.7581429778",
  "ERP": "14.0860068206",
  "BenefitType": "Charge",
  "aks-managed-consolidated-additional-properties": "c49875b0-e9fe-11f0-8033-522e363cd051",
  "aks-managed-creationSource": "vmssclient-aks-monitoring-44423715-vmss",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"monitoring",
  "aks-managed-resourceNameSuffix": "14784282.0",
  "aks-managed-ssh-access": "LocalUser",
  "purpose": "monitoring"
}</t>
  </si>
  <si>
    <t>{
  "Organization Name": "PT Nawa Darsana Teknologi",
  "Publisher": "Microsoft",
  "Publisher Customer ID": "346fa229-7c19-44ef-85c6-29e00edf66cf",
  "Unit Price": "1679.8520740559",
  "ERP": "1119.0009917086",
  "BenefitType": "Charge",
  "aks-managed-consolidated-additional-properties": "c4987a06-e9fe-11f0-8033-522e363cd051",
  "aks-managed-creationSource": "vmssclient-aks-systemeph-11882456-vmss",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"systemeph",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</si>
  <si>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"1842.2975998989",
  "ERP": "2.1321262534",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</si>
  <si>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"1842.2975850428",
  "ERP": "0.0126117134",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</si>
  <si>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"1842.2975999896",
  "ERP": "477.3262271492",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</si>
  <si>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"1842.2975990722",
  "ERP": "0.2406222104",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</si>
  <si>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"20539.1968189408",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</si>
  <si>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"4999.684563159",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</si>
  <si>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"1842.2975923521",
  "ERP": "0.023927189",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</si>
  <si>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"1741.4796971142",
  "ERP": "102.8689276186",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</si>
  <si>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"1730.9801673243",
  "ERP": "112.8524412444",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</si>
  <si>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"2155.4881919703",
  "ERP": "44.9246415618",
  "BenefitType": "Charge"
}</t>
  </si>
  <si>
    <t>{
  "Organization Name": "PT Nawa Darsana Teknologi",
  "Publisher": "Microsoft",
  "Publisher Customer ID": "346fa229-7c19-44ef-85c6-29e00edf66cf",
  "Unit Price": "1757.5748477613",
  "ERP": "114.8540033784",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</si>
  <si>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"1228.1983989741",
  "ERP": "3.569477769",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</si>
  <si>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"1228.1983999986",
  "ERP": "1819.585324271",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</si>
  <si>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"153.5247999817",
  "ERP": "5.64561283",
  "BenefitType": "Charge",
  "Anper": "CE"
}</t>
  </si>
  <si>
    <t>{
  "Organization Name": "PT Nawa Darsana Teknologi",
  "Publisher": "Microsoft",
  "Publisher Customer ID": "346fa229-7c19-44ef-85c6-29e00edf66cf",
  "Unit Price": "1842.2975951899",
  "ERP": "0.0561133144",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</si>
  <si>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"1842.2975848633",
  "ERP": "0.0234352118",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</si>
  <si>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"2368.904172042",
  "ERP": "8722.9999982554",
  "BenefitType": "Charge",
  "Anper": "CE"
}</t>
  </si>
  <si>
    <t>{
  "Organization Name": "PT Nawa Darsana Teknologi",
  "Publisher": "Microsoft",
  "Publisher Customer ID": "346fa229-7c19-44ef-85c6-29e00edf66cf",
  "Unit Price": "76.7623999999",
  "ERP": "2065.8885087984",
  "BenefitType": "Charge",
  "aks-managed-cluster-name": "apricot",
  "aks-managed-cluster-rg": "rg-anper",
  "Anper": "CE",
  "Environment": "Production",
  "MD": "Anper",
  "Product": "CE"
}</t>
  </si>
  <si>
    <t>{
  "Organization Name": "PT Nawa Darsana Teknologi",
  "Publisher": "Microsoft",
  "Publisher Customer ID": "346fa229-7c19-44ef-85c6-29e00edf66cf",
  "Unit Price": "1842.2975999891",
  "ERP": "495.86870476",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</si>
  <si>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"1842.2975977417",
  "ERP": "0.1074778276",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</si>
  <si>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"302597.3807999999",
  "ERP": "280818.27817758",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</si>
  <si>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"153.5247996397",
  "ERP": "0.2124765786",
  "BenefitType": "Charge",
  "aks-managed-consolidated-additional-properties": "c4987a06-e9fe-11f0-8033-522e363cd051",
  "aks-managed-creationSource": "vmssclient-aks-systemeph-11882456-vmss",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"systemeph",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</si>
  <si>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"153.5247252543",
  "ERP": "0.0007117968",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</si>
  <si>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"153.5247854649",
  "ERP": "0.0016940066",
  "BenefitType": "Charge",
  "Anper": "CE"
}</t>
  </si>
  <si>
    <t>{
  "Organization Name": "PT Nawa Darsana Teknologi",
  "Publisher": "Microsoft",
  "Publisher Customer ID": "346fa229-7c19-44ef-85c6-29e00edf66cf",
  "Unit Price": "1228.1983895216",
  "ERP": "0.0150890454",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</si>
  <si>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"1029.8074531022",
  "ERP": "68.0659667688",
  "BenefitType": "Charge",
  "aks-managed-consolidated-additional-properties": "c4987a06-e9fe-11f0-8033-522e363cd051",
  "aks-managed-creationSource": "vmssclient-aks-systemeph-11882456-vmss",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"systemeph",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</si>
  <si>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"1228.1983978236",
  "ERP": "0.083339542",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</si>
  <si>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"153.5247999951",
  "ERP": "20.1726074264",
  "BenefitType": "Charge",
  "aks-managed-consolidated-additional-properties": "c4987a06-e9fe-11f0-8033-522e363cd051",
  "aks-managed-creationSource": "vmssclient-aks-systemeph-11882456-vmss",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"systemeph",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</si>
  <si>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"153.522263833",
  "ERP": "8.723e-06",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</si>
  <si>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"1228.1975043036",
  "ERP": "0.0002337764",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</si>
  <si>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"153.5247999487",
  "ERP": "4.9084565244",
  "BenefitType": "Charge",
  "Anper": "CE"
}</t>
  </si>
  <si>
    <t>{
  "Organization Name": "PT Nawa Darsana Teknologi",
  "Publisher": "Microsoft",
  "Publisher Customer ID": "346fa229-7c19-44ef-85c6-29e00edf66cf",
  "Unit Price": "153.5247999998",
  "ERP": "2895.743648655",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</si>
  <si>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"153.5247999388",
  "ERP": "0.3695272152",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</si>
  <si>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"153.5247999991",
  "ERP": "467.2063102278",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</si>
  <si>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"153.5247999999",
  "ERP": "4151.8656330008",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</si>
  <si>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"1228.1983999987",
  "ERP": "2381.1873504562",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</si>
  <si>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"1228.1983999964",
  "ERP": "133.8594472358",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</si>
  <si>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"1842.2975999924",
  "ERP": "658.979130953",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</si>
  <si>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"1842.297599694",
  "ERP": "1.107332512",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</si>
  <si>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"1842.2975999684",
  "ERP": "152.7190111304",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</si>
  <si>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"156702.7633599999",
  "ERP": "177959.13706714",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"pvc-d716a12b-e6ae-4948-ab1d-1effc80c2890"
}</t>
  </si>
  <si>
    <t>{
  "Organization Name": "PT Nawa Darsana Teknologi",
  "Publisher": "Microsoft",
  "Publisher Customer ID": "346fa229-7c19-44ef-85c6-29e00edf66cf",
  "Unit Price": "153.5247999977",
  "ERP": "145.9736443308",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</si>
  <si>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"153.5247999939",
  "ERP": "20.9932934354",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</si>
  <si>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"153.5247999981",
  "ERP": "31.76602572",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</si>
  <si>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"153.5246995705",
  "ERP": "0.0011915618",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</si>
  <si>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{
  "Organization Name": "PT Nawa Darsana Teknologi",
  "Publisher": "Microsoft",
  "Publisher Customer ID": "346fa229-7c19-44ef-85c6-29e00edf66cf",
  "Unit Price": "153.5247999977",
  "ERP": "200.737906655",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</si>
  <si>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"1228.198043016",
  "ERP": "0.0003105388",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</si>
  <si>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"153.5247997656",
  "ERP": "0.0406299894",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</si>
  <si>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"153.5246909981",
  "ERP": "0.0001168882",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</si>
  <si>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"153.5247999983",
  "ERP": "195.089895",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</si>
  <si>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"31797.1629290744",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</si>
  <si>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"153.5247999998",
  "ERP": "2191.9861730624",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</si>
  <si>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"153.5248",
  "ERP": "3966.631754514",
  "BenefitType": "Charge",
  "aks-managed-consolidated-additional-properties": "c4988017-e9fe-11f0-8033-522e363cd051",
  "aks-managed-creationSource": "vmssclient-aks-usereph2-32489559-vmss",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"usereph2",
  "aks-managed-resourceNameSuffix": "14784282.0",
  "aks-managed-ssh-access": "LocalUser"
}</t>
  </si>
  <si>
    <t>{
  "Organization Name": "PT Nawa Darsana Teknologi",
  "Publisher": "Microsoft",
  "Publisher Customer ID": "346fa229-7c19-44ef-85c6-29e00edf66cf",
  "Unit Price": "1535.248",
  "ERP": "1297935.0107829534",
  "BenefitType": "Charge",
  "Anper": "CE",
  "Environment": "Production",
  "MD": "Anper",
  "Product": "CE"
}</t>
  </si>
  <si>
    <t>{
  "Organization Name": "PT Nawa Darsana Teknologi",
  "Publisher": "Microsoft",
  "Publisher Customer ID": "346fa229-7c19-44ef-85c6-29e00edf66cf",
  "Unit Price": "1228.1983999845",
  "ERP": "211.808100218",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</si>
  <si>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"1228.198312374",
  "ERP": "0.0009351056",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</si>
  <si>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"1228.1983999986",
  "ERP": "2485.4763301368",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</si>
  <si>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"1228.1983994354",
  "ERP": "0.781633138",
  "BenefitType": "Charge",
  "aks-managed-consolidated-additional-properties": "c49875b0-e9fe-11f0-8033-522e363cd051",
  "aks-managed-creationSource": "vmssclient-aks-monitoring-44423715-vmss",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"monitoring",
  "aks-managed-resourceNameSuffix": "14784282.0",
  "aks-managed-ssh-access": "LocalUser",
  "purpose": "monitoring"
}</t>
  </si>
  <si>
    <t>{
  "Organization Name": "PT Nawa Darsana Teknologi",
  "Publisher": "Microsoft",
  "Publisher Customer ID": "346fa229-7c19-44ef-85c6-29e00edf66cf",
  "Unit Price": "1228.198043016",
  "ERP": "0.0001552694",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</si>
  <si>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{
  "Organization Name": "PT Nawa Darsana Teknologi",
  "Publisher": "Microsoft",
  "Publisher Customer ID": "346fa229-7c19-44ef-85c6-29e00edf66cf",
  "Unit Price": "6140.992",
  "ERP": "2003.9243224",
  "BenefitType": "Charge",
  "Billing": "Anper"
}</t>
  </si>
  <si>
    <t>{
  "Organization Name": "PT Nawa Darsana Teknologi",
  "Publisher": "Microsoft",
  "Publisher Customer ID": "346fa229-7c19-44ef-85c6-29e00edf66cf",
  "Unit Price": "302597.3807999999",
  "ERP": "62852.22687744",
  "BenefitType": "Charge",
  "aks-managed-consolidated-additional-properties": "c49875b0-e9fe-11f0-8033-522e363cd051",
  "aks-managed-creationSource": "vmssclient-aks-monitoring-44423715-vmss",
  "aks-managed-enable-imds-restriction": "False",
  "aks-managed-kubeletIdentityClientID": "c9e56520-a8a3-452c-b5ca-cb3192dafd24",
  "aks-managed-operationID": "e61136f8-54c1-459a-9ef3-de11e9efc9a3",
  "aks-managed-orchestrator": "Kubernetes:1.33.5",
  "aks-managed-poolName": "monitoring",
  "aks-managed-resourceNameSuffix": "14784282.0",
  "aks-managed-ssh-access": "LocalUser",
  "purpose": "monitoring"
}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</si>
  <si>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</si>
  <si>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</si>
  <si>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Price=153.5247999916; ERP=39.8045284208;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</si>
  <si>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Price=153.5247999975; ERP=44.552216566;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</si>
  <si>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Price=1228.1983999935; ERP=92.2353516084;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</si>
  <si>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Price=1228.1983999875; ERP=60.423078287;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</si>
  <si>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Price=153.5247130735; ERP=0.0005792072;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</t>
  </si>
  <si>
    <t>Organization Name=PT Nawa Darsana Teknologi; Publisher=Microsoft; Publisher Customer ID=346fa229-7c19-44ef-85c6-29e00edf66cf; Unit Price=153.5247999619; ERP=9.5563622726; BenefitType=Charge; Anper=CE</t>
  </si>
  <si>
    <t>Organization Name=PT Nawa Darsana Teknologi; Publisher=Microsoft; Publisher Customer ID=346fa229-7c19-44ef-85c6-29e00edf66cf; Unit Price=1534.72601568; ERP=3411277.371216; BenefitType=Charge; Anper=CE; MD=Apricot; Product=CE</t>
  </si>
  <si>
    <t>Organization Name=PT Nawa Darsana Teknologi; Publisher=Microsoft; Publisher Customer ID=346fa229-7c19-44ef-85c6-29e00edf66cf; Unit Price=2.24146208; ERP=6604.671788; BenefitType=Charge</t>
  </si>
  <si>
    <t>Organization Name=PT Nawa Darsana Teknologi; Publisher=Microsoft; Publisher Customer ID=346fa229-7c19-44ef-85c6-29e00edf66cf; Unit Price=6140.9919999763; ERP=797.9451462554; BenefitType=Charge; Anper=CE</t>
  </si>
  <si>
    <t>Organization Name=PT Nawa Darsana Teknologi; Publisher=Microsoft; Publisher Customer ID=346fa229-7c19-44ef-85c6-29e00edf66cf; Unit Price=153.5247999966; ERP=139.2492685584;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</si>
  <si>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Price=153.5247999971; ERP=31.0182517788;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</si>
  <si>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Price=153.5247999958; ERP=33.5821508308;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</si>
  <si>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Price=1228.198043016; ERP=0.0003105388;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</si>
  <si>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Price=1228.1983992178; ERP=0.8167118102;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</t>
  </si>
  <si>
    <t>Organization Name=PT Nawa Darsana Teknologi; Publisher=Microsoft; Publisher Customer ID=346fa229-7c19-44ef-85c6-29e00edf66cf; Unit Price=1228.1983999984; ERP=2048.3588970988;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</si>
  <si>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</si>
  <si>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Price=1228.1983999915; ERP=456.4897645308;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</si>
  <si>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</si>
  <si>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Price=6140.992; ERP=824.4072408; BenefitType=Charge; Billing=Anper</t>
  </si>
  <si>
    <t>Organization Name=PT Nawa Darsana Teknologi; Publisher=Microsoft; Publisher Customer ID=346fa229-7c19-44ef-85c6-29e00edf66cf; Unit Price=76.7624; ERP=217719.2394425906; BenefitType=Charge; aks-managed-cluster-name=Apricot; aks-managed-cluster-rg=rg-anper; Anper=CE; Environment=Production; MD=Anper; Product=CE</t>
  </si>
  <si>
    <t>Organization Name=PT Nawa Darsana Teknologi; Publisher=Microsoft; Publisher Customer ID=346fa229-7c19-44ef-85c6-29e00edf66cf; Unit Price=76.7624; ERP=64899.12; BenefitType=Charge; aks-managed-cluster-name=apricot; aks-managed-cluster-rg=rg-anper; Anper=CE; Environment=Production; k8s-azure-cluster-name=kubernetes; k8s-azure-service=portainer/portainer-agent; MD=Anper; Product=CE</t>
  </si>
  <si>
    <t>Organization Name=PT Nawa Darsana Teknologi; Publisher=Microsoft; Publisher Customer ID=346fa229-7c19-44ef-85c6-29e00edf66cf; Unit Price=429.86944; ERP=313.256607664; BenefitType=Charge; Anper=Anper; CE=CDC</t>
  </si>
  <si>
    <t>Organization Name=PT Nawa Darsana Teknologi; Publisher=Microsoft; Publisher Customer ID=346fa229-7c19-44ef-85c6-29e00edf66cf; Unit Price=0.0; ERP=0.0;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</t>
  </si>
  <si>
    <t>Organization Name=PT Nawa Darsana Teknologi; Publisher=Microsoft; Publisher Customer ID=346fa229-7c19-44ef-85c6-29e00edf66cf; Unit Price=0.0; ERP=0.0;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</t>
  </si>
  <si>
    <t>Organization Name=PT Nawa Darsana Teknologi; Publisher=Microsoft; Publisher Customer ID=346fa229-7c19-44ef-85c6-29e00edf66cf; Unit Price=0.44522192; ERP=215.527884; BenefitType=Charge</t>
  </si>
  <si>
    <t>Organization Name=PT Nawa Darsana Teknologi; Publisher=Microsoft; Publisher Customer ID=346fa229-7c19-44ef-85c6-29e00edf66cf; Unit Price=0.0; ERP=0.0;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</si>
  <si>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Price=153.5247987642; ERP=0.0161131256;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</si>
  <si>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Price=153.5247999972; ERP=173.526865798;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</si>
  <si>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Price=1228.1982738927; ERP=0.0005443152;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</si>
  <si>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Price=1842.2975999988; ERP=4811.5075950656;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</si>
  <si>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Price=1842.2975847972; ERP=0.011418407;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</si>
  <si>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Price=2368.904172042; ERP=8722.9999982554; BenefitType=Charge; Billing=Anper</t>
  </si>
  <si>
    <t>Organization Name=PT Nawa Darsana Teknologi; Publisher=Microsoft; Publisher Customer ID=346fa229-7c19-44ef-85c6-29e00edf66cf; Unit Price=153.5247265176; ERP=0.000340197;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</t>
  </si>
  <si>
    <t>Organization Name=PT Nawa Darsana Teknologi; Publisher=Microsoft; Publisher Customer ID=346fa229-7c19-44ef-85c6-29e00edf66cf; Unit Price=1534.72601568; ERP=889443.48636; BenefitType=Charge; Anper=CE; MD=Apricot; Product=CE</t>
  </si>
  <si>
    <t>Organization Name=PT Nawa Darsana Teknologi; Publisher=Microsoft; Publisher Customer ID=346fa229-7c19-44ef-85c6-29e00edf66cf; Unit Price=0.0; ERP=0.0; BenefitType=Charge; Anper=CE; MD=Apricot; Product=CE</t>
  </si>
  <si>
    <t>Organization Name=PT Nawa Darsana Teknologi; Publisher=Microsoft; Publisher Customer ID=346fa229-7c19-44ef-85c6-29e00edf66cf; Unit Price=76.7624; ERP=64899.12; BenefitType=Charge; aks-managed-cluster-name=Apricot; aks-managed-cluster-rg=rg-anper; aks-managed-type=aks-slb-managed-outbound-ip; Anper=CE; Environment=Production; MD=Anper; Product=CE</t>
  </si>
  <si>
    <t>Organization Name=PT Nawa Darsana Teknologi; Publisher=Microsoft; Publisher Customer ID=346fa229-7c19-44ef-85c6-29e00edf66cf; Unit Price=153.524418682; ERP=4.3615e-05;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</si>
  <si>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Price=153.5247999998; ERP=527.6233277744;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</si>
  <si>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Price=153.5247999997; ERP=449.8335659818;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</si>
  <si>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Price=153.5247999999; ERP=635.6406188418;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</si>
  <si>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Price=153.5248; ERP=129798.24; BenefitType=Charge; Anper=CE</t>
  </si>
  <si>
    <t>Organization Name=PT Nawa Darsana Teknologi; Publisher=Microsoft; Publisher Customer ID=346fa229-7c19-44ef-85c6-29e00edf66cf; Unit Price=153.5247999837; ERP=5.51223816; BenefitType=Charge; Anper=CE</t>
  </si>
  <si>
    <t>Organization Name=PT Nawa Darsana Teknologi; Publisher=Microsoft; Publisher Customer ID=346fa229-7c19-44ef-85c6-29e00edf66cf; Unit Price=1228.1983966842; ERP=0.0744787186;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</si>
  <si>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Price=1228.1983944611; ERP=0.0350804168;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</si>
  <si>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Price=230287.1999999971; ERP=260986.5322571078; BenefitType=Charge; Anper=CE; md-alias=Anper; Product=CE</t>
  </si>
  <si>
    <t>Organization Name=PT Nawa Darsana Teknologi; Publisher=Microsoft; Publisher Customer ID=346fa229-7c19-44ef-85c6-29e00edf66cf; Unit Price=1228.1983959639; ERP=0.030931758;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</si>
  <si>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Price=1001.5519141372; ERP=103.437613136;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</t>
  </si>
  <si>
    <t>Organization Name=PT Nawa Darsana Teknologi; Publisher=Microsoft; Publisher Customer ID=346fa229-7c19-44ef-85c6-29e00edf66cf; Unit Price=1228.198396601; ERP=0.0553055646;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</si>
  <si>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Price=153.524799801; ERP=0.0660313654; BenefitType=Charge; Anper=CE</t>
  </si>
  <si>
    <t>Organization Name=PT Nawa Darsana Teknologi; Publisher=Microsoft; Publisher Customer ID=346fa229-7c19-44ef-85c6-29e00edf66cf; Unit Price=153.5248; ERP=129798.24; BenefitType=Charge; Anper=Anper; CE=CDC</t>
  </si>
  <si>
    <t>Organization Name=PT Nawa Darsana Teknologi; Publisher=Microsoft; Publisher Customer ID=346fa229-7c19-44ef-85c6-29e00edf66cf; Unit Price=1228.1983966858; ERP=0.0427304878;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</si>
  <si>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Price=1228.1983998723; ERP=1.0481452124;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</si>
  <si>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Price=1013.2052929397; ERP=477.2336063352;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</si>
  <si>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Price=1228.1983888601; ERP=0.0174617014;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</si>
  <si>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Price=153.524799998; ERP=40.8944759938;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</si>
  <si>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Price=153.5230926206; ERP=1.57014e-05;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</si>
  <si>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Price=153.5248; ERP=129798.24; BenefitType=Charge; Billing=Anper</t>
  </si>
  <si>
    <t>Organization Name=PT Nawa Darsana Teknologi; Publisher=Microsoft; Publisher Customer ID=346fa229-7c19-44ef-85c6-29e00edf66cf; Unit Price=153.5248; ERP=129798.24; BenefitType=Charge; Anper=Anper</t>
  </si>
  <si>
    <t>Organization Name=PT Nawa Darsana Teknologi; Publisher=Microsoft; Publisher Customer ID=346fa229-7c19-44ef-85c6-29e00edf66cf; Unit Price=153.52479999; ERP=38.7312505008;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</si>
  <si>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Price=153.5247999981; ERP=192.114139503;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</si>
  <si>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Price=1007.1403826611; ERP=456.7486439802;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</si>
  <si>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Price=1002.15778482; ERP=480.1175993614;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</si>
  <si>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Price=302597.3808; ERP=50.54751702;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</si>
  <si>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Price=153.5247998684; ERP=0.6650118618;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</t>
  </si>
  <si>
    <t>Organization Name=PT Nawa Darsana Teknologi; Publisher=Microsoft; Publisher Customer ID=346fa229-7c19-44ef-85c6-29e00edf66cf; Unit Price=153.5247999999; ERP=2807.160257759;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</si>
  <si>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Price=1228.1983992054; ERP=0.2290851706;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</si>
  <si>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Price=1228.1983934551; ERP=0.035450272;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</si>
  <si>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Price=153.524799998; ERP=1.6201559374;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</si>
  <si>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Price=153.5248; ERP=17860.4209965324;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</si>
  <si>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Price=153.5248; ERP=3133.4798091454;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</si>
  <si>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Price=153.5247999981; ERP=66.6012075872;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</t>
  </si>
  <si>
    <t>Organization Name=PT Nawa Darsana Teknologi; Publisher=Microsoft; Publisher Customer ID=346fa229-7c19-44ef-85c6-29e00edf66cf; Unit Price=1228.1983999952; ERP=739.7136170424;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</si>
  <si>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Price=1228.1983999981; ERP=2372.9098794258;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</si>
  <si>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Price=1228.1983999984; ERP=1849.9097381622;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</si>
  <si>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Price=383.812; ERP=324495.6; BenefitType=Charge; aks-managed-cluster-name=apricot; aks-managed-cluster-rg=rg-anper; Anper=CE; Environment=Production; MD=Anper; Product=CE</t>
  </si>
  <si>
    <t>Organization Name=PT Nawa Darsana Teknologi; Publisher=Microsoft; Publisher Customer ID=346fa229-7c19-44ef-85c6-29e00edf66cf; Unit Price=2118.6422399999; ERP=100153.9968; BenefitType=Charge; Anper=CE; MD=Apricot; Product=CE</t>
  </si>
  <si>
    <t>Organization Name=PT Nawa Darsana Teknologi; Publisher=Microsoft; Publisher Customer ID=346fa229-7c19-44ef-85c6-29e00edf66cf; Unit Price=460.5744; ERP=389394.72; BenefitType=Charge; Anper=Anper; CE=CDC</t>
  </si>
  <si>
    <t>Organization Name=PT Nawa Darsana Teknologi; Publisher=Microsoft; Publisher Customer ID=346fa229-7c19-44ef-85c6-29e00edf66cf; Unit Price=0.0; ERP=5.0802752; BenefitType=Charge; Anper=Anper; CE=CDC</t>
  </si>
  <si>
    <t>Organization Name=PT Nawa Darsana Teknologi; Publisher=Microsoft; Publisher Customer ID=346fa229-7c19-44ef-85c6-29e00edf66cf; Unit Price=3838.12; ERP=4361.5;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</si>
  <si>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Price=302597.3808; ERP=202.8777894;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</si>
  <si>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Price=1676.7581429778; ERP=14.0860068206;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</t>
  </si>
  <si>
    <t>Organization Name=PT Nawa Darsana Teknologi; Publisher=Microsoft; Publisher Customer ID=346fa229-7c19-44ef-85c6-29e00edf66cf; Unit Price=1679.8520740559; ERP=1119.0009917086;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</t>
  </si>
  <si>
    <t>Organization Name=PT Nawa Darsana Teknologi; Publisher=Microsoft; Publisher Customer ID=346fa229-7c19-44ef-85c6-29e00edf66cf; Unit Price=1842.2975998989; ERP=2.1321262534;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</si>
  <si>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Price=1842.2975850428; ERP=0.0126117134;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</si>
  <si>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Price=1842.2975999896; ERP=477.3262271492;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</si>
  <si>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Price=1842.2975990722; ERP=0.2406222104;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</si>
  <si>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Price=153.5248; ERP=20539.1968189408;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</si>
  <si>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Price=153.5248; ERP=4999.684563159;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</si>
  <si>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Price=1842.2975923521; ERP=0.023927189;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</si>
  <si>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Price=1741.4796971142; ERP=102.8689276186;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</si>
  <si>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Price=1730.9801673243; ERP=112.8524412444;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</si>
  <si>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Price=2155.4881919703; ERP=44.9246415618; BenefitType=Charge</t>
  </si>
  <si>
    <t>Organization Name=PT Nawa Darsana Teknologi; Publisher=Microsoft; Publisher Customer ID=346fa229-7c19-44ef-85c6-29e00edf66cf; Unit Price=1757.5748477613; ERP=114.8540033784;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</si>
  <si>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Price=1228.1983989741; ERP=3.569477769;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</si>
  <si>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Price=1228.1983999986; ERP=1819.585324271;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</si>
  <si>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Price=153.5247999817; ERP=5.64561283; BenefitType=Charge; Anper=CE</t>
  </si>
  <si>
    <t>Organization Name=PT Nawa Darsana Teknologi; Publisher=Microsoft; Publisher Customer ID=346fa229-7c19-44ef-85c6-29e00edf66cf; Unit Price=1842.2975951899; ERP=0.0561133144;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</si>
  <si>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Price=1842.2975848633; ERP=0.0234352118;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</si>
  <si>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Price=2368.904172042; ERP=8722.9999982554; BenefitType=Charge; Anper=CE</t>
  </si>
  <si>
    <t>Organization Name=PT Nawa Darsana Teknologi; Publisher=Microsoft; Publisher Customer ID=346fa229-7c19-44ef-85c6-29e00edf66cf; Unit Price=76.7623999999; ERP=2065.8885087984; BenefitType=Charge; aks-managed-cluster-name=apricot; aks-managed-cluster-rg=rg-anper; Anper=CE; Environment=Production; MD=Anper; Product=CE</t>
  </si>
  <si>
    <t>Organization Name=PT Nawa Darsana Teknologi; Publisher=Microsoft; Publisher Customer ID=346fa229-7c19-44ef-85c6-29e00edf66cf; Unit Price=1842.2975999891; ERP=495.86870476;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</si>
  <si>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Price=1842.2975977417; ERP=0.1074778276;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</si>
  <si>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Price=302597.3807999999; ERP=280818.27817758;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</si>
  <si>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Price=153.5247996397; ERP=0.2124765786;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</t>
  </si>
  <si>
    <t>Organization Name=PT Nawa Darsana Teknologi; Publisher=Microsoft; Publisher Customer ID=346fa229-7c19-44ef-85c6-29e00edf66cf; Unit Price=153.5247252543; ERP=0.0007117968;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</si>
  <si>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Price=153.5247854649; ERP=0.0016940066; BenefitType=Charge; Anper=CE</t>
  </si>
  <si>
    <t>Organization Name=PT Nawa Darsana Teknologi; Publisher=Microsoft; Publisher Customer ID=346fa229-7c19-44ef-85c6-29e00edf66cf; Unit Price=1228.1983895216; ERP=0.0150890454;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</si>
  <si>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Price=1029.8074531022; ERP=68.0659667688;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</t>
  </si>
  <si>
    <t>Organization Name=PT Nawa Darsana Teknologi; Publisher=Microsoft; Publisher Customer ID=346fa229-7c19-44ef-85c6-29e00edf66cf; Unit Price=1228.1983978236; ERP=0.083339542;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</si>
  <si>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Price=153.5247999951; ERP=20.1726074264; BenefitType=Charge; aks-managed-consolidated-additional-properties=c4987a06-e9fe-11f0-8033-522e363cd051; aks-managed-creationSource=vmssclient-aks-systemeph-11882456-vmss; aks-managed-enable-imds-restriction=False; aks-managed-kubeletIdentityClientID=c9e56520-a8a3-452c-b5ca-cb3192dafd24; aks-managed-operationID=e61136f8-54c1-459a-9ef3-de11e9efc9a3; aks-managed-orchestrator=Kubernetes:1.33.5; aks-managed-poolName=systemeph; aks-managed-resourceNameSuffix=14784282.0; aks-managed-ssh-access=LocalUser</t>
  </si>
  <si>
    <t>Organization Name=PT Nawa Darsana Teknologi; Publisher=Microsoft; Publisher Customer ID=346fa229-7c19-44ef-85c6-29e00edf66cf; Unit Price=153.522263833; ERP=8.723e-06;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</si>
  <si>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Price=1228.1975043036; ERP=0.0002337764;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</si>
  <si>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Price=153.5247999487; ERP=4.9084565244; BenefitType=Charge; Anper=CE</t>
  </si>
  <si>
    <t>Organization Name=PT Nawa Darsana Teknologi; Publisher=Microsoft; Publisher Customer ID=346fa229-7c19-44ef-85c6-29e00edf66cf; Unit Price=153.5247999998; ERP=2895.743648655;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</si>
  <si>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Price=153.5247999388; ERP=0.3695272152;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</si>
  <si>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Price=153.5247999991; ERP=467.2063102278;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</si>
  <si>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Price=153.5247999999; ERP=4151.8656330008;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</si>
  <si>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Price=1228.1983999987; ERP=2381.1873504562;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</si>
  <si>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Price=1228.1983999964; ERP=133.8594472358;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</si>
  <si>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Price=1842.2975999924; ERP=658.979130953;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</si>
  <si>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Price=1842.297599694; ERP=1.107332512;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</si>
  <si>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Price=1842.2975999684; ERP=152.7190111304;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</si>
  <si>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Price=156702.7633599999; ERP=177959.13706714;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kubernetes.io-created-for-pv-name=pvc-d716a12b-e6ae-4948-ab1d-1effc80c2890</t>
  </si>
  <si>
    <t>Organization Name=PT Nawa Darsana Teknologi; Publisher=Microsoft; Publisher Customer ID=346fa229-7c19-44ef-85c6-29e00edf66cf; Unit Price=153.5247999977; ERP=145.9736443308;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</si>
  <si>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Price=153.5247999939; ERP=20.9932934354;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</si>
  <si>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Price=153.5247999981; ERP=31.76602572;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</si>
  <si>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Price=153.5246995705; ERP=0.0011915618;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</si>
  <si>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Organization Name=PT Nawa Darsana Teknologi; Publisher=Microsoft; Publisher Customer ID=346fa229-7c19-44ef-85c6-29e00edf66cf; Unit Price=153.5247999977; ERP=200.737906655;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</si>
  <si>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Price=1228.198043016; ERP=0.0003105388;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</si>
  <si>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Price=153.5247997656; ERP=0.0406299894;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</si>
  <si>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Price=153.5246909981; ERP=0.0001168882;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</si>
  <si>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Price=153.5247999983; ERP=195.089895;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</si>
  <si>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Price=153.5248; ERP=31797.1629290744;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</si>
  <si>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Price=153.5247999998; ERP=2191.9861730624;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</si>
  <si>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Price=153.5248; ERP=3966.631754514; BenefitType=Charge; aks-managed-consolidated-additional-properties=c4988017-e9fe-11f0-8033-522e363cd051; aks-managed-creationSource=vmssclient-aks-usereph2-32489559-vmss; aks-managed-enable-imds-restriction=False; aks-managed-kubeletIdentityClientID=c9e56520-a8a3-452c-b5ca-cb3192dafd24; aks-managed-operationID=e61136f8-54c1-459a-9ef3-de11e9efc9a3; aks-managed-orchestrator=Kubernetes:1.33.5; aks-managed-poolName=usereph2; aks-managed-resourceNameSuffix=14784282.0; aks-managed-ssh-access=LocalUser</t>
  </si>
  <si>
    <t>Organization Name=PT Nawa Darsana Teknologi; Publisher=Microsoft; Publisher Customer ID=346fa229-7c19-44ef-85c6-29e00edf66cf; Unit Price=1535.248; ERP=1297935.0107829534; BenefitType=Charge; Anper=CE; Environment=Production; MD=Anper; Product=CE</t>
  </si>
  <si>
    <t>Organization Name=PT Nawa Darsana Teknologi; Publisher=Microsoft; Publisher Customer ID=346fa229-7c19-44ef-85c6-29e00edf66cf; Unit Price=1228.1983999845; ERP=211.808100218;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</si>
  <si>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Price=1228.198312374; ERP=0.0009351056;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</si>
  <si>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Price=1228.1983999986; ERP=2485.4763301368;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</si>
  <si>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Organization Name=PT Nawa Darsana Teknologi; Publisher=Microsoft; Publisher Customer ID=346fa229-7c19-44ef-85c6-29e00edf66cf; Unit Price=1228.1983994354; ERP=0.781633138;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</t>
  </si>
  <si>
    <t>Organization Name=PT Nawa Darsana Teknologi; Publisher=Microsoft; Publisher Customer ID=346fa229-7c19-44ef-85c6-29e00edf66cf; Unit Price=1228.198043016; ERP=0.0001552694;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</si>
  <si>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Organization Name=PT Nawa Darsana Teknologi; Publisher=Microsoft; Publisher Customer ID=346fa229-7c19-44ef-85c6-29e00edf66cf; Unit Price=6140.992; ERP=2003.9243224; BenefitType=Charge; Billing=Anper</t>
  </si>
  <si>
    <t>Organization Name=PT Nawa Darsana Teknologi; Publisher=Microsoft; Publisher Customer ID=346fa229-7c19-44ef-85c6-29e00edf66cf; Unit Price=302597.3807999999; ERP=62852.22687744; BenefitType=Charge; aks-managed-consolidated-additional-properties=c49875b0-e9fe-11f0-8033-522e363cd051; aks-managed-creationSource=vmssclient-aks-monitoring-44423715-vmss; aks-managed-enable-imds-restriction=False; aks-managed-kubeletIdentityClientID=c9e56520-a8a3-452c-b5ca-cb3192dafd24; aks-managed-operationID=e61136f8-54c1-459a-9ef3-de11e9efc9a3; aks-managed-orchestrator=Kubernetes:1.33.5; aks-managed-poolName=monitoring; aks-managed-resourceNameSuffix=14784282.0; aks-managed-ssh-access=LocalUser; purpose=monitoring</t>
  </si>
  <si>
    <t>Organization Name=PT Nawa Darsana Teknologi; Publisher=Microsoft; Publisher Customer ID=346fa229-7c19-44ef-85c6-29e00edf66cf; Unit Price=383.812; ERP=324495.6; BenefitType=Charge; aks-managed-cluster-name=Apricot; aks-managed-cluster-rg=rg-anper; Anper=CE; Environment=Production; MD=Anper; Product=CE</t>
  </si>
  <si>
    <t>mc_rg-zenobia_zenobia_southeastasia</t>
  </si>
  <si>
    <t>aks-systemeph-33467302-vmss</t>
  </si>
  <si>
    <t>{
  "Organization Name": "PT Nawa Darsana Teknologi",
  "Publisher": "Microsoft",
  "Publisher Customer ID": "346fa229-7c19-44ef-85c6-29e00edf66cf",
  "Unit Price": "153.524799999",
  "ERP": "416.268826259",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</si>
  <si>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Price=153.524799999; ERP=416.268826259;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</si>
  <si>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aks-usereph-32964874-vmss</t>
  </si>
  <si>
    <t>{
  "Organization Name": "PT Nawa Darsana Teknologi",
  "Publisher": "Microsoft",
  "Publisher Customer ID": "346fa229-7c19-44ef-85c6-29e00edf66cf",
  "Unit Price": "153.5248",
  "ERP": "3171.6322135784",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</si>
  <si>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Price=153.5248; ERP=3171.6322135784;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</si>
  <si>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"1228.1983996974",
  "ERP": "0.5302048752",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</si>
  <si>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Price=1228.1983996974; ERP=0.5302048752;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</si>
  <si>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"153.5247999996",
  "ERP": "382.4121347046",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</si>
  <si>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Price=153.5247999996; ERP=382.4121347046;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</si>
  <si>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"153.5247999995",
  "ERP": "529.24159431",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</si>
  <si>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Price=153.5247999995; ERP=529.24159431;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</si>
  <si>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"829.254568285",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</si>
  <si>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Price=153.5247999999; ERP=829.254568285;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</si>
  <si>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"153.5247999997",
  "ERP": "117.8886286578",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</si>
  <si>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Price=153.5247999997; ERP=117.8886286578;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</si>
  <si>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"153.5247999999",
  "ERP": "5091.5827254578",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</si>
  <si>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Price=153.5247999999; ERP=5091.5827254578;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</si>
  <si>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MC_RG-ZENOBIA_ZENOBIA_SOUTHEASTASIA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</si>
  <si>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"629c2245-c12e-11f0-9ecd-06b0a643659e",
  "aks-managed-creationSource": "vmssclient-aks-systemeph-33467302-vmss",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"systemeph",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</si>
  <si>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Price=0.0; ERP=0.0;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</si>
  <si>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"1228.1983999903",
  "ERP": "71.1857372512",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</si>
  <si>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Price=1228.1983999903; ERP=71.1857372512;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</si>
  <si>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"1842.2975999912",
  "ERP": "148.8938308286",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</si>
  <si>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Price=1842.2975999912; ERP=148.8938308286;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</si>
  <si>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"1842.2975999921",
  "ERP": "569.8227453776",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</si>
  <si>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Price=1842.2975999921; ERP=569.8227453776;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</si>
  <si>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"4361.5",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</si>
  <si>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ERP=4361.5;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</si>
  <si>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</si>
  <si>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</si>
  <si>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"1228.1983999852",
  "ERP": "239.4896998208",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</si>
  <si>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Price=1228.1983999852; ERP=239.4896998208;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</si>
  <si>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"1228.1983999863",
  "ERP": "243.6904715674",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</si>
  <si>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Price=1228.1983999863; ERP=243.6904715674;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</si>
  <si>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"1228.1983999832",
  "ERP": "165.5956856554",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</si>
  <si>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Price=1228.1983999832; ERP=165.5956856554;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</si>
  <si>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"635180.33579",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</si>
  <si>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ERP=635180.33579;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</si>
  <si>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"475040.405125",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</si>
  <si>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ERP=475040.405125;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</si>
  <si>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"153.5247999993",
  "ERP": "224.9578255782",
  "BenefitType": "Charge",
  "aks-managed-consolidated-additional-properties": "629c2245-c12e-11f0-9ecd-06b0a643659e",
  "aks-managed-creationSource": "vmssclient-aks-systemeph-33467302-vmss",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"systemeph",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</si>
  <si>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Price=153.5247999993; ERP=224.9578255782;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</si>
  <si>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"153.52479899",
  "ERP": "0.1909918296",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</si>
  <si>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Price=153.52479899; ERP=0.1909918296;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</si>
  <si>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rg-zenobia</t>
  </si>
  <si>
    <t>frontdoor-zenobia</t>
  </si>
  <si>
    <t>{
  "Organization Name": "PT Nawa Darsana Teknologi",
  "Publisher": "Microsoft",
  "Publisher Customer ID": "346fa229-7c19-44ef-85c6-29e00edf66cf",
  "Unit Price": "265.597904",
  "ERP": "252.4387333754",
  "BenefitType": "Charge",
  "Frontdoor": "9-MD",
  "San Marino": "San Marino"
}</t>
  </si>
  <si>
    <t>Organization Name=PT Nawa Darsana Teknologi; Publisher=Microsoft; Publisher Customer ID=346fa229-7c19-44ef-85c6-29e00edf66cf; Unit Price=265.597904; ERP=252.4387333754; BenefitType=Charge; Frontdoor=9-MD; San Marino=San Marino</t>
  </si>
  <si>
    <t>{
  "Organization Name": "PT Nawa Darsana Teknologi",
  "Publisher": "Microsoft",
  "Publisher Customer ID": "346fa229-7c19-44ef-85c6-29e00edf66cf",
  "Unit Price": "1228.1983992202",
  "ERP": "1.2730904472",
  "BenefitType": "Charge",
  "aks-managed-consolidated-additional-properties": "629c2245-c12e-11f0-9ecd-06b0a643659e",
  "aks-managed-creationSource": "vmssclient-aks-systemeph-33467302-vmss",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"systemeph",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</si>
  <si>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Price=1228.1983992202; ERP=1.2730904472;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</si>
  <si>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"1228.1983992042",
  "ERP": "1.1748380644",
  "BenefitType": "Charge",
  "aks-managed-consolidated-additional-properties": "629c2245-c12e-11f0-9ecd-06b0a643659e",
  "aks-managed-creationSource": "vmssclient-aks-systemeph-33467302-vmss",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"systemeph",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</si>
  <si>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Price=1228.1983992042; ERP=1.1748380644;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</si>
  <si>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"1228.1983993633",
  "ERP": "0.7341660612",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</si>
  <si>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Price=1228.1983993633; ERP=0.7341660612;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</si>
  <si>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SQL DB Single Std</t>
  </si>
  <si>
    <t>SQL Database Single Standard</t>
  </si>
  <si>
    <t>S0 DTUs</t>
  </si>
  <si>
    <t>1/Day</t>
  </si>
  <si>
    <t>RG-ZENOBIA</t>
  </si>
  <si>
    <t>titania</t>
  </si>
  <si>
    <t>eastasia</t>
  </si>
  <si>
    <t>{
  "Organization Name": "PT Nawa Darsana Teknologi",
  "Publisher": "Microsoft",
  "Publisher Customer ID": "346fa229-7c19-44ef-85c6-29e00edf66cf",
  "Unit Price": "7429.065072",
  "ERP": "261705.7014",
  "BenefitType": "Charge"
}</t>
  </si>
  <si>
    <t>Organization Name=PT Nawa Darsana Teknologi; Publisher=Microsoft; Publisher Customer ID=346fa229-7c19-44ef-85c6-29e00edf66cf; Unit Price=7429.065072; ERP=261705.7014; BenefitType=Charge</t>
  </si>
  <si>
    <t>iolite</t>
  </si>
  <si>
    <t>{
  "Organization Name": "PT Nawa Darsana Teknologi",
  "Publisher": "Microsoft",
  "Publisher Customer ID": "346fa229-7c19-44ef-85c6-29e00edf66cf",
  "Unit Price": "153.5247999783",
  "ERP": "2.3907963508",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</si>
  <si>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Price=153.5247999783; ERP=2.3907963508;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</si>
  <si>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"153.5247999142",
  "ERP": "0.3478837076",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</si>
  <si>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Price=153.5247999142; ERP=0.3478837076;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</si>
  <si>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"1228.198399293",
  "ERP": "1.1585120976",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</si>
  <si>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Price=1228.198399293; ERP=1.1585120976;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</si>
  <si>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"1228.1983992504",
  "ERP": "4.0252475406",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</si>
  <si>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Price=1228.1983992504; ERP=4.0252475406;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</si>
  <si>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"153.5247999997",
  "ERP": "1250.3471716736",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</si>
  <si>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Price=153.5247999997; ERP=1250.3471716736;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</si>
  <si>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"1228.198399155",
  "ERP": "2.7865292026",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</si>
  <si>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Price=1228.198399155; ERP=2.7865292026;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</si>
  <si>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"6140.9919999624",
  "ERP": "1038.9302334554",
  "BenefitType": "Charge"
}</t>
  </si>
  <si>
    <t>Organization Name=PT Nawa Darsana Teknologi; Publisher=Microsoft; Publisher Customer ID=346fa229-7c19-44ef-85c6-29e00edf66cf; Unit Price=6140.9919999624; ERP=1038.9302334554; BenefitType=Charge</t>
  </si>
  <si>
    <t>Premium Data Transfer In</t>
  </si>
  <si>
    <t>{
  "Organization Name": "PT Nawa Darsana Teknologi",
  "Publisher": "Microsoft",
  "Publisher Customer ID": "346fa229-7c19-44ef-85c6-29e00edf66cf",
  "Unit Price": "921.1488",
  "ERP": "468687.3020872042",
  "BenefitType": "Charge",
  "Frontdoor": "9-MD",
  "San Marino": "San Marino"
}</t>
  </si>
  <si>
    <t>Organization Name=PT Nawa Darsana Teknologi; Publisher=Microsoft; Publisher Customer ID=346fa229-7c19-44ef-85c6-29e00edf66cf; Unit Price=921.1488; ERP=468687.3020872042; BenefitType=Charge; Frontdoor=9-MD; San Marino=San Marino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</si>
  <si>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</si>
  <si>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Price=383.812; ERP=324495.6;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</si>
  <si>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"1842.2975999927",
  "ERP": "212.1419224496",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</si>
  <si>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Price=1842.2975999927; ERP=212.1419224496;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</si>
  <si>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"1702.4047003349",
  "ERP": "569.661516424",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</si>
  <si>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Price=1702.4047003349; ERP=569.661516424;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</si>
  <si>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L2-DB-SCHEDULER</t>
  </si>
  <si>
    <t>{
  "Organization Name": "PT Nawa Darsana Teknologi",
  "Publisher": "Microsoft",
  "Publisher Customer ID": "346fa229-7c19-44ef-85c6-29e00edf66cf",
  "Unit Price": "1842.2975997167",
  "ERP": "19.0167383978",
  "BenefitType": "Charge"
}</t>
  </si>
  <si>
    <t>Organization Name=PT Nawa Darsana Teknologi; Publisher=Microsoft; Publisher Customer ID=346fa229-7c19-44ef-85c6-29e00edf66cf; Unit Price=1842.2975997167; ERP=19.0167383978; BenefitType=Charge</t>
  </si>
  <si>
    <t>marguerite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</si>
  <si>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</si>
  <si>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Price=383.812; ERP=324495.6; BenefitType=Charge; aks-managed-cluster-name=Zenobia; aks-managed-cluster-rg=rg-zenobia; MD=9MD; Product=DA; San Marino=San Marino; Shared=true</t>
  </si>
  <si>
    <t>mithril</t>
  </si>
  <si>
    <t>pe-aks-zenobia-to-giant-dev</t>
  </si>
  <si>
    <t>{
  "Organization Name": "PT Nawa Darsana Teknologi",
  "Publisher": "Microsoft",
  "Publisher Customer ID": "346fa229-7c19-44ef-85c6-29e00edf66cf",
  "Unit Price": "153.5247999996",
  "ERP": "465.8865621982",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</si>
  <si>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Price=153.5247999996; ERP=465.8865621982;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</si>
  <si>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"153.5248",
  "ERP": "9260.4916890772",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</si>
  <si>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Price=153.5248; ERP=9260.4916890772;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</si>
  <si>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"153.524799997",
  "ERP": "1.0018121256",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</si>
  <si>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Price=153.524799997; ERP=1.0018121256;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</si>
  <si>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"153.5247999036",
  "ERP": "0.3466851674",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</si>
  <si>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Price=153.5247999036; ERP=0.3466851674;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</si>
  <si>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"153.5247999915",
  "ERP": "13.2241622084",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</si>
  <si>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Price=153.5247999915; ERP=13.2241622084;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</si>
  <si>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"1717.6687521684",
  "ERP": "660.2468602444",
  "BenefitType": "Charge",
  "aks-managed-consolidated-additional-properties": "629c2245-c12e-11f0-9ecd-06b0a643659e",
  "aks-managed-creationSource": "vmssclient-aks-systemeph-33467302-vmss",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"systemeph",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</si>
  <si>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Price=1717.6687521684; ERP=660.2468602444;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</si>
  <si>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"1741.1961233432",
  "ERP": "154.0710290262",
  "BenefitType": "Charge",
  "aks-managed-consolidated-additional-properties": "629c2245-c12e-11f0-9ecd-06b0a643659e",
  "aks-managed-creationSource": "vmssclient-aks-systemeph-33467302-vmss",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"systemeph",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</si>
  <si>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Price=1741.1961233432; ERP=154.0710290262;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</si>
  <si>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"153.5248",
  "ERP": "2350.3647991824",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</si>
  <si>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Price=153.5248; ERP=2350.3647991824;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</si>
  <si>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"153.5247999961",
  "ERP": "3.5876146306",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</si>
  <si>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Price=153.5247999961; ERP=3.5876146306;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</si>
  <si>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"1920.91398642",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</si>
  <si>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Price=153.5247999999; ERP=1920.91398642;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</si>
  <si>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"2624.7516124258",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</si>
  <si>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Price=153.5247999999; ERP=2624.7516124258;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</si>
  <si>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"1011.8738915142",
  "BenefitType": "Charge",
  "aks-managed-consolidated-additional-properties": "629c2245-c12e-11f0-9ecd-06b0a643659e",
  "aks-managed-creationSource": "vmssclient-aks-systemeph-33467302-vmss",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"systemeph",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</si>
  <si>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Price=153.5247999999; ERP=1011.8738915142;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</si>
  <si>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"153.5247999998",
  "ERP": "1902.1710926504",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</si>
  <si>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Price=153.5247999998; ERP=1902.1710926504;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</si>
  <si>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"1687.8728406981",
  "ERP": "139.675476083",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</si>
  <si>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Price=1687.8728406981; ERP=139.675476083;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</si>
  <si>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"1842.2975997535",
  "ERP": "0.9514298222",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</si>
  <si>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Price=1842.2975997535; ERP=0.9514298222;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</si>
  <si>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"2680.4325032914",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</si>
  <si>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Price=153.5247999999; ERP=2680.4325032914;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</si>
  <si>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"153.5248",
  "ERP": "4296.4691312972",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</si>
  <si>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Price=153.5248; ERP=4296.4691312972;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</si>
  <si>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"153.5248",
  "ERP": "2895.4577209272",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</si>
  <si>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Price=153.5248; ERP=2895.4577209272;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</si>
  <si>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"76.7624",
  "ERP": "140289.5591820866",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</si>
  <si>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Price=76.7624; ERP=140289.5591820866;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</si>
  <si>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"1842.2975999222",
  "ERP": "4.6096379472",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</si>
  <si>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Price=1842.2975999222; ERP=4.6096379472;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</si>
  <si>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"153.5247999997",
  "ERP": "1225.2592845922",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</si>
  <si>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Price=153.5247999997; ERP=1225.2592845922;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</si>
  <si>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"153.5248",
  "ERP": "2127.8939951126",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</si>
  <si>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Price=153.5248; ERP=2127.8939951126;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</si>
  <si>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"153.5247999999",
  "ERP": "3869.9479991458",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</si>
  <si>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Price=153.5247999999; ERP=3869.9479991458;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</si>
  <si>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"654.2380845",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</si>
  <si>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ERP=654.2380845;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</si>
  <si>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"763044.643075",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</si>
  <si>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Price=3838.12; ERP=763044.643075;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</si>
  <si>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"3838.12",
  "ERP": "3998.117266",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</si>
  <si>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ERP=3998.117266;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</si>
  <si>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"331328.76205",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</si>
  <si>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ERP=331328.76205;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</si>
  <si>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"143929.5",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</si>
  <si>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ERP=143929.5;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</si>
  <si>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"0.08723",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</si>
  <si>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Price=3838.12; ERP=0.08723;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</si>
  <si>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"3838.12",
  "ERP": "436.158723",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</si>
  <si>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ERP=436.158723;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</si>
  <si>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"153.5248",
  "ERP": "11469.6889657064",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</si>
  <si>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Price=153.5248; ERP=11469.6889657064;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</si>
  <si>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"726.931205",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</si>
  <si>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ERP=726.931205;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</si>
  <si>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"4288.889748",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</si>
  <si>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ERP=4288.889748;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</si>
  <si>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</si>
  <si>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</si>
  <si>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</si>
  <si>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</si>
  <si>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"5059.5508680574",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</si>
  <si>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Price=153.5247999999; ERP=5059.5508680574;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</si>
  <si>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"153.5247976375",
  "ERP": "0.0188364462",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</si>
  <si>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Price=153.5247976375; ERP=0.0188364462;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</si>
  <si>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"1018.3178151037",
  "ERP": "120.8429360424",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</si>
  <si>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Price=1018.3178151037; ERP=120.8429360424;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</si>
  <si>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"1228.1983992539",
  "ERP": "0.2599070188",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</si>
  <si>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Price=1228.1983992539; ERP=0.2599070188;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</si>
  <si>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"1059.2643185737",
  "ERP": "72.7053902718",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</si>
  <si>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Price=1059.2643185737; ERP=72.7053902718;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</si>
  <si>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"1228.1983999903",
  "ERP": "182.8388043768",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</si>
  <si>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Price=1228.1983999903; ERP=182.8388043768;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</si>
  <si>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vpn-access-to-sql-zenobia</t>
  </si>
  <si>
    <t>{
  "Organization Name": "PT Nawa Darsana Teknologi",
  "Publisher": "Microsoft",
  "Publisher Customer ID": "346fa229-7c19-44ef-85c6-29e00edf66cf",
  "Unit Price": "1228.1983999474",
  "ERP": "8.3089959524",
  "BenefitType": "Charge",
  "CDN": "CDN"
}</t>
  </si>
  <si>
    <t>Organization Name=PT Nawa Darsana Teknologi; Publisher=Microsoft; Publisher Customer ID=346fa229-7c19-44ef-85c6-29e00edf66cf; Unit Price=1228.1983999474; ERP=8.3089959524; BenefitType=Charge; CDN=CDN</t>
  </si>
  <si>
    <t>{
  "Organization Name": "PT Nawa Darsana Teknologi",
  "Publisher": "Microsoft",
  "Publisher Customer ID": "346fa229-7c19-44ef-85c6-29e00edf66cf",
  "Unit Price": "230.2872",
  "ERP": "2480.978214",
  "BenefitType": "Charge",
  "Frontdoor": "9-MD",
  "San Marino": "San Marino"
}</t>
  </si>
  <si>
    <t>Organization Name=PT Nawa Darsana Teknologi; Publisher=Microsoft; Publisher Customer ID=346fa229-7c19-44ef-85c6-29e00edf66cf; Unit Price=230.2872; ERP=2480.978214; BenefitType=Charge; Frontdoor=9-MD; San Marino=San Marino</t>
  </si>
  <si>
    <t>{
  "Organization Name": "PT Nawa Darsana Teknologi",
  "Publisher": "Microsoft",
  "Publisher Customer ID": "346fa229-7c19-44ef-85c6-29e00edf66cf",
  "Unit Price": "1688.7728",
  "ERP": "2597.041663073",
  "BenefitType": "Charge",
  "Frontdoor": "9-MD",
  "San Marino": "San Marino"
}</t>
  </si>
  <si>
    <t>Organization Name=PT Nawa Darsana Teknologi; Publisher=Microsoft; Publisher Customer ID=346fa229-7c19-44ef-85c6-29e00edf66cf; Unit Price=1688.7728; ERP=2597.041663073; BenefitType=Charge; Frontdoor=9-MD; San Marino=San Marino</t>
  </si>
  <si>
    <t>{
  "Organization Name": "PT Nawa Darsana Teknologi",
  "Publisher": "Microsoft",
  "Publisher Customer ID": "346fa229-7c19-44ef-85c6-29e00edf66cf",
  "Unit Price": "153.5247999998",
  "ERP": "1271.1256106406",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</si>
  <si>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Price=153.5247999998; ERP=1271.1256106406;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</si>
  <si>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"1228.1983999889",
  "ERP": "262.1895871452",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</si>
  <si>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Price=1228.1983999889; ERP=262.1895871452;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</si>
  <si>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"1228.1983992226",
  "ERP": "0.075829039",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</si>
  <si>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Price=1228.1983992226; ERP=0.075829039;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</si>
  <si>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aks-zenobia-to-db-dev</t>
  </si>
  <si>
    <t>{
  "Organization Name": "PT Nawa Darsana Teknologi",
  "Publisher": "Microsoft",
  "Publisher Customer ID": "346fa229-7c19-44ef-85c6-29e00edf66cf",
  "Unit Price": "1228.1983999862",
  "ERP": "202.5870291302",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</si>
  <si>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Price=1228.1983999862; ERP=202.5870291302;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</si>
  <si>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"1228.1983999718",
  "ERP": "14.4561934946",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</si>
  <si>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Price=1228.1983999718; ERP=14.4561934946;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</si>
  <si>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"1047.6761100295",
  "ERP": "133.7555894532",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</si>
  <si>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Price=1047.6761100295; ERP=133.7555894532;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</si>
  <si>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"1084.376523424",
  "ERP": "146.5649224182",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</si>
  <si>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Price=1084.376523424; ERP=146.5649224182;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</si>
  <si>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"1228.1983999911",
  "ERP": "201.0681036078",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</si>
  <si>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Price=1228.1983999911; ERP=201.0681036078;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</si>
  <si>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"153.5247999995",
  "ERP": "271.9612731836",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</si>
  <si>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Price=153.5247999995; ERP=271.9612731836;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</si>
  <si>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"153.5247999992",
  "ERP": "470.258517586",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</si>
  <si>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Price=153.5247999992; ERP=470.258517586;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</si>
  <si>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"153.5247999998",
  "ERP": "30.6262122452",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</si>
  <si>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Price=153.5247999998; ERP=30.6262122452;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</si>
  <si>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"153.5247999997",
  "ERP": "673.7178292702",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</si>
  <si>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Price=153.5247999997; ERP=673.7178292702;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</si>
  <si>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"153.5247999996",
  "ERP": "1023.7044794548",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</si>
  <si>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Price=153.5247999996; ERP=1023.7044794548;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</si>
  <si>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"153.5247999977",
  "ERP": "5.9908761484",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</si>
  <si>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Price=153.5247999977; ERP=5.9908761484;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</si>
  <si>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"679.5622811406",
  "BenefitType": "Charge",
  "aks-managed-consolidated-additional-properties": "629c2245-c12e-11f0-9ecd-06b0a643659e",
  "aks-managed-creationSource": "vmssclient-aks-systemeph-33467302-vmss",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"systemeph",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</si>
  <si>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Price=153.5247999999; ERP=679.5622811406;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</si>
  <si>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"153.5247999999",
  "ERP": "1444.5000524812",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</si>
  <si>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Price=153.5247999999; ERP=1444.5000524812;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</si>
  <si>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"153.5247999999",
  "ERP": "1519.3373282516",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</si>
  <si>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Price=153.5247999999; ERP=1519.3373282516;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</si>
  <si>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"1083.4370457749",
  "ERP": "83.1699197758",
  "BenefitType": "Charge",
  "aks-managed-consolidated-additional-properties": "629c2245-c12e-11f0-9ecd-06b0a643659e",
  "aks-managed-creationSource": "vmssclient-aks-systemeph-33467302-vmss",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"systemeph",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</si>
  <si>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Price=1083.4370457749; ERP=83.1699197758;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</si>
  <si>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"153.5247997905",
  "ERP": "0.1293062628",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</si>
  <si>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Price=153.5247997905; ERP=0.1293062628;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</si>
  <si>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"2425.3186561032",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</si>
  <si>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Price=153.5247999999; ERP=2425.3186561032;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</si>
  <si>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"153.5247999939",
  "ERP": "57.8842718168",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</si>
  <si>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Price=153.5247999939; ERP=57.8842718168;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</si>
  <si>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"1228.1983991932",
  "ERP": "1.898089908",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</si>
  <si>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Price=1228.1983991932; ERP=1.898089908;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</si>
  <si>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"1228.1984",
  "ERP": "18684.5220373526",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</si>
  <si>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Price=1228.1984; ERP=18684.5220373526;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</si>
  <si>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"153.5247956032",
  "ERP": "0.0093231424",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</si>
  <si>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Price=153.5247956032; ERP=0.0093231424;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</si>
  <si>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"153.5247997193",
  "ERP": "0.0655481112",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</si>
  <si>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Price=153.5247997193; ERP=0.0655481112;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</si>
  <si>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"4818.6328729396",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</si>
  <si>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Price=153.5247999999; ERP=4818.6328729396;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</si>
  <si>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"257.921664",
  "ERP": "1045.9016550554",
  "BenefitType": "Charge",
  "Frontdoor": "9-MD",
  "San Marino": "San Marino"
}</t>
  </si>
  <si>
    <t>Organization Name=PT Nawa Darsana Teknologi; Publisher=Microsoft; Publisher Customer ID=346fa229-7c19-44ef-85c6-29e00edf66cf; Unit Price=257.921664; ERP=1045.9016550554; BenefitType=Charge; Frontdoor=9-MD; San Marino=San Marino</t>
  </si>
  <si>
    <t>{
  "Organization Name": "PT Nawa Darsana Teknologi",
  "Publisher": "Microsoft",
  "Publisher Customer ID": "346fa229-7c19-44ef-85c6-29e00edf66cf",
  "Unit Price": "307.0496",
  "ERP": "24.9247791936",
  "BenefitType": "Charge",
  "Frontdoor": "9-MD",
  "San Marino": "San Marino"
}</t>
  </si>
  <si>
    <t>Organization Name=PT Nawa Darsana Teknologi; Publisher=Microsoft; Publisher Customer ID=346fa229-7c19-44ef-85c6-29e00edf66cf; Unit Price=307.0496; ERP=24.9247791936; BenefitType=Charge; Frontdoor=9-MD; San Marino=San Marino</t>
  </si>
  <si>
    <t>{
  "Organization Name": "PT Nawa Darsana Teknologi",
  "Publisher": "Microsoft",
  "Publisher Customer ID": "346fa229-7c19-44ef-85c6-29e00edf66cf",
  "Unit Price": "1688.7728",
  "ERP": "31.5834952004",
  "BenefitType": "Charge",
  "Frontdoor": "9-MD",
  "San Marino": "San Marino"
}</t>
  </si>
  <si>
    <t>Organization Name=PT Nawa Darsana Teknologi; Publisher=Microsoft; Publisher Customer ID=346fa229-7c19-44ef-85c6-29e00edf66cf; Unit Price=1688.7728; ERP=31.5834952004; BenefitType=Charge; Frontdoor=9-MD; San Marino=San Marino</t>
  </si>
  <si>
    <t>{
  "Organization Name": "PT Nawa Darsana Teknologi",
  "Publisher": "Microsoft",
  "Publisher Customer ID": "346fa229-7c19-44ef-85c6-29e00edf66cf",
  "Unit Price": "153.5247999851",
  "ERP": "24.2665032324",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</si>
  <si>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Price=153.5247999851; ERP=24.2665032324;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</si>
  <si>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"1228.1983991452",
  "ERP": "1.1475734556",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</si>
  <si>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Price=1228.1983991452; ERP=1.1475734556;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</si>
  <si>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"1228.198399231",
  "ERP": "1.2138769786",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</si>
  <si>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Price=1228.198399231; ERP=1.2138769786;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</si>
  <si>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"1228.1983999657",
  "ERP": "6.8721137342",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</si>
  <si>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Price=1228.1983999657; ERP=6.8721137342;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</si>
  <si>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"1673.42032",
  "ERP": "4001.7657811274",
  "BenefitType": "Charge",
  "Frontdoor": "9-MD",
  "San Marino": "San Marino"
}</t>
  </si>
  <si>
    <t>Organization Name=PT Nawa Darsana Teknologi; Publisher=Microsoft; Publisher Customer ID=346fa229-7c19-44ef-85c6-29e00edf66cf; Unit Price=1673.42032; ERP=4001.7657811274; BenefitType=Charge; Frontdoor=9-MD; San Marino=San Marino</t>
  </si>
  <si>
    <t>{
  "Organization Name": "PT Nawa Darsana Teknologi",
  "Publisher": "Microsoft",
  "Publisher Customer ID": "346fa229-7c19-44ef-85c6-29e00edf66cf",
  "Unit Price": "307.0496",
  "ERP": "28.1844561284",
  "BenefitType": "Charge",
  "Frontdoor": "9-MD",
  "San Marino": "San Marino"
}</t>
  </si>
  <si>
    <t>Organization Name=PT Nawa Darsana Teknologi; Publisher=Microsoft; Publisher Customer ID=346fa229-7c19-44ef-85c6-29e00edf66cf; Unit Price=307.0496; ERP=28.1844561284; BenefitType=Charge; Frontdoor=9-MD; San Marino=San Marino</t>
  </si>
  <si>
    <t>{
  "Organization Name": "PT Nawa Darsana Teknologi",
  "Publisher": "Microsoft",
  "Publisher Customer ID": "346fa229-7c19-44ef-85c6-29e00edf66cf",
  "Unit Price": "257.921664",
  "ERP": "318.3280883354",
  "BenefitType": "Charge",
  "Frontdoor": "9-MD",
  "San Marino": "San Marino"
}</t>
  </si>
  <si>
    <t>Organization Name=PT Nawa Darsana Teknologi; Publisher=Microsoft; Publisher Customer ID=346fa229-7c19-44ef-85c6-29e00edf66cf; Unit Price=257.921664; ERP=318.3280883354; BenefitType=Charge; Frontdoor=9-MD; San Marino=San Marino</t>
  </si>
  <si>
    <t>{
  "Organization Name": "PT Nawa Darsana Teknologi",
  "Publisher": "Microsoft",
  "Publisher Customer ID": "346fa229-7c19-44ef-85c6-29e00edf66cf",
  "Unit Price": "2456.3968",
  "ERP": "7.7823832086",
  "BenefitType": "Charge",
  "Frontdoor": "9-MD",
  "San Marino": "San Marino"
}</t>
  </si>
  <si>
    <t>Organization Name=PT Nawa Darsana Teknologi; Publisher=Microsoft; Publisher Customer ID=346fa229-7c19-44ef-85c6-29e00edf66cf; Unit Price=2456.3968; ERP=7.7823832086; BenefitType=Charge; Frontdoor=9-MD; San Marino=San Marino</t>
  </si>
  <si>
    <t>{
  "Organization Name": "PT Nawa Darsana Teknologi",
  "Publisher": "Microsoft",
  "Publisher Customer ID": "346fa229-7c19-44ef-85c6-29e00edf66cf",
  "Unit Price": "1228.1983999997",
  "ERP": "9887.1580872636",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</si>
  <si>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Price=1228.1983999997; ERP=9887.1580872636;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</si>
  <si>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"135206.5",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</si>
  <si>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ERP=135206.5;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</si>
  <si>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"331474.0",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</si>
  <si>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ERP=331474.0;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</si>
  <si>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"1919.06",
  "ERP": "617.8718975",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</si>
  <si>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Price=1919.06; ERP=617.8718975;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</si>
  <si>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"1.91906",
  "ERP": "743.63575",
  "BenefitType": "Charge"
}</t>
  </si>
  <si>
    <t>Organization Name=PT Nawa Darsana Teknologi; Publisher=Microsoft; Publisher Customer ID=346fa229-7c19-44ef-85c6-29e00edf66cf; Unit Price=1.91906; ERP=743.63575; BenefitType=Charge</t>
  </si>
  <si>
    <t>tungsten</t>
  </si>
  <si>
    <t>anvil</t>
  </si>
  <si>
    <t>zepar</t>
  </si>
  <si>
    <t>{
  "Organization Name": "PT Nawa Darsana Teknologi",
  "Publisher": "Microsoft",
  "Publisher Customer ID": "346fa229-7c19-44ef-85c6-29e00edf66cf",
  "Unit Price": "153.524799991",
  "ERP": "0.4252776528",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</si>
  <si>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Price=153.524799991; ERP=0.4252776528;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</si>
  <si>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"153.5248",
  "ERP": "2541.6662830702",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</si>
  <si>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Price=153.5248; ERP=2541.6662830702;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</si>
  <si>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"153.5247999999",
  "ERP": "3168.4509424568",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</si>
  <si>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Price=153.5247999999; ERP=3168.4509424568;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</si>
  <si>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"153.5247973781",
  "ERP": "0.0193964628",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</si>
  <si>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Price=153.5247973781; ERP=0.0193964628;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</si>
  <si>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"153.5247999939",
  "ERP": "0.8588281988",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</si>
  <si>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Price=153.5247999939; ERP=0.8588281988;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</si>
  <si>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"153.522263833",
  "ERP": "8.723e-06",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</si>
  <si>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Price=153.522263833; ERP=8.723e-06;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</si>
  <si>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"153.5247999759",
  "ERP": "2.573590305",
  "BenefitType": "Charge",
  "CDN": "CDN"
}</t>
  </si>
  <si>
    <t>Organization Name=PT Nawa Darsana Teknologi; Publisher=Microsoft; Publisher Customer ID=346fa229-7c19-44ef-85c6-29e00edf66cf; Unit Price=153.5247999759; ERP=2.573590305; BenefitType=Charge; CDN=CDN</t>
  </si>
  <si>
    <t>{
  "Organization Name": "PT Nawa Darsana Teknologi",
  "Publisher": "Microsoft",
  "Publisher Customer ID": "346fa229-7c19-44ef-85c6-29e00edf66cf",
  "Unit Price": "2456.3968",
  "ERP": "322.9847781446",
  "BenefitType": "Charge",
  "Frontdoor": "9-MD",
  "San Marino": "San Marino"
}</t>
  </si>
  <si>
    <t>Organization Name=PT Nawa Darsana Teknologi; Publisher=Microsoft; Publisher Customer ID=346fa229-7c19-44ef-85c6-29e00edf66cf; Unit Price=2456.3968; ERP=322.9847781446; BenefitType=Charge; Frontdoor=9-MD; San Marino=San Marino</t>
  </si>
  <si>
    <t>{
  "Organization Name": "PT Nawa Darsana Teknologi",
  "Publisher": "Microsoft",
  "Publisher Customer ID": "346fa229-7c19-44ef-85c6-29e00edf66cf",
  "Unit Price": "230.2872",
  "ERP": "2514.3175182554",
  "BenefitType": "Charge",
  "Frontdoor": "9-MD",
  "San Marino": "San Marino"
}</t>
  </si>
  <si>
    <t>Organization Name=PT Nawa Darsana Teknologi; Publisher=Microsoft; Publisher Customer ID=346fa229-7c19-44ef-85c6-29e00edf66cf; Unit Price=230.2872; ERP=2514.3175182554; BenefitType=Charge; Frontdoor=9-MD; San Marino=San Marino</t>
  </si>
  <si>
    <t>{
  "Organization Name": "PT Nawa Darsana Teknologi",
  "Publisher": "Microsoft",
  "Publisher Customer ID": "346fa229-7c19-44ef-85c6-29e00edf66cf",
  "Unit Price": "1266.5795999994",
  "ERP": "3644.8063398318",
  "BenefitType": "Charge",
  "Frontdoor": "9-MD",
  "San Marino": "San Marino"
}</t>
  </si>
  <si>
    <t>Organization Name=PT Nawa Darsana Teknologi; Publisher=Microsoft; Publisher Customer ID=346fa229-7c19-44ef-85c6-29e00edf66cf; Unit Price=1266.5795999994; ERP=3644.8063398318; BenefitType=Charge; Frontdoor=9-MD; San Marino=San Marino</t>
  </si>
  <si>
    <t>{
  "Organization Name": "PT Nawa Darsana Teknologi",
  "Publisher": "Microsoft",
  "Publisher Customer ID": "346fa229-7c19-44ef-85c6-29e00edf66cf",
  "Unit Price": "921.1488",
  "ERP": "26.6094295038",
  "BenefitType": "Charge",
  "Frontdoor": "9-MD",
  "San Marino": "San Marino"
}</t>
  </si>
  <si>
    <t>Organization Name=PT Nawa Darsana Teknologi; Publisher=Microsoft; Publisher Customer ID=346fa229-7c19-44ef-85c6-29e00edf66cf; Unit Price=921.1488; ERP=26.6094295038; BenefitType=Charge; Frontdoor=9-MD; San Marino=San Marino</t>
  </si>
  <si>
    <t>{
  "Organization Name": "PT Nawa Darsana Teknologi",
  "Publisher": "Microsoft",
  "Publisher Customer ID": "346fa229-7c19-44ef-85c6-29e00edf66cf",
  "Unit Price": "1228.1983989744",
  "ERP": "0.1190218458",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</si>
  <si>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Price=1228.1983989744; ERP=0.1190218458;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</si>
  <si>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"1228.198399525",
  "ERP": "1.3224294798",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</si>
  <si>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Price=1228.198399525; ERP=1.3224294798;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</si>
  <si>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"1228.1983996501",
  "ERP": "4.8471216222",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</si>
  <si>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Price=1228.1983996501; ERP=4.8471216222;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</si>
  <si>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"1228.1983999999",
  "ERP": "38552.4997390962",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</si>
  <si>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Price=1228.1983999999; ERP=38552.4997390962;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</si>
  <si>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"1228.1983992788",
  "ERP": "4.033741998",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</si>
  <si>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Price=1228.1983992788; ERP=4.033741998;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</si>
  <si>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"1228.1983980071",
  "ERP": "0.0035973652",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</si>
  <si>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Price=1228.1983980071; ERP=0.0035973652;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</si>
  <si>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"1228.1983992053",
  "ERP": "3.806621247",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</si>
  <si>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Price=1228.1983992053; ERP=3.806621247;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</si>
  <si>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"1228.1984",
  "ERP": "10.5190447648",
  "BenefitType": "Charge",
  "Frontdoor": "9-MD",
  "San Marino": "San Marino"
}</t>
  </si>
  <si>
    <t>Organization Name=PT Nawa Darsana Teknologi; Publisher=Microsoft; Publisher Customer ID=346fa229-7c19-44ef-85c6-29e00edf66cf; Unit Price=1228.1984; ERP=10.5190447648; BenefitType=Charge; Frontdoor=9-MD; San Marino=San Marino</t>
  </si>
  <si>
    <t>{
  "Organization Name": "PT Nawa Darsana Teknologi",
  "Publisher": "Microsoft",
  "Publisher Customer ID": "346fa229-7c19-44ef-85c6-29e00edf66cf",
  "Unit Price": "3838.12",
  "ERP": "4143.503507",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</si>
  <si>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ERP=4143.503507;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</si>
  <si>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"726.9268435",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</si>
  <si>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ERP=726.9268435;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</si>
  <si>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"2035.4030125",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</si>
  <si>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ERP=2035.4030125;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</si>
  <si>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"1266.5795999998",
  "ERP": "8929.5117772432",
  "BenefitType": "Charge",
  "Frontdoor": "9-MD",
  "San Marino": "San Marino"
}</t>
  </si>
  <si>
    <t>Organization Name=PT Nawa Darsana Teknologi; Publisher=Microsoft; Publisher Customer ID=346fa229-7c19-44ef-85c6-29e00edf66cf; Unit Price=1266.5795999998; ERP=8929.5117772432; BenefitType=Charge; Frontdoor=9-MD; San Marino=San Marino</t>
  </si>
  <si>
    <t>{
  "Organization Name": "PT Nawa Darsana Teknologi",
  "Publisher": "Microsoft",
  "Publisher Customer ID": "346fa229-7c19-44ef-85c6-29e00edf66cf",
  "Unit Price": "369.994768",
  "ERP": "123.35961924",
  "BenefitType": "Charge",
  "Frontdoor": "9-MD",
  "San Marino": "San Marino"
}</t>
  </si>
  <si>
    <t>Organization Name=PT Nawa Darsana Teknologi; Publisher=Microsoft; Publisher Customer ID=346fa229-7c19-44ef-85c6-29e00edf66cf; Unit Price=369.994768; ERP=123.35961924; BenefitType=Charge; Frontdoor=9-MD; San Marino=San Marino</t>
  </si>
  <si>
    <t>Zenobia</t>
  </si>
  <si>
    <t>{
  "Organization Name": "PT Nawa Darsana Teknologi",
  "Publisher": "Microsoft",
  "Publisher Customer ID": "346fa229-7c19-44ef-85c6-29e00edf66cf",
  "Unit Price": "1535.248",
  "ERP": "1297935.0107829534",
  "BenefitType": "Charge",
  "MD": "9MD",
  "Product": "DA",
  "San Marino": "San Marino",
  "Shared": "true"
}</t>
  </si>
  <si>
    <t>Organization Name=PT Nawa Darsana Teknologi; Publisher=Microsoft; Publisher Customer ID=346fa229-7c19-44ef-85c6-29e00edf66cf; Unit Price=1535.248; ERP=1297935.0107829534; BenefitType=Charge; MD=9MD; Product=DA; San Marino=San Marino; Shared=true</t>
  </si>
  <si>
    <t>{
  "Organization Name": "PT Nawa Darsana Teknologi",
  "Publisher": "Microsoft",
  "Publisher Customer ID": "346fa229-7c19-44ef-85c6-29e00edf66cf",
  "Unit Price": "1704.1997244542",
  "ERP": "432.6988427476",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</si>
  <si>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Price=1704.1997244542; ERP=432.6988427476;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</si>
  <si>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"1842.2975999909",
  "ERP": "470.003430897",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</si>
  <si>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Price=1842.2975999909; ERP=470.003430897;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</si>
  <si>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"153.5247999058",
  "ERP": "1.0875156006",
  "BenefitType": "Charge",
  "CDN": "CDN"
}</t>
  </si>
  <si>
    <t>Organization Name=PT Nawa Darsana Teknologi; Publisher=Microsoft; Publisher Customer ID=346fa229-7c19-44ef-85c6-29e00edf66cf; Unit Price=153.5247999058; ERP=1.0875156006; BenefitType=Charge; CDN=CDN</t>
  </si>
  <si>
    <t>Standard Overage LB Rules and Outbound Rules</t>
  </si>
  <si>
    <t>1/Hour</t>
  </si>
  <si>
    <t>{
  "Organization Name": "PT Nawa Darsana Teknologi",
  "Publisher": "Microsoft",
  "Publisher Customer ID": "346fa229-7c19-44ef-85c6-29e00edf66cf",
  "Unit Price": "153.5248",
  "ERP": "778789.44",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</si>
  <si>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Price=153.5248; ERP=778789.44;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</si>
  <si>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"1694.1429197904",
  "ERP": "297.4925486104",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</si>
  <si>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Price=1694.1429197904; ERP=297.4925486104;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</si>
  <si>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"1725.9906786219",
  "ERP": "181.9803216088",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</si>
  <si>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Price=1725.9906786219; ERP=181.9803216088;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</si>
  <si>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"1842.2975999867",
  "ERP": "28.7732917758",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</si>
  <si>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Price=1842.2975999867; ERP=28.7732917758;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</si>
  <si>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"1842.2975999942",
  "ERP": "487.5321127248",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</si>
  <si>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Price=1842.2975999942; ERP=487.5321127248;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</si>
  <si>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"784852.143075",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</si>
  <si>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ERP=784852.143075;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</si>
  <si>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"12794.050269",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</si>
  <si>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Price=3838.12; ERP=12794.050269;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</si>
  <si>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"1842.2975989068",
  "ERP": "0.2930247606",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</si>
  <si>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Price=1842.2975989068; ERP=0.2930247606;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</si>
  <si>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"1842.2975999832",
  "ERP": "301.4876808658",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</si>
  <si>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Price=1842.2975999832; ERP=301.4876808658;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</si>
  <si>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"3838.12",
  "ERP": "2762.338579",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</si>
  <si>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Price=3838.12; ERP=2762.338579;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</si>
  <si>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"1842.2975999812",
  "ERP": "235.1683221316",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</si>
  <si>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Price=1842.2975999812; ERP=235.1683221316;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</si>
  <si>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"1842.2975999969",
  "ERP": "1284.2777069122",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</si>
  <si>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Price=1842.2975999969; ERP=1284.2777069122;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</si>
  <si>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serrulata</t>
  </si>
  <si>
    <t>haapalaite</t>
  </si>
  <si>
    <t>{
  "Organization Name": "PT Nawa Darsana Teknologi",
  "Publisher": "Microsoft",
  "Publisher Customer ID": "346fa229-7c19-44ef-85c6-29e00edf66cf",
  "Unit Price": "76.7624",
  "ERP": "7573.0346733756",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</si>
  <si>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Price=76.7624; ERP=7573.0346733756; BenefitType=Charge; aks-managed-cluster-name=zenobia; aks-managed-cluster-rg=rg-zenobia; MD=9MD; Product=DA; San Marino=San Marino; Shared=true</t>
  </si>
  <si>
    <t>zenobia-ip</t>
  </si>
  <si>
    <t>{
  "Organization Name": "PT Nawa Darsana Teknologi",
  "Publisher": "Microsoft",
  "Publisher Customer ID": "346fa229-7c19-44ef-85c6-29e00edf66cf",
  "Unit Price": "76.7624",
  "ERP": "64899.12",
  "BenefitType": "Charge"
}</t>
  </si>
  <si>
    <t>Organization Name=PT Nawa Darsana Teknologi; Publisher=Microsoft; Publisher Customer ID=346fa229-7c19-44ef-85c6-29e00edf66cf; Unit Price=76.7624; ERP=64899.12; BenefitType=Charge</t>
  </si>
  <si>
    <t>{
  "Organization Name": "PT Nawa Darsana Teknologi",
  "Publisher": "Microsoft",
  "Publisher Customer ID": "346fa229-7c19-44ef-85c6-29e00edf66cf",
  "Unit Price": "153.5247999549",
  "ERP": "0.0990444312",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</si>
  <si>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Price=153.5247999549; ERP=0.0990444312;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</si>
  <si>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"153.5248",
  "ERP": "2335.409199981",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</si>
  <si>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Price=153.5248; ERP=2335.409199981;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</si>
  <si>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"153.5247999948",
  "ERP": "25.6625304078",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</si>
  <si>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Price=153.5247999948; ERP=25.6625304078;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</si>
  <si>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"153.5247995777",
  "ERP": "0.0386847604",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</si>
  <si>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Price=153.5247995777; ERP=0.0386847604;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</si>
  <si>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"153.5247999897",
  "ERP": "5.835503817",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</si>
  <si>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Price=153.5247999897; ERP=5.835503817;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</si>
  <si>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"153.5247999869",
  "ERP": "0.8484548072",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</si>
  <si>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Price=153.5247999869; ERP=0.8484548072;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</si>
  <si>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"153.5247999505",
  "ERP": "1.6578183622",
  "BenefitType": "Charge",
  "CDN": "CDN"
}</t>
  </si>
  <si>
    <t>Organization Name=PT Nawa Darsana Teknologi; Publisher=Microsoft; Publisher Customer ID=346fa229-7c19-44ef-85c6-29e00edf66cf; Unit Price=153.5247999505; ERP=1.6578183622; BenefitType=Charge; CDN=CDN</t>
  </si>
  <si>
    <t>zenobia</t>
  </si>
  <si>
    <t>{
  "Organization Name": "PT Nawa Darsana Teknologi",
  "Publisher": "Microsoft",
  "Publisher Customer ID": "346fa229-7c19-44ef-85c6-29e00edf66cf",
  "Unit Price": "230287.1999999972",
  "ERP": "261689.9999982554",
  "BenefitType": "Charge",
  "MD": "Shared",
  "Product": "DA"
}</t>
  </si>
  <si>
    <t>Organization Name=PT Nawa Darsana Teknologi; Publisher=Microsoft; Publisher Customer ID=346fa229-7c19-44ef-85c6-29e00edf66cf; Unit Price=230287.1999999972; ERP=261689.9999982554; BenefitType=Charge; MD=Shared; Product=DA</t>
  </si>
  <si>
    <t>0369c61a-95c2-43e0-8b57-3ed9f3760300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</si>
  <si>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"Zenobia",
  "aks-managed-cluster-rg": "rg-zenobia",
  "aks-managed-type": "aks-slb-managed-outbound-ip",
  "MD": "9MD",
  "Product": "DA",
  "San Marino": "San Marino",
  "Shared": "true"
}</t>
  </si>
  <si>
    <t>Organization Name=PT Nawa Darsana Teknologi; Publisher=Microsoft; Publisher Customer ID=346fa229-7c19-44ef-85c6-29e00edf66cf; Unit Price=76.7624; ERP=64899.12; BenefitType=Charge; aks-managed-cluster-name=Zenobia; aks-managed-cluster-rg=rg-zenobia; aks-managed-type=aks-slb-managed-outbound-ip; MD=9MD; Product=DA; San Marino=San Marino; Shared=true</t>
  </si>
  <si>
    <t>kubernetes-a94a6add42ea54084a6ada86ffd9019c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</si>
  <si>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"zenobia",
  "aks-managed-cluster-rg": "rg-zenobia",
  "k8s-azure-cluster-name": "kubernetes",
  "k8s-azure-service": "chatgpt/custom-ingress-ingress-nginx-controller",
  "MD": "9MD",
  "Product": "DA",
  "San Marino": "San Marino",
  "Shared": "true"
}</t>
  </si>
  <si>
    <t>Organization Name=PT Nawa Darsana Teknologi; Publisher=Microsoft; Publisher Customer ID=346fa229-7c19-44ef-85c6-29e00edf66cf; Unit Price=76.7624; ERP=64899.12; BenefitType=Charge; aks-managed-cluster-name=zenobia; aks-managed-cluster-rg=rg-zenobia; k8s-azure-cluster-name=kubernetes; k8s-azure-service=chatgpt/custom-ingress-ingress-nginx-controller; MD=9MD; Product=DA; San Marino=San Marino; Shared=true</t>
  </si>
  <si>
    <t>{
  "Organization Name": "PT Nawa Darsana Teknologi",
  "Publisher": "Microsoft",
  "Publisher Customer ID": "346fa229-7c19-44ef-85c6-29e00edf66cf",
  "Unit Price": "1842.2975999925",
  "ERP": "202.1799354432",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</si>
  <si>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Price=1842.2975999925; ERP=202.1799354432;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</si>
  <si>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"1842.2975999881",
  "ERP": "230.7083324832",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</si>
  <si>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Price=1842.2975999881; ERP=230.7083324832;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</si>
  <si>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"1842.2975999986",
  "ERP": "2651.7798192028",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</si>
  <si>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Price=1842.2975999986; ERP=2651.7798192028;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</si>
  <si>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"1693.8685837239",
  "ERP": "199.0112184632",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</si>
  <si>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Price=1693.8685837239; ERP=199.0112184632;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</si>
  <si>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"153.5247999994",
  "ERP": "614.4407647664",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</si>
  <si>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Price=153.5247999994; ERP=614.4407647664;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</si>
  <si>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"153.524799995",
  "ERP": "1.3153289578",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</si>
  <si>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Price=153.524799995; ERP=1.3153289578;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</si>
  <si>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"153.5247999995",
  "ERP": "229.429955898",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</si>
  <si>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Price=153.5247999995; ERP=229.429955898;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</si>
  <si>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"1071.9154327559",
  "ERP": "151.9447733518",
  "BenefitType": "Charge",
  "aks-managed-consolidated-additional-properties": "629c2245-c12e-11f0-9ecd-06b0a643659e",
  "aks-managed-creationSource": "vmssclient-aks-systemeph-33467302-vmss",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"systemeph",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</si>
  <si>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Price=1071.9154327559; ERP=151.9447733518;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</si>
  <si>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"1013.4676347284",
  "ERP": "77.2239321854",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</si>
  <si>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Price=1013.4676347284; ERP=77.2239321854;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</si>
  <si>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"153.5247999994",
  "ERP": "153.3638937974",
  "BenefitType": "Charge",
  "aks-managed-consolidated-additional-properties": "629c2245-c12e-11f0-9ecd-06b0a643659e",
  "aks-managed-creationSource": "vmssclient-aks-systemeph-33467302-vmss",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"systemeph",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</si>
  <si>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Price=153.5247999994; ERP=153.3638937974;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</si>
  <si>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"153.5247999998",
  "ERP": "417.6730844572",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</si>
  <si>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Price=153.5247999998; ERP=417.6730844572;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</si>
  <si>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"153.5247999996",
  "ERP": "414.4857874872",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</si>
  <si>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Price=153.5247999996; ERP=414.4857874872;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</si>
  <si>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"2063.7271657288",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</si>
  <si>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Price=153.5247999999; ERP=2063.7271657288;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</si>
  <si>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"153.5247999998",
  "ERP": "413.3002218774",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</si>
  <si>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Price=153.5247999998; ERP=413.3002218774;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</si>
  <si>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"1228.1983999933",
  "ERP": "475.2212957206",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</si>
  <si>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Price=1228.1983999933; ERP=475.2212957206;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</si>
  <si>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"1028.8070779217",
  "ERP": "192.4848774706",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</si>
  <si>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Price=1028.8070779217; ERP=192.4848774706;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</si>
  <si>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"1228.1983999828",
  "ERP": "94.9326392872",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</si>
  <si>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Price=1228.1983999828; ERP=94.9326392872;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</si>
  <si>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"1228.1983999914",
  "ERP": "99.349491956",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</si>
  <si>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Price=1228.1983999914; ERP=99.349491956;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</si>
  <si>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aks-access-to-aks-zenobia</t>
  </si>
  <si>
    <t>{
  "Organization Name": "PT Nawa Darsana Teknologi",
  "Publisher": "Microsoft",
  "Publisher Customer ID": "346fa229-7c19-44ef-85c6-29e00edf66cf",
  "Unit Price": "1228.1983999416",
  "ERP": "8.7001335278",
  "BenefitType": "Charge",
  "CDN": "CDN"
}</t>
  </si>
  <si>
    <t>Organization Name=PT Nawa Darsana Teknologi; Publisher=Microsoft; Publisher Customer ID=346fa229-7c19-44ef-85c6-29e00edf66cf; Unit Price=1228.1983999416; ERP=8.7001335278; BenefitType=Charge; CDN=CDN</t>
  </si>
  <si>
    <t>{
  "Organization Name": "PT Nawa Darsana Teknologi",
  "Publisher": "Microsoft",
  "Publisher Customer ID": "346fa229-7c19-44ef-85c6-29e00edf66cf",
  "Unit Price": "397.629232",
  "ERP": "525.5935467354",
  "BenefitType": "Charge",
  "Frontdoor": "9-MD",
  "San Marino": "San Marino"
}</t>
  </si>
  <si>
    <t>Organization Name=PT Nawa Darsana Teknologi; Publisher=Microsoft; Publisher Customer ID=346fa229-7c19-44ef-85c6-29e00edf66cf; Unit Price=397.629232; ERP=525.5935467354; BenefitType=Charge; Frontdoor=9-MD; San Marino=San Marino</t>
  </si>
  <si>
    <t>{
  "Organization Name": "PT Nawa Darsana Teknologi",
  "Publisher": "Microsoft",
  "Publisher Customer ID": "346fa229-7c19-44ef-85c6-29e00edf66cf",
  "Unit Price": "2149.3472",
  "ERP": "1304.4174582868",
  "BenefitType": "Charge",
  "Frontdoor": "9-MD",
  "San Marino": "San Marino"
}</t>
  </si>
  <si>
    <t>Organization Name=PT Nawa Darsana Teknologi; Publisher=Microsoft; Publisher Customer ID=346fa229-7c19-44ef-85c6-29e00edf66cf; Unit Price=2149.3472; ERP=1304.4174582868; BenefitType=Charge; Frontdoor=9-MD; San Marino=San Marino</t>
  </si>
  <si>
    <t>{
  "Organization Name": "PT Nawa Darsana Teknologi",
  "Publisher": "Microsoft",
  "Publisher Customer ID": "346fa229-7c19-44ef-85c6-29e00edf66cf",
  "Unit Price": "1228.1983991983",
  "ERP": "3.9364491452",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</si>
  <si>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Price=1228.1983991983; ERP=3.9364491452;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</si>
  <si>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"1228.1983991962",
  "ERP": "0.9237377864",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</si>
  <si>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Price=1228.1983991962; ERP=0.9237377864;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</si>
  <si>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"1228.1983992443",
  "ERP": "1.2274953262",
  "BenefitType": "Charge",
  "aks-managed-consolidated-additional-properties": "629c2814-c12e-11f0-9ecd-06b0a643659e",
  "aks-managed-creationSource": "vmssclient-aks-usereph-32964874-vmss",
  "aks-managed-enable-imds-restriction": "False",
  "aks-managed-kubeletIdentityClientID": "4409dc29-d62e-4794-8741-ad0b30e1a65c",
  "aks-managed-operationID": "8e79d3ef-cb1b-4ac2-95a5-6d832a31036f",
  "aks-managed-orchestrator": "Kubernetes:1.33.5",
  "aks-managed-poolName": "usereph",
  "aks-managed-resourceNameSuffix": "38765934.0",
  "aks-managed-ssh-access": "LocalUser",
  "compute.aks.billing": "true"
}</t>
  </si>
  <si>
    <t>Organization Name=PT Nawa Darsana Teknologi; Publisher=Microsoft; Publisher Customer ID=346fa229-7c19-44ef-85c6-29e00edf66cf; Unit Price=1228.1983992443; ERP=1.2274953262;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</t>
  </si>
  <si>
    <t>{
  "Organization Name": "PT Nawa Darsana Teknologi",
  "Publisher": "Microsoft",
  "Publisher Customer ID": "346fa229-7c19-44ef-85c6-29e00edf66cf",
  "Unit Price": "153.5247976694",
  "ERP": "0.0711918922",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</si>
  <si>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Price=153.5247976694; ERP=0.0711918922;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</si>
  <si>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"1719.47776",
  "ERP": "834.8195997856",
  "BenefitType": "Charge",
  "Frontdoor": "9-MD",
  "San Marino": "San Marino"
}</t>
  </si>
  <si>
    <t>Organization Name=PT Nawa Darsana Teknologi; Publisher=Microsoft; Publisher Customer ID=346fa229-7c19-44ef-85c6-29e00edf66cf; Unit Price=1719.47776; ERP=834.8195997856; BenefitType=Charge; Frontdoor=9-MD; San Marino=San Marino</t>
  </si>
  <si>
    <t>{
  "Organization Name": "PT Nawa Darsana Teknologi",
  "Publisher": "Microsoft",
  "Publisher Customer ID": "346fa229-7c19-44ef-85c6-29e00edf66cf",
  "Unit Price": "153.5247999631",
  "ERP": "1.0386231856",
  "BenefitType": "Charge",
  "CDN": "CDN"
}</t>
  </si>
  <si>
    <t>Organization Name=PT Nawa Darsana Teknologi; Publisher=Microsoft; Publisher Customer ID=346fa229-7c19-44ef-85c6-29e00edf66cf; Unit Price=153.5247999631; ERP=1.0386231856; BenefitType=Charge; CDN=CDN</t>
  </si>
  <si>
    <t>{
  "Organization Name": "PT Nawa Darsana Teknologi",
  "Publisher": "Microsoft",
  "Publisher Customer ID": "346fa229-7c19-44ef-85c6-29e00edf66cf",
  "Unit Price": "0.383812",
  "ERP": "324.4956",
  "BenefitType": "Charge"
}</t>
  </si>
  <si>
    <t>Organization Name=PT Nawa Darsana Teknologi; Publisher=Microsoft; Publisher Customer ID=346fa229-7c19-44ef-85c6-29e00edf66cf; Unit Price=0.383812; ERP=324.4956; BenefitType=Charge</t>
  </si>
  <si>
    <t>{
  "Organization Name": "PT Nawa Darsana Teknologi",
  "Publisher": "Microsoft",
  "Publisher Customer ID": "346fa229-7c19-44ef-85c6-29e00edf66cf",
  "Unit Price": "153.5247999999",
  "ERP": "2654.57882404",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</si>
  <si>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Price=153.5247999999; ERP=2654.57882404;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</si>
  <si>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"2377.1581935474",
  "ERP": "8722.9999982554",
  "BenefitType": "Charge"
}</t>
  </si>
  <si>
    <t>Organization Name=PT Nawa Darsana Teknologi; Publisher=Microsoft; Publisher Customer ID=346fa229-7c19-44ef-85c6-29e00edf66cf; Unit Price=2377.1581935474; ERP=8722.9999982554; BenefitType=Charge</t>
  </si>
  <si>
    <t>giant</t>
  </si>
  <si>
    <t>Blob Storage</t>
  </si>
  <si>
    <t>Hot LRS Write Operations</t>
  </si>
  <si>
    <t>tokyoo</t>
  </si>
  <si>
    <t>{
  "Organization Name": "PT Nawa Darsana Teknologi",
  "Publisher": "Microsoft",
  "Publisher Customer ID": "346fa229-7c19-44ef-85c6-29e00edf66cf",
  "Unit Price": "767.624",
  "ERP": "11205276.021938255",
  "BenefitType": "Charge",
  "Environment": "Security-Operasional",
  "purpose": "Logs"
}</t>
  </si>
  <si>
    <t>Organization Name=PT Nawa Darsana Teknologi; Publisher=Microsoft; Publisher Customer ID=346fa229-7c19-44ef-85c6-29e00edf66cf; Unit Price=767.624; ERP=11205276.021938255; BenefitType=Charge; Environment=Security-Operasional; purpose=Logs</t>
  </si>
  <si>
    <t>fruitbasket</t>
  </si>
  <si>
    <t>{
  "Organization Name": "PT Nawa Darsana Teknologi",
  "Publisher": "Microsoft",
  "Publisher Customer ID": "346fa229-7c19-44ef-85c6-29e00edf66cf",
  "Unit Price": "1842.2976",
  "ERP": "1948847.99963568",
  "BenefitType": "Charge",
  "Environment": "CE"
}</t>
  </si>
  <si>
    <t>Organization Name=PT Nawa Darsana Teknologi; Publisher=Microsoft; Publisher Customer ID=346fa229-7c19-44ef-85c6-29e00edf66cf; Unit Price=1842.2976; ERP=1948847.99963568; BenefitType=Charge; Environment=CE</t>
  </si>
  <si>
    <t>{
  "Organization Name": "PT Nawa Darsana Teknologi",
  "Publisher": "Microsoft",
  "Publisher Customer ID": "346fa229-7c19-44ef-85c6-29e00edf66cf",
  "Unit Price": "1585.0590870614",
  "ERP": "34581871.954398625",
  "BenefitType": "Charge",
  "Frontdoor": "9-MD",
  "San Marino": "San Marino"
}</t>
  </si>
  <si>
    <t>Organization Name=PT Nawa Darsana Teknologi; Publisher=Microsoft; Publisher Customer ID=346fa229-7c19-44ef-85c6-29e00edf66cf; Unit Price=1585.0590870614; ERP=34581871.954398625; BenefitType=Charge; Frontdoor=9-MD; San Marino=San Marino</t>
  </si>
  <si>
    <t>mc_rg-sinsen_sindora_southeastasia</t>
  </si>
  <si>
    <t>aks-systemeph2-13731054-vmss</t>
  </si>
  <si>
    <t>{
  "Organization Name": "PT Nawa Darsana Teknologi",
  "Publisher": "Microsoft",
  "Publisher Customer ID": "346fa229-7c19-44ef-85c6-29e00edf66cf",
  "Unit Price": "153.5247999791",
  "ERP": "18.977540725",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</si>
  <si>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Price=153.5247999791; ERP=18.977540725;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</si>
  <si>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MC_RG-SINSEN_SINDORA_SOUTHEASTASIA</t>
  </si>
  <si>
    <t>aks-usereph2-34334888-vmss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</si>
  <si>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</si>
  <si>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</si>
  <si>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"1011.6889311008",
  "ERP": "91.2713659",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</si>
  <si>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Price=1011.6889311008; ERP=91.2713659;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</si>
  <si>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{
  "Organization Name": "PT Nawa Darsana Teknologi",
  "Publisher": "Microsoft",
  "Publisher Customer ID": "346fa229-7c19-44ef-85c6-29e00edf66cf",
  "Unit Price": "1228.1983999982",
  "ERP": "1784.6086030058",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</si>
  <si>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Price=1228.1983999982; ERP=1784.6086030058;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</si>
  <si>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aks-monitoring-27653289-vmss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</si>
  <si>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</si>
  <si>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</si>
  <si>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"1228.1983990933",
  "ERP": "0.8298346914",
  "BenefitType": "Charge",
  "aks-managed-consolidated-additional-properties": "d850f3be-ea1d-11f0-b144-4e2f7d5605b9",
  "aks-managed-creationSource": "vmssclient-aks-monitoring-27653289-vmss",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"monitoring",
  "aks-managed-resourceNameSuffix": "55015173.0",
  "aks-managed-ssh-access": "LocalUser",
  "purpose": "monitoring"
}</t>
  </si>
  <si>
    <t>Organization Name=PT Nawa Darsana Teknologi; Publisher=Microsoft; Publisher Customer ID=346fa229-7c19-44ef-85c6-29e00edf66cf; Unit Price=1228.1983990933; ERP=0.8298346914; BenefitType=Charge; aks-managed-consolidated-additional-properties=d850f3be-ea1d-11f0-b144-4e2f7d5605b9; aks-managed-creationSource=vmssclient-aks-monitoring-27653289-vmss; aks-managed-enable-imds-restriction=False; aks-managed-kubeletIdentityClientID=66304d1c-688a-462f-a28a-cef42329c4d2; aks-managed-operationID=59c4ae46-c1cf-4881-8e43-9a537a2059b4; aks-managed-orchestrator=Kubernetes:1.33.5; aks-managed-poolName=monitoring; aks-managed-resourceNameSuffix=55015173.0; aks-managed-ssh-access=LocalUser; purpose=monitoring</t>
  </si>
  <si>
    <t>{
  "Organization Name": "PT Nawa Darsana Teknologi",
  "Publisher": "Microsoft",
  "Publisher Customer ID": "346fa229-7c19-44ef-85c6-29e00edf66cf",
  "Unit Price": "153.5247999982",
  "ERP": "41.6995583004",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</si>
  <si>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Price=153.5247999982; ERP=41.6995583004;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</si>
  <si>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rg-sinsen</t>
  </si>
  <si>
    <t>{
  "Organization Name": "PT Nawa Darsana Teknologi",
  "Publisher": "Microsoft",
  "Publisher Customer ID": "346fa229-7c19-44ef-85c6-29e00edf66cf",
  "Unit Price": "2368.904172042",
  "ERP": "8722.9999982554",
  "BenefitType": "Charge",
  "Billing": "Sinsen"
}</t>
  </si>
  <si>
    <t>Organization Name=PT Nawa Darsana Teknologi; Publisher=Microsoft; Publisher Customer ID=346fa229-7c19-44ef-85c6-29e00edf66cf; Unit Price=2368.904172042; ERP=8722.9999982554; BenefitType=Charge; Billing=Sinsen</t>
  </si>
  <si>
    <t>RG-SINSEN</t>
  </si>
  <si>
    <t>sirimau</t>
  </si>
  <si>
    <t>{
  "Organization Name": "PT Nawa Darsana Teknologi",
  "Publisher": "Microsoft",
  "Publisher Customer ID": "346fa229-7c19-44ef-85c6-29e00edf66cf",
  "Unit Price": "3684.5951999998",
  "ERP": "54677.8711052002",
  "BenefitType": "Charge"
}</t>
  </si>
  <si>
    <t>Organization Name=PT Nawa Darsana Teknologi; Publisher=Microsoft; Publisher Customer ID=346fa229-7c19-44ef-85c6-29e00edf66cf; Unit Price=3684.5951999998; ERP=54677.8711052002; BenefitType=Charge</t>
  </si>
  <si>
    <t>aks-sindora-to-sql-sinonggi</t>
  </si>
  <si>
    <t>{
  "Organization Name": "PT Nawa Darsana Teknologi",
  "Publisher": "Microsoft",
  "Publisher Customer ID": "346fa229-7c19-44ef-85c6-29e00edf66cf",
  "Unit Price": "153.5248",
  "ERP": "129798.24",
  "BenefitType": "Charge",
  "Sinsen": "CE"
}</t>
  </si>
  <si>
    <t>Organization Name=PT Nawa Darsana Teknologi; Publisher=Microsoft; Publisher Customer ID=346fa229-7c19-44ef-85c6-29e00edf66cf; Unit Price=153.5248; ERP=129798.24; BenefitType=Charge; Sinsen=CE</t>
  </si>
  <si>
    <t>{
  "Organization Name": "PT Nawa Darsana Teknologi",
  "Publisher": "Microsoft",
  "Publisher Customer ID": "346fa229-7c19-44ef-85c6-29e00edf66cf",
  "Unit Price": "153.5247999999",
  "ERP": "906.8272582226",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</si>
  <si>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Price=153.5247999999; ERP=906.8272582226;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</si>
  <si>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"153.5247999999",
  "ERP": "839.175436814",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</si>
  <si>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Price=153.5247999999; ERP=839.175436814;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</si>
  <si>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"2368.904172042",
  "ERP": "8722.9999982554",
  "BenefitType": "Charge",
  "Sinsen": "CE"
}</t>
  </si>
  <si>
    <t>Organization Name=PT Nawa Darsana Teknologi; Publisher=Microsoft; Publisher Customer ID=346fa229-7c19-44ef-85c6-29e00edf66cf; Unit Price=2368.904172042; ERP=8722.9999982554; BenefitType=Charge; Sinsen=CE</t>
  </si>
  <si>
    <t>CURL-API-SINSEN</t>
  </si>
  <si>
    <t>{
  "Organization Name": "PT Nawa Darsana Teknologi",
  "Publisher": "Microsoft",
  "Publisher Customer ID": "346fa229-7c19-44ef-85c6-29e00edf66cf",
  "Unit Price": "153.5247999993",
  "ERP": "289.9831150502",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</si>
  <si>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Price=153.5247999993; ERP=289.9831150502;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</si>
  <si>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"6140.992",
  "ERP": "1137.7025088",
  "BenefitType": "Charge",
  "Billing": "Sinsen"
}</t>
  </si>
  <si>
    <t>Organization Name=PT Nawa Darsana Teknologi; Publisher=Microsoft; Publisher Customer ID=346fa229-7c19-44ef-85c6-29e00edf66cf; Unit Price=6140.992; ERP=1137.7025088; BenefitType=Charge; Billing=Sinsen</t>
  </si>
  <si>
    <t>{
  "Organization Name": "PT Nawa Darsana Teknologi",
  "Publisher": "Microsoft",
  "Publisher Customer ID": "346fa229-7c19-44ef-85c6-29e00edf66cf",
  "Unit Price": "153.5248",
  "ERP": "8875.059554075",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</si>
  <si>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Price=153.5248; ERP=8875.059554075;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</si>
  <si>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"153.5247999996",
  "ERP": "985.5111467058",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</si>
  <si>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Price=153.5247999996; ERP=985.5111467058;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</si>
  <si>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"153.5247999975",
  "ERP": "50.7012476828",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</si>
  <si>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Price=153.5247999975; ERP=50.7012476828;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</si>
  <si>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"d850f3be-ea1d-11f0-b144-4e2f7d5605b9",
  "aks-managed-creationSource": "vmssclient-aks-monitoring-27653289-vmss",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"monitoring",
  "aks-managed-resourceNameSuffix": "55015173.0",
  "aks-managed-ssh-access": "LocalUser",
  "purpose": "monitoring"
}</t>
  </si>
  <si>
    <t>Organization Name=PT Nawa Darsana Teknologi; Publisher=Microsoft; Publisher Customer ID=346fa229-7c19-44ef-85c6-29e00edf66cf; Unit Price=0.0; ERP=0.0; BenefitType=Charge; aks-managed-consolidated-additional-properties=d850f3be-ea1d-11f0-b144-4e2f7d5605b9; aks-managed-creationSource=vmssclient-aks-monitoring-27653289-vmss; aks-managed-enable-imds-restriction=False; aks-managed-kubeletIdentityClientID=66304d1c-688a-462f-a28a-cef42329c4d2; aks-managed-operationID=59c4ae46-c1cf-4881-8e43-9a537a2059b4; aks-managed-orchestrator=Kubernetes:1.33.5; aks-managed-poolName=monitoring; aks-managed-resourceNameSuffix=55015173.0; aks-managed-ssh-access=LocalUser; purpose=monitoring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</si>
  <si>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</si>
  <si>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</si>
  <si>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"153.5247999945",
  "ERP": "11.7164335288",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</si>
  <si>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Price=153.5247999945; ERP=11.7164335288;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</si>
  <si>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"153.5247999158",
  "ERP": "1.7460689532",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</si>
  <si>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Price=153.5247999158; ERP=1.7460689532;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</si>
  <si>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"153.5247966756",
  "ERP": "0.0083322096",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</si>
  <si>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Price=153.5247966756; ERP=0.0083322096;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</si>
  <si>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"1842.297599999",
  "ERP": "3986.2404199904",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</si>
  <si>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Price=1842.297599999; ERP=3986.2404199904;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</si>
  <si>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"1842.297599998",
  "ERP": "247.6760608608",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</si>
  <si>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Price=1842.297599998; ERP=247.6760608608;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</si>
  <si>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"1842.2975999136",
  "ERP": "31.5689591932",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</si>
  <si>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Price=1842.2975999136; ERP=31.5689591932;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</si>
  <si>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"1842.2968679658",
  "ERP": "0.0004326608",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</si>
  <si>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Price=1842.2968679658; ERP=0.0004326608;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</si>
  <si>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"153.5247999856",
  "ERP": "13.7061376166",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</si>
  <si>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Price=153.5247999856; ERP=13.7061376166;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</si>
  <si>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"153.5247999459",
  "ERP": "1.4684943702",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</si>
  <si>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Price=153.5247999459; ERP=1.4684943702;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</si>
  <si>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"153.5247999979",
  "ERP": "210.5283977368",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</si>
  <si>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Price=153.5247999979; ERP=210.5283977368;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</si>
  <si>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"1842.2975999276",
  "ERP": "3.7871567448",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</si>
  <si>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Price=1842.2975999276; ERP=3.7871567448;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</si>
  <si>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"6140.9919999835",
  "ERP": "1068.21858",
  "BenefitType": "Charge",
  "Sinsen": "CE"
}</t>
  </si>
  <si>
    <t>Organization Name=PT Nawa Darsana Teknologi; Publisher=Microsoft; Publisher Customer ID=346fa229-7c19-44ef-85c6-29e00edf66cf; Unit Price=6140.9919999835; ERP=1068.21858; BenefitType=Charge; Sinsen=CE</t>
  </si>
  <si>
    <t>{
  "Organization Name": "PT Nawa Darsana Teknologi",
  "Publisher": "Microsoft",
  "Publisher Customer ID": "346fa229-7c19-44ef-85c6-29e00edf66cf",
  "Unit Price": "153.5247999971",
  "ERP": "161.5407432782",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</si>
  <si>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Price=153.5247999971; ERP=161.5407432782;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</si>
  <si>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"153.5247919414",
  "ERP": "0.003070496",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</si>
  <si>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Price=153.5247919414; ERP=0.003070496;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</si>
  <si>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"153.5247999979",
  "ERP": "249.5541908002",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</si>
  <si>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Price=153.5247999979; ERP=249.5541908002;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</si>
  <si>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sunhub</t>
  </si>
  <si>
    <t>vpn-access-to-sql-sinonggi-private-endpoint</t>
  </si>
  <si>
    <t>eventhub-sunhub-to-aks-salvia-private-endpoint</t>
  </si>
  <si>
    <t>{
  "Organization Name": "PT Nawa Darsana Teknologi",
  "Publisher": "Microsoft",
  "Publisher Customer ID": "346fa229-7c19-44ef-85c6-29e00edf66cf",
  "Unit Price": "153.5248",
  "ERP": "129798.24",
  "BenefitType": "Charge",
  "Sinsen": "Sinsen"
}</t>
  </si>
  <si>
    <t>Organization Name=PT Nawa Darsana Teknologi; Publisher=Microsoft; Publisher Customer ID=346fa229-7c19-44ef-85c6-29e00edf66cf; Unit Price=153.5248; ERP=129798.24; BenefitType=Charge; Sinsen=Sinsen</t>
  </si>
  <si>
    <t>{
  "Organization Name": "PT Nawa Darsana Teknologi",
  "Publisher": "Microsoft",
  "Publisher Customer ID": "346fa229-7c19-44ef-85c6-29e00edf66cf",
  "Unit Price": "153.5247999983",
  "ERP": "2.6135207098",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</si>
  <si>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Price=153.5247999983; ERP=2.6135207098;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</si>
  <si>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"957.1361191964",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</si>
  <si>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Price=153.5247999999; ERP=957.1361191964;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</si>
  <si>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"153.5248",
  "ERP": "8057.2640000996",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</si>
  <si>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Price=153.5248; ERP=8057.2640000996;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</si>
  <si>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aks-yellow-to-database-sirimau</t>
  </si>
  <si>
    <t>redis-sindora-private-endpoint</t>
  </si>
  <si>
    <t>{
  "Organization Name": "PT Nawa Darsana Teknologi",
  "Publisher": "Microsoft",
  "Publisher Customer ID": "346fa229-7c19-44ef-85c6-29e00edf66cf",
  "Unit Price": "153.5248",
  "ERP": "129798.24",
  "BenefitType": "Charge",
  "Billing": "Sinsen"
}</t>
  </si>
  <si>
    <t>Organization Name=PT Nawa Darsana Teknologi; Publisher=Microsoft; Publisher Customer ID=346fa229-7c19-44ef-85c6-29e00edf66cf; Unit Price=153.5248; ERP=129798.24; BenefitType=Charge; Billing=Sinsen</t>
  </si>
  <si>
    <t>{
  "Organization Name": "PT Nawa Darsana Teknologi",
  "Publisher": "Microsoft",
  "Publisher Customer ID": "346fa229-7c19-44ef-85c6-29e00edf66cf",
  "Unit Price": "153.5247999994",
  "ERP": "20.9117944464",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</si>
  <si>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Price=153.5247999994; ERP=20.9117944464;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</si>
  <si>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"153.524799915",
  "ERP": "0.205644725",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</si>
  <si>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Price=153.524799915; ERP=0.205644725;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</si>
  <si>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"153.5248",
  "ERP": "12218.6329700006",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</si>
  <si>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Price=153.5248; ERP=12218.6329700006;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</si>
  <si>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"153.5248",
  "ERP": "6810.6724009324",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</si>
  <si>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Price=153.5248; ERP=6810.6724009324;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</si>
  <si>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</si>
  <si>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Price=0.0; ERP=0.0;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</si>
  <si>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"1228.1983997021",
  "ERP": "0.785802732",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</si>
  <si>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Price=1228.1983997021; ERP=0.785802732;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</si>
  <si>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"1016.7760827035",
  "ERP": "337.5407697376",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</si>
  <si>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Price=1016.7760827035; ERP=337.5407697376;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</si>
  <si>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aks-monitoring-27653aks-monitoring-276532OS__1_1932afacabd9482db961c4f869b9ba99</t>
  </si>
  <si>
    <t>{
  "Organization Name": "PT Nawa Darsana Teknologi",
  "Publisher": "Microsoft",
  "Publisher Customer ID": "346fa229-7c19-44ef-85c6-29e00edf66cf",
  "Unit Price": "302597.3807999999",
  "ERP": "279044.98875396",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</si>
  <si>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Price=302597.3807999999; ERP=279044.98875396;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</si>
  <si>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sinonggi</t>
  </si>
  <si>
    <t>{
  "Organization Name": "PT Nawa Darsana Teknologi",
  "Publisher": "Microsoft",
  "Publisher Customer ID": "346fa229-7c19-44ef-85c6-29e00edf66cf",
  "Unit Price": "230287.1999999971",
  "ERP": "260986.5322571078",
  "BenefitType": "Charge",
  "MD": "Sinsen",
  "Product": "CE",
  "Sinsen": "CE"
}</t>
  </si>
  <si>
    <t>Organization Name=PT Nawa Darsana Teknologi; Publisher=Microsoft; Publisher Customer ID=346fa229-7c19-44ef-85c6-29e00edf66cf; Unit Price=230287.1999999971; ERP=260986.5322571078; BenefitType=Charge; MD=Sinsen; Product=CE; Sinsen=CE</t>
  </si>
  <si>
    <t>{
  "Organization Name": "PT Nawa Darsana Teknologi",
  "Publisher": "Microsoft",
  "Publisher Customer ID": "346fa229-7c19-44ef-85c6-29e00edf66cf",
  "Unit Price": "1228.1983999848",
  "ERP": "21.2038369972",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</si>
  <si>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Price=1228.1983999848; ERP=21.2038369972;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</si>
  <si>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"1014.0687377768",
  "ERP": "100.1211756402",
  "BenefitType": "Charge",
  "aks-managed-consolidated-additional-properties": "d850f3be-ea1d-11f0-b144-4e2f7d5605b9",
  "aks-managed-creationSource": "vmssclient-aks-monitoring-27653289-vmss",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"monitoring",
  "aks-managed-resourceNameSuffix": "55015173.0",
  "aks-managed-ssh-access": "LocalUser",
  "purpose": "monitoring"
}</t>
  </si>
  <si>
    <t>Organization Name=PT Nawa Darsana Teknologi; Publisher=Microsoft; Publisher Customer ID=346fa229-7c19-44ef-85c6-29e00edf66cf; Unit Price=1014.0687377768; ERP=100.1211756402; BenefitType=Charge; aks-managed-consolidated-additional-properties=d850f3be-ea1d-11f0-b144-4e2f7d5605b9; aks-managed-creationSource=vmssclient-aks-monitoring-27653289-vmss; aks-managed-enable-imds-restriction=False; aks-managed-kubeletIdentityClientID=66304d1c-688a-462f-a28a-cef42329c4d2; aks-managed-operationID=59c4ae46-c1cf-4881-8e43-9a537a2059b4; aks-managed-orchestrator=Kubernetes:1.33.5; aks-managed-poolName=monitoring; aks-managed-resourceNameSuffix=55015173.0; aks-managed-ssh-access=LocalUser; purpose=monitoring</t>
  </si>
  <si>
    <t>{
  "Organization Name": "PT Nawa Darsana Teknologi",
  "Publisher": "Microsoft",
  "Publisher Customer ID": "346fa229-7c19-44ef-85c6-29e00edf66cf",
  "Unit Price": "1228.1983999973",
  "ERP": "1006.7222726418",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</si>
  <si>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Price=1228.1983999973; ERP=1006.7222726418;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</si>
  <si>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"1228.198387731",
  "ERP": "0.0170499758",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</si>
  <si>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Price=1228.198387731; ERP=0.0170499758;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</si>
  <si>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"1228.1983999934",
  "ERP": "292.724628339",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</si>
  <si>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Price=1228.1983999934; ERP=292.724628339;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</si>
  <si>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"1228.1983992511",
  "ERP": "0.8525493834",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</si>
  <si>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Price=1228.1983992511; ERP=0.8525493834;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</si>
  <si>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{
  "Organization Name": "PT Nawa Darsana Teknologi",
  "Publisher": "Microsoft",
  "Publisher Customer ID": "346fa229-7c19-44ef-85c6-29e00edf66cf",
  "Unit Price": "1228.1983999955",
  "ERP": "742.61271656",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</si>
  <si>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Price=1228.1983999955; ERP=742.61271656;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</si>
  <si>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"1228.1983999935",
  "ERP": "113.3262187772",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</si>
  <si>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Price=1228.1983999935; ERP=113.3262187772;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</si>
  <si>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"153.5247999832",
  "ERP": "1.1977498962",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</si>
  <si>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Price=153.5247999832; ERP=1.1977498962;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</si>
  <si>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"4035.7017002016",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</si>
  <si>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Price=153.5247999999; ERP=4035.7017002016;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</si>
  <si>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"153.5247994427",
  "ERP": "0.031943626",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</si>
  <si>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Price=153.5247994427; ERP=0.031943626;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</si>
  <si>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"2780.91752224",
  "ERP": "1324095.956612",
  "BenefitType": "Charge"
}</t>
  </si>
  <si>
    <t>Organization Name=PT Nawa Darsana Teknologi; Publisher=Microsoft; Publisher Customer ID=346fa229-7c19-44ef-85c6-29e00edf66cf; Unit Price=2780.91752224; ERP=1324095.956612; BenefitType=Charge</t>
  </si>
  <si>
    <t>{
  "Organization Name": "PT Nawa Darsana Teknologi",
  "Publisher": "Microsoft",
  "Publisher Customer ID": "346fa229-7c19-44ef-85c6-29e00edf66cf",
  "Unit Price": "153.5247999966",
  "ERP": "20.5229126388",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</si>
  <si>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Price=153.5247999966; ERP=20.5229126388;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</si>
  <si>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"153.5247927231",
  "ERP": "0.0028925468",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</si>
  <si>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Price=153.5247927231; ERP=0.0028925468;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</si>
  <si>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"153.5247999843",
  "ERP": "6.322543799",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</si>
  <si>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Price=153.5247999843; ERP=6.322543799;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</si>
  <si>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"153.5247999892",
  "ERP": "37.9659468188",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</si>
  <si>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Price=153.5247999892; ERP=37.9659468188;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</si>
  <si>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"153.5247999724",
  "ERP": "7.4199286018",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</si>
  <si>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Price=153.5247999724; ERP=7.4199286018;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</si>
  <si>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"153.5247999972",
  "ERP": "43.0043254498",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</si>
  <si>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Price=153.5247999972; ERP=43.0043254498;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</si>
  <si>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"153.5247999902",
  "ERP": "39.7933996174",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</si>
  <si>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Price=153.5247999902; ERP=39.7933996174;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</si>
  <si>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"153.5247999973",
  "ERP": "114.8458334166",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</si>
  <si>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Price=153.5247999973; ERP=114.8458334166;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</si>
  <si>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"153.5247999824",
  "ERP": "5.163030301",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</si>
  <si>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Price=153.5247999824; ERP=5.163030301;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</si>
  <si>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{
  "Organization Name": "PT Nawa Darsana Teknologi",
  "Publisher": "Microsoft",
  "Publisher Customer ID": "346fa229-7c19-44ef-85c6-29e00edf66cf",
  "Unit Price": "1023.4395821874",
  "ERP": "73.0568730892",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</si>
  <si>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Price=1023.4395821874; ERP=73.0568730892;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</si>
  <si>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"153.5247999988",
  "ERP": "72.402897567",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</si>
  <si>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Price=153.5247999988; ERP=72.402897567;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</si>
  <si>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aks-salvia-to-sql-sinoggi</t>
  </si>
  <si>
    <t>{
  "Organization Name": "PT Nawa Darsana Teknologi",
  "Publisher": "Microsoft",
  "Publisher Customer ID": "346fa229-7c19-44ef-85c6-29e00edf66cf",
  "Unit Price": "1228.198399788",
  "ERP": "0.2095735642",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</si>
  <si>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Price=1228.198399788; ERP=0.2095735642;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</si>
  <si>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"153.5247999664",
  "ERP": "10.305674951",
  "BenefitType": "Charge",
  "Sinsen": "CE"
}</t>
  </si>
  <si>
    <t>Organization Name=PT Nawa Darsana Teknologi; Publisher=Microsoft; Publisher Customer ID=346fa229-7c19-44ef-85c6-29e00edf66cf; Unit Price=153.5247999664; ERP=10.305674951; BenefitType=Charge; Sinsen=CE</t>
  </si>
  <si>
    <t>{
  "Organization Name": "PT Nawa Darsana Teknologi",
  "Publisher": "Microsoft",
  "Publisher Customer ID": "346fa229-7c19-44ef-85c6-29e00edf66cf",
  "Unit Price": "1228.1983997941",
  "ERP": "2.7352990236",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</si>
  <si>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Price=1228.1983997941; ERP=2.7352990236;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</si>
  <si>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aks-monitoring-27653aks-monitoring-276532OS__1_0d404f4e94894528b5015a6372f260eb</t>
  </si>
  <si>
    <t>{
  "Organization Name": "PT Nawa Darsana Teknologi",
  "Publisher": "Microsoft",
  "Publisher Customer ID": "346fa229-7c19-44ef-85c6-29e00edf66cf",
  "Unit Price": "302597.3808",
  "ERP": "49.51593504",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</si>
  <si>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Price=302597.3808; ERP=49.51593504;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</si>
  <si>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"153.5247999908",
  "ERP": "23.3360958402",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</si>
  <si>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Price=153.5247999908; ERP=23.3360958402;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</si>
  <si>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"153.5247997548",
  "ERP": "0.4643183116",
  "BenefitType": "Charge",
  "Sinsen": "CE"
}</t>
  </si>
  <si>
    <t>Organization Name=PT Nawa Darsana Teknologi; Publisher=Microsoft; Publisher Customer ID=346fa229-7c19-44ef-85c6-29e00edf66cf; Unit Price=153.5247997548; ERP=0.4643183116; BenefitType=Charge; Sinsen=CE</t>
  </si>
  <si>
    <t>{
  "Organization Name": "PT Nawa Darsana Teknologi",
  "Publisher": "Microsoft",
  "Publisher Customer ID": "346fa229-7c19-44ef-85c6-29e00edf66cf",
  "Unit Price": "153.5247999995",
  "ERP": "166.2610830738",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</si>
  <si>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Price=153.5247999995; ERP=166.2610830738;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</si>
  <si>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"153.5248",
  "ERP": "36623.6489235188",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</si>
  <si>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Price=153.5248; ERP=36623.6489235188;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</si>
  <si>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"153.5248",
  "ERP": "32729.8216281322",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</si>
  <si>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Price=153.5248; ERP=32729.8216281322;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</si>
  <si>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"153.5247999684",
  "ERP": "4.2234428236",
  "BenefitType": "Charge",
  "Sinsen": "CE"
}</t>
  </si>
  <si>
    <t>Organization Name=PT Nawa Darsana Teknologi; Publisher=Microsoft; Publisher Customer ID=346fa229-7c19-44ef-85c6-29e00edf66cf; Unit Price=153.5247999684; ERP=4.2234428236; BenefitType=Charge; Sinsen=CE</t>
  </si>
  <si>
    <t>{
  "Organization Name": "PT Nawa Darsana Teknologi",
  "Publisher": "Microsoft",
  "Publisher Customer ID": "346fa229-7c19-44ef-85c6-29e00edf66cf",
  "Unit Price": "6140.992",
  "ERP": "2796.733368",
  "BenefitType": "Charge",
  "Billing": "Sinsen"
}</t>
  </si>
  <si>
    <t>Organization Name=PT Nawa Darsana Teknologi; Publisher=Microsoft; Publisher Customer ID=346fa229-7c19-44ef-85c6-29e00edf66cf; Unit Price=6140.992; ERP=2796.733368; BenefitType=Charge; Billing=Sinsen</t>
  </si>
  <si>
    <t>{
  "Organization Name": "PT Nawa Darsana Teknologi",
  "Publisher": "Microsoft",
  "Publisher Customer ID": "346fa229-7c19-44ef-85c6-29e00edf66cf",
  "Unit Price": "76.7624",
  "ERP": "234212.7705453536",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</si>
  <si>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Price=76.7624; ERP=234212.7705453536;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</si>
  <si>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"0.0",
  "ERP": "4.4522192",
  "BenefitType": "Charge"
}</t>
  </si>
  <si>
    <t>Organization Name=PT Nawa Darsana Teknologi; Publisher=Microsoft; Publisher Customer ID=346fa229-7c19-44ef-85c6-29e00edf66cf; Unit Price=0.0; ERP=4.4522192; BenefitType=Charge</t>
  </si>
  <si>
    <t>api-curl-sinsen</t>
  </si>
  <si>
    <t>{
  "Organization Name": "PT Nawa Darsana Teknologi",
  "Publisher": "Microsoft",
  "Publisher Customer ID": "346fa229-7c19-44ef-85c6-29e00edf66cf",
  "Unit Price": "153.5247999941",
  "ERP": "63.6999726792",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</si>
  <si>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Price=153.5247999941; ERP=63.6999726792;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</si>
  <si>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"153.5247999378",
  "ERP": "0.1525425902",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</si>
  <si>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Price=153.5247999378; ERP=0.1525425902;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</si>
  <si>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"153.5247999971",
  "ERP": "33.834693893",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</si>
  <si>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Price=153.5247999971; ERP=33.834693893;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</si>
  <si>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</si>
  <si>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Price=0.0; ERP=0.0;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</si>
  <si>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aks-monitoring-27653aks-monitoring-276532disk1_466fc1be1d924fba80e9283ba758bc62</t>
  </si>
  <si>
    <t>{
  "Organization Name": "PT Nawa Darsana Teknologi",
  "Publisher": "Microsoft",
  "Publisher Customer ID": "346fa229-7c19-44ef-85c6-29e00edf66cf",
  "Unit Price": "302597.3808",
  "ERP": "277.15169196",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</si>
  <si>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Price=302597.3808; ERP=277.15169196;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</si>
  <si>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"153.5247999998",
  "ERP": "1911.030051073",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</si>
  <si>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Price=153.5247999998; ERP=1911.030051073;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</si>
  <si>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"5007.6519664314",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</si>
  <si>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Price=153.5247999999; ERP=5007.6519664314;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</si>
  <si>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"4745.799039982",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</si>
  <si>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Price=153.5247999999; ERP=4745.799039982;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</si>
  <si>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"153.5248",
  "ERP": "9753.5552253282",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</si>
  <si>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Price=153.5248; ERP=9753.5552253282;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</si>
  <si>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"153.5248",
  "ERP": "7807.1119156888",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</si>
  <si>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Price=153.5248; ERP=7807.1119156888;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</si>
  <si>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"153.5248",
  "ERP": "29623.749357631",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</si>
  <si>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Price=153.5248; ERP=29623.749357631;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</si>
  <si>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"1228.1983999933",
  "ERP": "369.0662761786",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</si>
  <si>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Price=1228.1983999933; ERP=369.0662761786;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</si>
  <si>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"1228.1964268787",
  "ERP": "7.67624e-05",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</si>
  <si>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Price=1228.1964268787; ERP=7.67624e-05;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</si>
  <si>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"1228.1983999861",
  "ERP": "217.1536837184",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</si>
  <si>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Price=1228.1983999861; ERP=217.1536837184;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</si>
  <si>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"1228.1983990925",
  "ERP": "0.878048457",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</si>
  <si>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Price=1228.1983990925; ERP=0.878048457;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</si>
  <si>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{
  "Organization Name": "PT Nawa Darsana Teknologi",
  "Publisher": "Microsoft",
  "Publisher Customer ID": "346fa229-7c19-44ef-85c6-29e00edf66cf",
  "Unit Price": "1228.1983981781",
  "ERP": "0.4030217906",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</si>
  <si>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Price=1228.1983981781; ERP=0.4030217906;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</si>
  <si>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"1228.198043016",
  "ERP": "0.0004675528",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</si>
  <si>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Price=1228.198043016; ERP=0.0004675528;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</si>
  <si>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"1228.1983999964",
  "ERP": "48.4371023136",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</si>
  <si>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Price=1228.1983999964; ERP=48.4371023136;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</si>
  <si>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"1228.1983969441",
  "ERP": "0.068702348",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</si>
  <si>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Price=1228.1983969441; ERP=0.068702348;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</si>
  <si>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"1013.7995058771",
  "ERP": "387.939714877",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</si>
  <si>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Price=1013.7995058771; ERP=387.939714877;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</si>
  <si>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"1010.9901204483",
  "ERP": "392.4368627608",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</si>
  <si>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Price=1010.9901204483; ERP=392.4368627608;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</si>
  <si>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Sindora</t>
  </si>
  <si>
    <t>{
  "Organization Name": "PT Nawa Darsana Teknologi",
  "Publisher": "Microsoft",
  "Publisher Customer ID": "346fa229-7c19-44ef-85c6-29e00edf66cf",
  "Unit Price": "1535.248",
  "ERP": "1297935.0107829534",
  "BenefitType": "Charge",
  "Environment": "Production",
  "MD": "Sinsen",
  "Product": "CE",
  "Sinsen": "CE"
}</t>
  </si>
  <si>
    <t>Organization Name=PT Nawa Darsana Teknologi; Publisher=Microsoft; Publisher Customer ID=346fa229-7c19-44ef-85c6-29e00edf66cf; Unit Price=1535.248; ERP=1297935.0107829534; BenefitType=Charge; Environment=Production; MD=Sinsen; Product=CE; Sinsen=CE</t>
  </si>
  <si>
    <t>{
  "Organization Name": "PT Nawa Darsana Teknologi",
  "Publisher": "Microsoft",
  "Publisher Customer ID": "346fa229-7c19-44ef-85c6-29e00edf66cf",
  "Unit Price": "1919.06",
  "ERP": "0.0218075",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</si>
  <si>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Price=1919.06; ERP=0.0218075;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</si>
  <si>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"1228.1983999972",
  "ERP": "1061.1571230832",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</si>
  <si>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Price=1228.1983999972; ERP=1061.1571230832;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</si>
  <si>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"1228.1983999796",
  "ERP": "85.9387151194",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</si>
  <si>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Price=1228.1983999796; ERP=85.9387151194;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</si>
  <si>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"1713.4223281715",
  "ERP": "51.8942069074",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</si>
  <si>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Price=1713.4223281715; ERP=51.8942069074;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</si>
  <si>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"1842.29759979",
  "ERP": "0.0992886752",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</si>
  <si>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Price=1842.29759979; ERP=0.0992886752;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</si>
  <si>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"1842.2975999786",
  "ERP": "161.673730647",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</si>
  <si>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Price=1842.2975999786; ERP=161.673730647;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</si>
  <si>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"1704.343021467",
  "ERP": "19.1608598038",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</si>
  <si>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Price=1704.343021467; ERP=19.1608598038;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</si>
  <si>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</si>
  <si>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Price=383.812; ERP=324495.6;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</si>
  <si>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"1842.2975996412",
  "ERP": "0.061750117",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</si>
  <si>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Price=1842.2975996412; ERP=0.061750117;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</si>
  <si>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"1842.2975999987",
  "ERP": "561.656445493",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</si>
  <si>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Price=1842.2975999987; ERP=561.656445493;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</si>
  <si>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42be0124-13e4-4728-be8d-d24e3ccc1858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</si>
  <si>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"Sindora",
  "aks-managed-cluster-rg": "rg-sinsen",
  "aks-managed-type": "aks-slb-managed-outbound-ip",
  "Environment": "Production",
  "MD": "Sinsen",
  "Product": "CE",
  "Sinsen": "CE"
}</t>
  </si>
  <si>
    <t>Organization Name=PT Nawa Darsana Teknologi; Publisher=Microsoft; Publisher Customer ID=346fa229-7c19-44ef-85c6-29e00edf66cf; Unit Price=76.7624; ERP=64899.12; BenefitType=Charge; aks-managed-cluster-name=Sindora; aks-managed-cluster-rg=rg-sinsen; aks-managed-type=aks-slb-managed-outbound-ip; Environment=Production; MD=Sinsen; Product=CE; Sinsen=CE</t>
  </si>
  <si>
    <t>{
  "Organization Name": "PT Nawa Darsana Teknologi",
  "Publisher": "Microsoft",
  "Publisher Customer ID": "346fa229-7c19-44ef-85c6-29e00edf66cf",
  "Unit Price": "2155.4881919709",
  "ERP": "42.168307896",
  "BenefitType": "Charge"
}</t>
  </si>
  <si>
    <t>Organization Name=PT Nawa Darsana Teknologi; Publisher=Microsoft; Publisher Customer ID=346fa229-7c19-44ef-85c6-29e00edf66cf; Unit Price=2155.4881919709; ERP=42.168307896; BenefitType=Charge</t>
  </si>
  <si>
    <t>kubernetes-a40ba84874f174c15bf4220eeb9a3bff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</si>
  <si>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"sindora",
  "aks-managed-cluster-rg": "rg-sinsen",
  "Environment": "Production",
  "k8s-azure-cluster-name": "kubernetes",
  "k8s-azure-service": "portainer/portainer-agent",
  "MD": "Sinsen",
  "Product": "CE",
  "Sinsen": "CE"
}</t>
  </si>
  <si>
    <t>Organization Name=PT Nawa Darsana Teknologi; Publisher=Microsoft; Publisher Customer ID=346fa229-7c19-44ef-85c6-29e00edf66cf; Unit Price=76.7624; ERP=64899.12; BenefitType=Charge; aks-managed-cluster-name=sindora; aks-managed-cluster-rg=rg-sinsen; Environment=Production; k8s-azure-cluster-name=kubernetes; k8s-azure-service=portainer/portainer-agent; MD=Sinsen; Product=CE; Sinsen=CE</t>
  </si>
  <si>
    <t>aks-monitoring-27653aks-monitoring-276532OS__1_3b3269a9079247bc809040696ddcb965</t>
  </si>
  <si>
    <t>{
  "Organization Name": "PT Nawa Darsana Teknologi",
  "Publisher": "Microsoft",
  "Publisher Customer ID": "346fa229-7c19-44ef-85c6-29e00edf66cf",
  "Unit Price": "302597.3808",
  "ERP": "462.14872704",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</si>
  <si>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Price=302597.3808; ERP=462.14872704;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</si>
  <si>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"153.5247999964",
  "ERP": "17.9116267616",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</si>
  <si>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Price=153.5247999964; ERP=17.9116267616;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</si>
  <si>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"153.5247999974",
  "ERP": "153.6448354584",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</si>
  <si>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Price=153.5247999974; ERP=153.6448354584;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</si>
  <si>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"153.5247999214",
  "ERP": "1.5368512874",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</si>
  <si>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Price=153.5247999214; ERP=1.5368512874;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</si>
  <si>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"153.5247999746",
  "ERP": "0.2255139744",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</si>
  <si>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Price=153.5247999746; ERP=0.2255139744;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</si>
  <si>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"2367.0284245894",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</si>
  <si>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Price=153.5247999999; ERP=2367.0284245894;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</si>
  <si>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"153.5247999922",
  "ERP": "2.707933228",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</si>
  <si>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Price=153.5247999922; ERP=2.707933228;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</si>
  <si>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"153.5247999995",
  "ERP": "200.2865228078",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</si>
  <si>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Price=153.5247999995; ERP=200.2865228078;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</si>
  <si>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"153.5247999974",
  "ERP": "170.1885545074",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</si>
  <si>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Price=153.5247999974; ERP=170.1885545074;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</si>
  <si>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"153.5247999985",
  "ERP": "254.164885975",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</si>
  <si>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Price=153.5247999985; ERP=254.164885975;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</si>
  <si>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"153.5247999328",
  "ERP": "6.1630838698",
  "BenefitType": "Charge",
  "Sinsen": "CE"
}</t>
  </si>
  <si>
    <t>Organization Name=PT Nawa Darsana Teknologi; Publisher=Microsoft; Publisher Customer ID=346fa229-7c19-44ef-85c6-29e00edf66cf; Unit Price=153.5247999328; ERP=6.1630838698; BenefitType=Charge; Sinsen=CE</t>
  </si>
  <si>
    <t>{
  "Organization Name": "PT Nawa Darsana Teknologi",
  "Publisher": "Microsoft",
  "Publisher Customer ID": "346fa229-7c19-44ef-85c6-29e00edf66cf",
  "Unit Price": "1228.1983976451",
  "ERP": "0.0885227486",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</si>
  <si>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Price=1228.1983976451; ERP=0.0885227486;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</si>
  <si>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"1228.1983999979",
  "ERP": "1519.2707752508",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</si>
  <si>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Price=1228.1983999979; ERP=1519.2707752508;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</si>
  <si>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"1228.1983993574",
  "ERP": "0.1916931588",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</si>
  <si>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Price=1228.1983993574; ERP=0.1916931588;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</si>
  <si>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"1228.1983999972",
  "ERP": "1036.8381684518",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</si>
  <si>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Price=1228.1983999972; ERP=1036.8381684518;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</si>
  <si>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"1228.1983999985",
  "ERP": "2631.3228035952",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</si>
  <si>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Price=1228.1983999985; ERP=2631.3228035952;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</si>
  <si>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"1228.1983999984",
  "ERP": "1812.2514288736",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</si>
  <si>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Price=1228.1983999984; ERP=1812.2514288736;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</si>
  <si>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"1684.5049369345",
  "ERP": "14.5304297138",
  "BenefitType": "Charge",
  "aks-managed-consolidated-additional-properties": "d850f3be-ea1d-11f0-b144-4e2f7d5605b9",
  "aks-managed-creationSource": "vmssclient-aks-monitoring-27653289-vmss",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"monitoring",
  "aks-managed-resourceNameSuffix": "55015173.0",
  "aks-managed-ssh-access": "LocalUser",
  "purpose": "monitoring"
}</t>
  </si>
  <si>
    <t>Organization Name=PT Nawa Darsana Teknologi; Publisher=Microsoft; Publisher Customer ID=346fa229-7c19-44ef-85c6-29e00edf66cf; Unit Price=1684.5049369345; ERP=14.5304297138; BenefitType=Charge; aks-managed-consolidated-additional-properties=d850f3be-ea1d-11f0-b144-4e2f7d5605b9; aks-managed-creationSource=vmssclient-aks-monitoring-27653289-vmss; aks-managed-enable-imds-restriction=False; aks-managed-kubeletIdentityClientID=66304d1c-688a-462f-a28a-cef42329c4d2; aks-managed-operationID=59c4ae46-c1cf-4881-8e43-9a537a2059b4; aks-managed-orchestrator=Kubernetes:1.33.5; aks-managed-poolName=monitoring; aks-managed-resourceNameSuffix=55015173.0; aks-managed-ssh-access=LocalUser; purpose=monitoring</t>
  </si>
  <si>
    <t>{
  "Organization Name": "PT Nawa Darsana Teknologi",
  "Publisher": "Microsoft",
  "Publisher Customer ID": "346fa229-7c19-44ef-85c6-29e00edf66cf",
  "Unit Price": "1842.297593632",
  "ERP": "0.041599987",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</si>
  <si>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Price=1842.297593632; ERP=0.041599987;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</si>
  <si>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"1842.2975999862",
  "ERP": "392.061663851",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</si>
  <si>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Price=1842.2975999862; ERP=392.061663851;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</si>
  <si>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"1842.2975936921",
  "ERP": "0.023543377",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</si>
  <si>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Price=1842.2975936921; ERP=0.023543377;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</si>
  <si>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"1729.6849169152",
  "ERP": "98.8682021756",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</si>
  <si>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Price=1729.6849169152; ERP=98.8682021756;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</si>
  <si>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"1694.7852773541",
  "ERP": "95.3447382316",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</si>
  <si>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Price=1694.7852773541; ERP=95.3447382316;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</si>
  <si>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"1842.2975999576",
  "ERP": "107.7388755872",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</si>
  <si>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Price=1842.2975999576; ERP=107.7388755872;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</si>
  <si>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"1842.2975999885",
  "ERP": "429.8912091188",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</si>
  <si>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Price=1842.2975999885; ERP=429.8912091188;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</si>
  <si>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"1842.2975999894",
  "ERP": "406.159314132",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</si>
  <si>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Price=1842.2975999894; ERP=406.159314132;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</si>
  <si>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"153.5247999926",
  "ERP": "11.9924833314",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</si>
  <si>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Price=153.5247999926; ERP=11.9924833314;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</si>
  <si>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"153.5247999543",
  "ERP": "2.4461455304",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</si>
  <si>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Price=153.5247999543; ERP=2.4461455304;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</si>
  <si>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{
  "Organization Name": "PT Nawa Darsana Teknologi",
  "Publisher": "Microsoft",
  "Publisher Customer ID": "346fa229-7c19-44ef-85c6-29e00edf66cf",
  "Unit Price": "1228.1983999813",
  "ERP": "223.060299176",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</si>
  <si>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Price=1228.1983999813; ERP=223.060299176;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</si>
  <si>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"153.5247999965",
  "ERP": "102.9184969384",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</si>
  <si>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Price=153.5247999965; ERP=102.9184969384;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</si>
  <si>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"153.5247960879",
  "ERP": "0.0013660218",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</si>
  <si>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Price=153.5247960879; ERP=0.0013660218;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</si>
  <si>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"1228.1983999853",
  "ERP": "71.5674365406",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</si>
  <si>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Price=1228.1983999853; ERP=71.5674365406;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</si>
  <si>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"1228.198399673",
  "ERP": "0.7435537538",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</si>
  <si>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Price=1228.198399673; ERP=0.7435537538;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</si>
  <si>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"1228.1983999982",
  "ERP": "1656.506501507",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</si>
  <si>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Price=1228.1983999982; ERP=1656.506501507;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</si>
  <si>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"1017.6412582341",
  "ERP": "367.4757348262",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</si>
  <si>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Price=1017.6412582341; ERP=367.4757348262;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</si>
  <si>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"1228.1983999985",
  "ERP": "1861.4626817358",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</si>
  <si>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Price=1228.1983999985; ERP=1861.4626817358;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</si>
  <si>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"1228.1983662449",
  "ERP": "0.001168882",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</si>
  <si>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Price=1228.1983662449; ERP=0.001168882;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</si>
  <si>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"1228.1983999919",
  "ERP": "114.8451896592",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</si>
  <si>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Price=1228.1983999919; ERP=114.8451896592;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</si>
  <si>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"1228.1964268787",
  "ERP": "7.67624e-05",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</si>
  <si>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Price=1228.1964268787; ERP=7.67624e-05;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</si>
  <si>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"1228.1983999909",
  "ERP": "120.2448819286",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</si>
  <si>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Price=1228.1983999909; ERP=120.2448819286;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</si>
  <si>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"153.5247997926",
  "ERP": "0.6680910808",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</si>
  <si>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Price=153.5247997926; ERP=0.6680910808;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</si>
  <si>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aks-sindora-to-sweetpotatos</t>
  </si>
  <si>
    <t>{
  "Organization Name": "PT Nawa Darsana Teknologi",
  "Publisher": "Microsoft",
  "Publisher Customer ID": "346fa229-7c19-44ef-85c6-29e00edf66cf",
  "Unit Price": "302597.3807999999",
  "ERP": "64238.67305856",
  "BenefitType": "Charge",
  "aks-managed-consolidated-additional-properties": "d850f3be-ea1d-11f0-b144-4e2f7d5605b9",
  "aks-managed-creationSource": "vmssclient-aks-monitoring-27653289-vmss",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"monitoring",
  "aks-managed-resourceNameSuffix": "55015173.0",
  "aks-managed-ssh-access": "LocalUser",
  "purpose": "monitoring"
}</t>
  </si>
  <si>
    <t>Organization Name=PT Nawa Darsana Teknologi; Publisher=Microsoft; Publisher Customer ID=346fa229-7c19-44ef-85c6-29e00edf66cf; Unit Price=302597.3807999999; ERP=64238.67305856; BenefitType=Charge; aks-managed-consolidated-additional-properties=d850f3be-ea1d-11f0-b144-4e2f7d5605b9; aks-managed-creationSource=vmssclient-aks-monitoring-27653289-vmss; aks-managed-enable-imds-restriction=False; aks-managed-kubeletIdentityClientID=66304d1c-688a-462f-a28a-cef42329c4d2; aks-managed-operationID=59c4ae46-c1cf-4881-8e43-9a537a2059b4; aks-managed-orchestrator=Kubernetes:1.33.5; aks-managed-poolName=monitoring; aks-managed-resourceNameSuffix=55015173.0; aks-managed-ssh-access=LocalUser; purpose=monitoring</t>
  </si>
  <si>
    <t>{
  "Organization Name": "PT Nawa Darsana Teknologi",
  "Publisher": "Microsoft",
  "Publisher Customer ID": "346fa229-7c19-44ef-85c6-29e00edf66cf",
  "Unit Price": "153.5247996641",
  "ERP": "0.01945229",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</si>
  <si>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Price=153.5247996641; ERP=0.01945229;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</si>
  <si>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"153.5247999962",
  "ERP": "27.989900081",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</si>
  <si>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Price=153.5247999962; ERP=27.989900081;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</si>
  <si>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"153.5247999999",
  "ERP": "667.9715983798",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</si>
  <si>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Price=153.5247999999; ERP=667.9715983798;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</si>
  <si>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"153.5247999997",
  "ERP": "1658.6660476386",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</si>
  <si>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Price=153.5247999997; ERP=1658.6660476386;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</si>
  <si>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"76.7623999999",
  "ERP": "3179.6290569758",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</si>
  <si>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Price=76.7623999999; ERP=3179.6290569758;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</si>
  <si>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"153.5247999965",
  "ERP": "47.0592311904",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</si>
  <si>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Price=153.5247999965; ERP=47.0592311904;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</si>
  <si>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"153.5247997898",
  "ERP": "0.0735244224",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</si>
  <si>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Price=153.5247997898; ERP=0.0735244224;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</si>
  <si>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"1228.1983991233",
  "ERP": "0.1930591806",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</si>
  <si>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Price=1228.1983991233; ERP=0.1930591806;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</si>
  <si>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"1228.1983992013",
  "ERP": "1.710833267",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</si>
  <si>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Price=1228.1983992013; ERP=1.710833267;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</si>
  <si>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"1228.1983990194",
  "ERP": "3.0016785084",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</si>
  <si>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Price=1228.1983990194; ERP=3.0016785084;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</si>
  <si>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</si>
  <si>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Price=383.812; ERP=324495.6;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</si>
  <si>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"429.8694399983",
  "ERP": "523.736317104",
  "BenefitType": "Charge"
}</t>
  </si>
  <si>
    <t>Organization Name=PT Nawa Darsana Teknologi; Publisher=Microsoft; Publisher Customer ID=346fa229-7c19-44ef-85c6-29e00edf66cf; Unit Price=429.8694399983; ERP=523.736317104; BenefitType=Charge</t>
  </si>
  <si>
    <t>{
  "Organization Name": "PT Nawa Darsana Teknologi",
  "Publisher": "Microsoft",
  "Publisher Customer ID": "346fa229-7c19-44ef-85c6-29e00edf66cf",
  "Unit Price": "1703.063545947",
  "ERP": "1122.6005481262",
  "BenefitType": "Charge",
  "aks-managed-consolidated-additional-properties": "d8510994-ea1d-11f0-b144-4e2f7d5605b9",
  "aks-managed-creationSource": "vmssclient-aks-systemeph2-13731054-vmss",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"systemeph2",
  "aks-managed-resourceNameSuffix": "55015173.0",
  "aks-managed-ssh-access": "LocalUser"
}</t>
  </si>
  <si>
    <t>Organization Name=PT Nawa Darsana Teknologi; Publisher=Microsoft; Publisher Customer ID=346fa229-7c19-44ef-85c6-29e00edf66cf; Unit Price=1703.063545947; ERP=1122.6005481262; BenefitType=Charge; aks-managed-consolidated-additional-properties=d8510994-ea1d-11f0-b144-4e2f7d5605b9; aks-managed-creationSource=vmssclient-aks-systemeph2-13731054-vmss; aks-managed-enable-imds-restriction=False; aks-managed-kubeletIdentityClientID=66304d1c-688a-462f-a28a-cef42329c4d2; aks-managed-operationID=59c4ae46-c1cf-4881-8e43-9a537a2059b4; aks-managed-orchestrator=Kubernetes:1.33.5; aks-managed-poolName=systemeph2; aks-managed-resourceNameSuffix=55015173.0; aks-managed-ssh-access=LocalUser</t>
  </si>
  <si>
    <t>{
  "Organization Name": "PT Nawa Darsana Teknologi",
  "Publisher": "Microsoft",
  "Publisher Customer ID": "346fa229-7c19-44ef-85c6-29e00edf66cf",
  "Unit Price": "1842.2975999221",
  "ERP": "42.2695069082",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</si>
  <si>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Price=1842.2975999221; ERP=42.2695069082;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</si>
  <si>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"1704.492760965",
  "ERP": "102.0182449572",
  "BenefitType": "Charge",
  "aks-managed-consolidated-additional-properties": "d850fd8e-ea1d-11f0-b144-4e2f7d5605b9",
  "aks-managed-creationSource": "vmssclient-aks-usereph2-34334888-vmss",
  "aks-managed-enable-imds-restriction": "False",
  "aks-managed-kubeletIdentityClientID": "66304d1c-688a-462f-a28a-cef42329c4d2",
  "aks-managed-operationID": "59c4ae46-c1cf-4881-8e43-9a537a2059b4",
  "aks-managed-orchestrator": "Kubernetes:1.33.5",
  "aks-managed-poolName": "usereph2",
  "aks-managed-resourceNameSuffix": "55015173.0",
  "aks-managed-ssh-access": "LocalUser"
}</t>
  </si>
  <si>
    <t>Organization Name=PT Nawa Darsana Teknologi; Publisher=Microsoft; Publisher Customer ID=346fa229-7c19-44ef-85c6-29e00edf66cf; Unit Price=1704.492760965; ERP=102.0182449572; BenefitType=Charge; aks-managed-consolidated-additional-properties=d850fd8e-ea1d-11f0-b144-4e2f7d5605b9; aks-managed-creationSource=vmssclient-aks-usereph2-34334888-vmss; aks-managed-enable-imds-restriction=False; aks-managed-kubeletIdentityClientID=66304d1c-688a-462f-a28a-cef42329c4d2; aks-managed-operationID=59c4ae46-c1cf-4881-8e43-9a537a2059b4; aks-managed-orchestrator=Kubernetes:1.33.5; aks-managed-poolName=usereph2; aks-managed-resourceNameSuffix=55015173.0; aks-managed-ssh-access=LocalUser</t>
  </si>
  <si>
    <t>{
  "Organization Name": "PT Nawa Darsana Teknologi",
  "Publisher": "Microsoft",
  "Publisher Customer ID": "346fa229-7c19-44ef-85c6-29e00edf66cf",
  "Unit Price": "1842.2975999773",
  "ERP": "226.6722091062",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</si>
  <si>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Price=1842.2975999773; ERP=226.6722091062;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</si>
  <si>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"2.24146208",
  "ERP": "6197.133228",
  "BenefitType": "Charge"
}</t>
  </si>
  <si>
    <t>Organization Name=PT Nawa Darsana Teknologi; Publisher=Microsoft; Publisher Customer ID=346fa229-7c19-44ef-85c6-29e00edf66cf; Unit Price=2.24146208; ERP=6197.133228; BenefitType=Charge</t>
  </si>
  <si>
    <t>mc_rg-ma_mangostana_southeastasia</t>
  </si>
  <si>
    <t>aks-usereph2-26533467-vmss</t>
  </si>
  <si>
    <t>{
  "Organization Name": "PT Nawa Darsana Teknologi",
  "Publisher": "Microsoft",
  "Publisher Customer ID": "346fa229-7c19-44ef-85c6-29e00edf66cf",
  "Unit Price": "153.5247957882",
  "ERP": "0.0034839662",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</si>
  <si>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Price=153.5247957882; ERP=0.0034839662;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</si>
  <si>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"153.5247999904",
  "ERP": "12.9369556888",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</si>
  <si>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Price=153.5247999904; ERP=12.9369556888;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</si>
  <si>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MC_RG-MA_MANGOSTANA_SOUTHEASTASIA</t>
  </si>
  <si>
    <t>{
  "Organization Name": "PT Nawa Darsana Teknologi",
  "Publisher": "Microsoft",
  "Publisher Customer ID": "346fa229-7c19-44ef-85c6-29e00edf66cf",
  "Unit Price": "3838.12",
  "ERP": "945.006205",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</si>
  <si>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Price=3838.12; ERP=945.006205;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</si>
  <si>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rg-ma</t>
  </si>
  <si>
    <t>aks-ma-to-sql-sweetpotatos</t>
  </si>
  <si>
    <t>{
  "Organization Name": "PT Nawa Darsana Teknologi",
  "Publisher": "Microsoft",
  "Publisher Customer ID": "346fa229-7c19-44ef-85c6-29e00edf66cf",
  "Unit Price": "153.5248",
  "ERP": "129798.24",
  "BenefitType": "Charge",
  "MA": "MA"
}</t>
  </si>
  <si>
    <t>Organization Name=PT Nawa Darsana Teknologi; Publisher=Microsoft; Publisher Customer ID=346fa229-7c19-44ef-85c6-29e00edf66cf; Unit Price=153.5248; ERP=129798.24; BenefitType=Charge; MA=MA</t>
  </si>
  <si>
    <t>RG-MA</t>
  </si>
  <si>
    <t>mayong</t>
  </si>
  <si>
    <t>{
  "Organization Name": "PT Nawa Darsana Teknologi",
  "Publisher": "Microsoft",
  "Publisher Customer ID": "346fa229-7c19-44ef-85c6-29e00edf66cf",
  "Unit Price": "1842.2975999771",
  "ERP": "172.9816154924",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</si>
  <si>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Price=1842.2975999771; ERP=172.9816154924;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</si>
  <si>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"1842.2975999403",
  "ERP": "0.9467194022",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</si>
  <si>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Price=1842.2975999403; ERP=0.9467194022;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</si>
  <si>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"1842.2975953055",
  "ERP": "0.0777847356",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</si>
  <si>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Price=1842.2975953055; ERP=0.0777847356;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</si>
  <si>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aks-monitoring-30457aks-monitoring-304578OS__1_738305574bd84c369ab838ee90f42ffa</t>
  </si>
  <si>
    <t>{
  "Organization Name": "PT Nawa Darsana Teknologi",
  "Publisher": "Microsoft",
  "Publisher Customer ID": "346fa229-7c19-44ef-85c6-29e00edf66cf",
  "Unit Price": "302597.3808",
  "ERP": "51.92295966",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</si>
  <si>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Price=302597.3808; ERP=51.92295966;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</si>
  <si>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vpn-access-to-sql-ma</t>
  </si>
  <si>
    <t>{
  "Organization Name": "PT Nawa Darsana Teknologi",
  "Publisher": "Microsoft",
  "Publisher Customer ID": "346fa229-7c19-44ef-85c6-29e00edf66cf",
  "Unit Price": "153.5247999735",
  "ERP": "8.4077542692",
  "BenefitType": "Charge",
  "MA": "MA"
}</t>
  </si>
  <si>
    <t>Organization Name=PT Nawa Darsana Teknologi; Publisher=Microsoft; Publisher Customer ID=346fa229-7c19-44ef-85c6-29e00edf66cf; Unit Price=153.5247999735; ERP=8.4077542692; BenefitType=Charge; MA=MA</t>
  </si>
  <si>
    <t>{
  "Organization Name": "PT Nawa Darsana Teknologi",
  "Publisher": "Microsoft",
  "Publisher Customer ID": "346fa229-7c19-44ef-85c6-29e00edf66cf",
  "Unit Price": "1228.1983998551",
  "ERP": "3.503915701",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</si>
  <si>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Price=1228.1983998551; ERP=3.503915701;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</si>
  <si>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"1228.1983984858",
  "ERP": "0.0353927002",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</si>
  <si>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Price=1228.1983984858; ERP=0.0353927002;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</si>
  <si>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"153.5247669404",
  "ERP": "0.000287859",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</si>
  <si>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Price=153.5247669404; ERP=0.000287859;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</si>
  <si>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</si>
  <si>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</si>
  <si>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"1228.1975043036",
  "ERP": "0.0002337764",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</si>
  <si>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Price=1228.1975043036; ERP=0.0002337764;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</si>
  <si>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aks-systemeph-63343285-vmss</t>
  </si>
  <si>
    <t>{
  "Organization Name": "PT Nawa Darsana Teknologi",
  "Publisher": "Microsoft",
  "Publisher Customer ID": "346fa229-7c19-44ef-85c6-29e00edf66cf",
  "Unit Price": "153.5247999977",
  "ERP": "49.0466829996",
  "BenefitType": "Charge",
  "aks-managed-consolidated-additional-properties": "34722777-ea19-11f0-b144-4e2f7d5605b9",
  "aks-managed-creationSource": "vmssclient-aks-systemeph-63343285-vmss",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"systemeph",
  "aks-managed-resourceNameSuffix": "12047399.0",
  "aks-managed-ssh-access": "LocalUser"
}</t>
  </si>
  <si>
    <t>Organization Name=PT Nawa Darsana Teknologi; Publisher=Microsoft; Publisher Customer ID=346fa229-7c19-44ef-85c6-29e00edf66cf; Unit Price=153.5247999977; ERP=49.0466829996;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</t>
  </si>
  <si>
    <t>{
  "Organization Name": "PT Nawa Darsana Teknologi",
  "Publisher": "Microsoft",
  "Publisher Customer ID": "346fa229-7c19-44ef-85c6-29e00edf66cf",
  "Unit Price": "1228.1983999988",
  "ERP": "669.6256501506",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</si>
  <si>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Price=1228.1983999988; ERP=669.6256501506;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</si>
  <si>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"576.9654395934",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</si>
  <si>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Price=153.5247999999; ERP=576.9654395934;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</si>
  <si>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"153.5247999995",
  "ERP": "290.4286579766",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</si>
  <si>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Price=153.5247999995; ERP=290.4286579766;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</si>
  <si>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"153.5248",
  "ERP": "24268.217964848",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</si>
  <si>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Price=153.5248; ERP=24268.217964848;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</si>
  <si>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"706.6171157474",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</si>
  <si>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Price=153.5247999999; ERP=706.6171157474;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</si>
  <si>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"1228.1983999975",
  "ERP": "418.6207511772",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</si>
  <si>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Price=1228.1983999975; ERP=418.6207511772;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</si>
  <si>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"1228.198043016",
  "ERP": "0.0003105388",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</si>
  <si>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Price=1228.198043016; ERP=0.0003105388;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</si>
  <si>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"1228.1983999687",
  "ERP": "71.255386917",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</si>
  <si>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Price=1228.1983999687; ERP=71.255386917;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</si>
  <si>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Mangostana</t>
  </si>
  <si>
    <t>{
  "Organization Name": "PT Nawa Darsana Teknologi",
  "Publisher": "Microsoft",
  "Publisher Customer ID": "346fa229-7c19-44ef-85c6-29e00edf66cf",
  "Unit Price": "1535.248",
  "ERP": "1297935.0107829534",
  "BenefitType": "Charge",
  "Environment": "Production",
  "MA": "MA",
  "MD": "MA",
  "Product": "CE"
}</t>
  </si>
  <si>
    <t>Organization Name=PT Nawa Darsana Teknologi; Publisher=Microsoft; Publisher Customer ID=346fa229-7c19-44ef-85c6-29e00edf66cf; Unit Price=1535.248; ERP=1297935.0107829534; BenefitType=Charge; Environment=Production; MA=MA; MD=MA; Product=CE</t>
  </si>
  <si>
    <t>{
  "Organization Name": "PT Nawa Darsana Teknologi",
  "Publisher": "Microsoft",
  "Publisher Customer ID": "346fa229-7c19-44ef-85c6-29e00edf66cf",
  "Unit Price": "153.5247999999",
  "ERP": "1434.9279294922",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</si>
  <si>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Price=153.5247999999; ERP=1434.9279294922;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</si>
  <si>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"3595.0494057478",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</si>
  <si>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Price=153.5247999999; ERP=3595.0494057478;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</si>
  <si>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"153.5247999993",
  "ERP": "133.3553154076",
  "BenefitType": "Charge",
  "aks-managed-consolidated-additional-properties": "34722777-ea19-11f0-b144-4e2f7d5605b9",
  "aks-managed-creationSource": "vmssclient-aks-systemeph-63343285-vmss",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"systemeph",
  "aks-managed-resourceNameSuffix": "12047399.0",
  "aks-managed-ssh-access": "LocalUser"
}</t>
  </si>
  <si>
    <t>Organization Name=PT Nawa Darsana Teknologi; Publisher=Microsoft; Publisher Customer ID=346fa229-7c19-44ef-85c6-29e00edf66cf; Unit Price=153.5247999993; ERP=133.3553154076;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</t>
  </si>
  <si>
    <t>{
  "Organization Name": "PT Nawa Darsana Teknologi",
  "Publisher": "Microsoft",
  "Publisher Customer ID": "346fa229-7c19-44ef-85c6-29e00edf66cf",
  "Unit Price": "6140.992",
  "ERP": "2013.2893352",
  "BenefitType": "Charge"
}</t>
  </si>
  <si>
    <t>Organization Name=PT Nawa Darsana Teknologi; Publisher=Microsoft; Publisher Customer ID=346fa229-7c19-44ef-85c6-29e00edf66cf; Unit Price=6140.992; ERP=2013.2893352; BenefitType=Charge</t>
  </si>
  <si>
    <t>b9864a31-e859-492a-96dc-221aeb8ad519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</si>
  <si>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"Mangostana",
  "aks-managed-cluster-rg": "rg-ma",
  "aks-managed-type": "aks-slb-managed-outbound-ip",
  "Environment": "Production",
  "MA": "MA",
  "MD": "MA",
  "Product": "CE"
}</t>
  </si>
  <si>
    <t>Organization Name=PT Nawa Darsana Teknologi; Publisher=Microsoft; Publisher Customer ID=346fa229-7c19-44ef-85c6-29e00edf66cf; Unit Price=76.7624; ERP=64899.12; BenefitType=Charge; aks-managed-cluster-name=Mangostana; aks-managed-cluster-rg=rg-ma; aks-managed-type=aks-slb-managed-outbound-ip; Environment=Production; MA=MA; MD=MA; Product=CE</t>
  </si>
  <si>
    <t>aks-monitoring-30457830-vmss</t>
  </si>
  <si>
    <t>{
  "Organization Name": "PT Nawa Darsana Teknologi",
  "Publisher": "Microsoft",
  "Publisher Customer ID": "346fa229-7c19-44ef-85c6-29e00edf66cf",
  "Unit Price": "153.5244719822",
  "ERP": "0.0002756468",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</si>
  <si>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Price=153.5244719822; ERP=0.0002756468;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</si>
  <si>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"153.5247999949",
  "ERP": "83.1773221136",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</si>
  <si>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Price=153.5247999949; ERP=83.1773221136;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</si>
  <si>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"1228.1983999984",
  "ERP": "2153.985986724",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</si>
  <si>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Price=1228.1983999984; ERP=2153.985986724;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</si>
  <si>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"1228.1983999981",
  "ERP": "1432.5042736004",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</si>
  <si>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Price=1228.1983999981; ERP=1432.5042736004;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</si>
  <si>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"1228.1983993186",
  "ERP": "0.03541538",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</si>
  <si>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Price=1228.1983993186; ERP=0.03541538;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</si>
  <si>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"1228.1983997776",
  "ERP": "0.3639008802",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</si>
  <si>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Price=1228.1983997776; ERP=0.3639008802;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</si>
  <si>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"1011.8468211104",
  "ERP": "458.6248548596",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</si>
  <si>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Price=1011.8468211104; ERP=458.6248548596;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</si>
  <si>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"1228.1983999982",
  "ERP": "1996.0044333086",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</si>
  <si>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Price=1228.1983999982; ERP=1996.0044333086;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</si>
  <si>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"1228.1983990718",
  "ERP": "0.1560405132",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</si>
  <si>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Price=1228.1983990718; ERP=0.1560405132;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</si>
  <si>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"1842.2975999683",
  "ERP": "37.5573859232",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</si>
  <si>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Price=1842.2975999683; ERP=37.5573859232;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</si>
  <si>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"1736.844963112",
  "ERP": "58.7960364134",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</si>
  <si>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Price=1736.844963112; ERP=58.7960364134;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</si>
  <si>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"1842.2975998507",
  "ERP": "2.3534758676",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</si>
  <si>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Price=1842.2975998507; ERP=2.3534758676;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</si>
  <si>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"1842.2975999805",
  "ERP": "70.9143839118",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</si>
  <si>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Price=1842.2975999805; ERP=70.9143839118;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</si>
  <si>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"1842.2975981971",
  "ERP": "0.2052103196",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</si>
  <si>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Price=1842.2975981971; ERP=0.2052103196;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</si>
  <si>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"1842.2975997181",
  "ERP": "1.0395879494",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</si>
  <si>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Price=1842.2975997181; ERP=1.0395879494;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</si>
  <si>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"1842.2975978676",
  "ERP": "0.0176972224",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</si>
  <si>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Price=1842.2975978676; ERP=0.0176972224;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</si>
  <si>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"153.5247999951",
  "ERP": "99.8256299326",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</si>
  <si>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Price=153.5247999951; ERP=99.8256299326;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</si>
  <si>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"1919.06",
  "ERP": "436.15",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</si>
  <si>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Price=1919.06; ERP=436.15;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</si>
  <si>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"1919.06",
  "ERP": "72.6931205",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</si>
  <si>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Price=1919.06; ERP=72.6931205;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</si>
  <si>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"153.5246060602",
  "ERP": "0.0001779492",
  "BenefitType": "Charge",
  "aks-managed-consolidated-additional-properties": "34722279-ea19-11f0-b144-4e2f7d5605b9",
  "aks-managed-creationSource": "vmssclient-aks-monitoring-30457830-vmss",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"monitoring",
  "aks-managed-resourceNameSuffix": "12047399.0",
  "aks-managed-ssh-access": "LocalUser",
  "purpose": "monitoring"
}</t>
  </si>
  <si>
    <t>Organization Name=PT Nawa Darsana Teknologi; Publisher=Microsoft; Publisher Customer ID=346fa229-7c19-44ef-85c6-29e00edf66cf; Unit Price=153.5246060602; ERP=0.0001779492;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</t>
  </si>
  <si>
    <t>{
  "Organization Name": "PT Nawa Darsana Teknologi",
  "Publisher": "Microsoft",
  "Publisher Customer ID": "346fa229-7c19-44ef-85c6-29e00edf66cf",
  "Unit Price": "153.5247999771",
  "ERP": "5.5238449838",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</si>
  <si>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Price=153.5247999771; ERP=5.5238449838;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</si>
  <si>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"153.5247999274",
  "ERP": "1.1418441892",
  "BenefitType": "Charge",
  "aks-managed-consolidated-additional-properties": "34722777-ea19-11f0-b144-4e2f7d5605b9",
  "aks-managed-creationSource": "vmssclient-aks-systemeph-63343285-vmss",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"systemeph",
  "aks-managed-resourceNameSuffix": "12047399.0",
  "aks-managed-ssh-access": "LocalUser"
}</t>
  </si>
  <si>
    <t>Organization Name=PT Nawa Darsana Teknologi; Publisher=Microsoft; Publisher Customer ID=346fa229-7c19-44ef-85c6-29e00edf66cf; Unit Price=153.5247999274; ERP=1.1418441892;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</t>
  </si>
  <si>
    <t>CURL-API-MA</t>
  </si>
  <si>
    <t>{
  "Organization Name": "PT Nawa Darsana Teknologi",
  "Publisher": "Microsoft",
  "Publisher Customer ID": "346fa229-7c19-44ef-85c6-29e00edf66cf",
  "Unit Price": "153.5247999906",
  "ERP": "16.6335607152",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</si>
  <si>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Price=153.5247999906; ERP=16.6335607152;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</si>
  <si>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evethub-mimosahub-to-aks-salvia-private-endpoint</t>
  </si>
  <si>
    <t>{
  "Organization Name": "PT Nawa Darsana Teknologi",
  "Publisher": "Microsoft",
  "Publisher Customer ID": "346fa229-7c19-44ef-85c6-29e00edf66cf",
  "Unit Price": "153.5248",
  "ERP": "129798.24",
  "BenefitType": "Charge",
  "CE": "CE",
  "MA": "MA"
}</t>
  </si>
  <si>
    <t>Organization Name=PT Nawa Darsana Teknologi; Publisher=Microsoft; Publisher Customer ID=346fa229-7c19-44ef-85c6-29e00edf66cf; Unit Price=153.5248; ERP=129798.24; BenefitType=Charge; CE=CE; MA=MA</t>
  </si>
  <si>
    <t>{
  "Organization Name": "PT Nawa Darsana Teknologi",
  "Publisher": "Microsoft",
  "Publisher Customer ID": "346fa229-7c19-44ef-85c6-29e00edf66cf",
  "Unit Price": "153.5247999998",
  "ERP": "2465.1363108944",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</si>
  <si>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Price=153.5247999998; ERP=2465.1363108944;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</si>
  <si>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"1228.1983996328",
  "ERP": "0.4635297524",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</si>
  <si>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Price=1228.1983996328; ERP=0.4635297524;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</si>
  <si>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manicotti</t>
  </si>
  <si>
    <t>{
  "Organization Name": "PT Nawa Darsana Teknologi",
  "Publisher": "Microsoft",
  "Publisher Customer ID": "346fa229-7c19-44ef-85c6-29e00edf66cf",
  "Unit Price": "153.5247999997",
  "ERP": "350.719834036",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</si>
  <si>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Price=153.5247999997; ERP=350.719834036;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</si>
  <si>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"153.524059541",
  "ERP": "1.7446e-05",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</si>
  <si>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Price=153.524059541; ERP=1.7446e-05;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</si>
  <si>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"2549.7356372774",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</si>
  <si>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Price=153.5247999999; ERP=2549.7356372774;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</si>
  <si>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"153.5247998758",
  "ERP": "0.2078935144",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</si>
  <si>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Price=153.5247998758; ERP=0.2078935144;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</si>
  <si>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aks-salvia-to-sql-manicotti</t>
  </si>
  <si>
    <t>aks-to-sql-ma</t>
  </si>
  <si>
    <t>{
  "Organization Name": "PT Nawa Darsana Teknologi",
  "Publisher": "Microsoft",
  "Publisher Customer ID": "346fa229-7c19-44ef-85c6-29e00edf66cf",
  "Unit Price": "153.5247999881",
  "ERP": "10.2317021664",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</si>
  <si>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Price=153.5247999881; ERP=10.2317021664;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</si>
  <si>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"153.524799995",
  "ERP": "19.052881276",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</si>
  <si>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Price=153.524799995; ERP=19.052881276;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</si>
  <si>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"153.5247999971",
  "ERP": "109.8722160822",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</si>
  <si>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Price=153.5247999971; ERP=109.8722160822;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</si>
  <si>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"153.5247999957",
  "ERP": "29.0095681876",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</si>
  <si>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Price=153.5247999957; ERP=29.0095681876;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</si>
  <si>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"153.5247553772",
  "ERP": "0.0001552694",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</si>
  <si>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Price=153.5247553772; ERP=0.0001552694;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</si>
  <si>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"153.5247999907",
  "ERP": "9.9604378016",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</si>
  <si>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Price=153.5247999907; ERP=9.9604378016;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</si>
  <si>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"153.5247999955",
  "ERP": "26.1580648472",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</si>
  <si>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Price=153.5247999955; ERP=26.1580648472;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</si>
  <si>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"153.524794696",
  "ERP": "0.0049616424",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</si>
  <si>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Price=153.524794696; ERP=0.0049616424;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</si>
  <si>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"153.5248",
  "ERP": "3059.9768086888",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</si>
  <si>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Price=153.5248; ERP=3059.9768086888;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</si>
  <si>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"153.5247999914",
  "ERP": "0.859189331",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</si>
  <si>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Price=153.5247999914; ERP=0.859189331;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</si>
  <si>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</si>
  <si>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</si>
  <si>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"1228.198043016",
  "ERP": "0.0001552694",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</si>
  <si>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Price=1228.198043016; ERP=0.0001552694;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</si>
  <si>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"1228.1983999958",
  "ERP": "154.4351793842",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</si>
  <si>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Price=1228.1983999958; ERP=154.4351793842;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</si>
  <si>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</si>
  <si>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</si>
  <si>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"1228.1983999988",
  "ERP": "1912.5185839188",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</si>
  <si>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Price=1228.1983999988; ERP=1912.5185839188;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</si>
  <si>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"1228.1980430187",
  "ERP": "0.0006228222",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</si>
  <si>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Price=1228.1980430187; ERP=0.0006228222;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</si>
  <si>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aks-monitoring-30457aks-monitoring-304578disk1_f05a5ff94abd49b4a8f4bf1df0fae25c</t>
  </si>
  <si>
    <t>{
  "Organization Name": "PT Nawa Darsana Teknologi",
  "Publisher": "Microsoft",
  "Publisher Customer ID": "346fa229-7c19-44ef-85c6-29e00edf66cf",
  "Unit Price": "302597.3808",
  "ERP": "369.30634884",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</si>
  <si>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Price=302597.3808; ERP=369.30634884;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</si>
  <si>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"1228.1964268787",
  "ERP": "7.67624e-05",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</si>
  <si>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Price=1228.1964268787; ERP=7.67624e-05;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</si>
  <si>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"153.5247997442",
  "ERP": "0.38913303",
  "BenefitType": "Charge",
  "MA": "MA"
}</t>
  </si>
  <si>
    <t>Organization Name=PT Nawa Darsana Teknologi; Publisher=Microsoft; Publisher Customer ID=346fa229-7c19-44ef-85c6-29e00edf66cf; Unit Price=153.5247997442; ERP=0.38913303; BenefitType=Charge; MA=MA</t>
  </si>
  <si>
    <t>{
  "Organization Name": "PT Nawa Darsana Teknologi",
  "Publisher": "Microsoft",
  "Publisher Customer ID": "346fa229-7c19-44ef-85c6-29e00edf66cf",
  "Unit Price": "1228.198043016",
  "ERP": "0.0004675528",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</si>
  <si>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Price=1228.198043016; ERP=0.0004675528;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</si>
  <si>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"1228.1983999985",
  "ERP": "2021.734542542",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</si>
  <si>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Price=1228.1983999985; ERP=2021.734542542;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</si>
  <si>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"1228.198043016",
  "ERP": "0.0003105388",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</si>
  <si>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Price=1228.198043016; ERP=0.0003105388;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</si>
  <si>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"1228.1983999978",
  "ERP": "1572.07013821",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</si>
  <si>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Price=1228.1983999978; ERP=1572.07013821;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</si>
  <si>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"1228.1983662434",
  "ERP": "0.0003890458",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</si>
  <si>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Price=1228.1983662434; ERP=0.0003890458;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</si>
  <si>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"1228.1983999925",
  "ERP": "76.6581270026",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</si>
  <si>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Price=1228.1983999925; ERP=76.6581270026;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</si>
  <si>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"1228.1983989375",
  "ERP": "0.8483361744",
  "BenefitType": "Charge",
  "aks-managed-consolidated-additional-properties": "34722777-ea19-11f0-b144-4e2f7d5605b9",
  "aks-managed-creationSource": "vmssclient-aks-systemeph-63343285-vmss",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"systemeph",
  "aks-managed-resourceNameSuffix": "12047399.0",
  "aks-managed-ssh-access": "LocalUser"
}</t>
  </si>
  <si>
    <t>Organization Name=PT Nawa Darsana Teknologi; Publisher=Microsoft; Publisher Customer ID=346fa229-7c19-44ef-85c6-29e00edf66cf; Unit Price=1228.1983989375; ERP=0.8483361744;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</t>
  </si>
  <si>
    <t>{
  "Organization Name": "PT Nawa Darsana Teknologi",
  "Publisher": "Microsoft",
  "Publisher Customer ID": "346fa229-7c19-44ef-85c6-29e00edf66cf",
  "Unit Price": "1228.1983990352",
  "ERP": "3.5720527986",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</si>
  <si>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Price=1228.1983990352; ERP=3.5720527986;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</si>
  <si>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"1228.1983999805",
  "ERP": "71.4536484948",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</si>
  <si>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Price=1228.1983999805; ERP=71.4536484948;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</si>
  <si>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"153.5247999998",
  "ERP": "969.7429773746",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</si>
  <si>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Price=153.5247999998; ERP=969.7429773746;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</si>
  <si>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"153.522263833",
  "ERP": "8.723e-06",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</si>
  <si>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Price=153.522263833; ERP=8.723e-06;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</si>
  <si>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"153.5247933019",
  "ERP": "0.0037910158",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</si>
  <si>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Price=153.5247933019; ERP=0.0037910158;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</si>
  <si>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"153.5248",
  "ERP": "11517.390815073",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</si>
  <si>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Price=153.5248; ERP=11517.390815073;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</si>
  <si>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"153.5248",
  "ERP": "6554.4348673518",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</si>
  <si>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Price=153.5248; ERP=6554.4348673518;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</si>
  <si>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"76.7624",
  "ERP": "220191.0188535772",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</si>
  <si>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Price=76.7624; ERP=220191.0188535772;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</si>
  <si>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"76.7623999998",
  "ERP": "1569.247802837",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</si>
  <si>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Price=76.7623999998; ERP=1569.247802837;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</si>
  <si>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"3838.12",
  "ERP": "872.3130845",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</si>
  <si>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Price=3838.12; ERP=872.3130845;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</si>
  <si>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"3838.12",
  "ERP": "1090.392446",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</si>
  <si>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Price=3838.12; ERP=1090.392446;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</si>
  <si>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"3838.12",
  "ERP": "1017.6993255",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</si>
  <si>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Price=3838.12; ERP=1017.6993255;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</si>
  <si>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"1919.06",
  "ERP": "1599.24647025",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</si>
  <si>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Price=1919.06; ERP=1599.24647025;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</si>
  <si>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"1919.06",
  "ERP": "302760.84982",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</si>
  <si>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Price=1919.06; ERP=302760.84982;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</si>
  <si>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"1919.06",
  "ERP": "436.193615",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</si>
  <si>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Price=1919.06; ERP=436.193615;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</si>
  <si>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mimosahub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</si>
  <si>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</si>
  <si>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Price=0.0; ERP=0.0;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</si>
  <si>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"153.5247999943",
  "ERP": "26.0798474508",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</si>
  <si>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Price=153.5247999943; ERP=26.0798474508;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</si>
  <si>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"2.24146208",
  "ERP": "6436.562132",
  "BenefitType": "Charge"
}</t>
  </si>
  <si>
    <t>Organization Name=PT Nawa Darsana Teknologi; Publisher=Microsoft; Publisher Customer ID=346fa229-7c19-44ef-85c6-29e00edf66cf; Unit Price=2.24146208; ERP=6436.562132; BenefitType=Charge</t>
  </si>
  <si>
    <t>aks-yellow-to-database-mayong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</si>
  <si>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"34722279-ea19-11f0-b144-4e2f7d5605b9",
  "aks-managed-creationSource": "vmssclient-aks-monitoring-30457830-vmss",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"monitoring",
  "aks-managed-resourceNameSuffix": "12047399.0",
  "aks-managed-ssh-access": "LocalUser",
  "purpose": "monitoring"
}</t>
  </si>
  <si>
    <t>Organization Name=PT Nawa Darsana Teknologi; Publisher=Microsoft; Publisher Customer ID=346fa229-7c19-44ef-85c6-29e00edf66cf; Unit Price=0.0; ERP=0.0;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</si>
  <si>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"34722777-ea19-11f0-b144-4e2f7d5605b9",
  "aks-managed-creationSource": "vmssclient-aks-systemeph-63343285-vmss",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"systemeph",
  "aks-managed-resourceNameSuffix": "12047399.0",
  "aks-managed-ssh-access": "LocalUser"
}</t>
  </si>
  <si>
    <t>Organization Name=PT Nawa Darsana Teknologi; Publisher=Microsoft; Publisher Customer ID=346fa229-7c19-44ef-85c6-29e00edf66cf; Unit Price=0.0; ERP=0.0;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</t>
  </si>
  <si>
    <t>aks-monitoring-30457aks-monitoring-304578OS__1_9206323bd6f742ef8dc4eda4d2179cef</t>
  </si>
  <si>
    <t>{
  "Organization Name": "PT Nawa Darsana Teknologi",
  "Publisher": "Microsoft",
  "Publisher Customer ID": "346fa229-7c19-44ef-85c6-29e00edf66cf",
  "Unit Price": "302597.3807999999",
  "ERP": "279254.74375656",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</si>
  <si>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Price=302597.3807999999; ERP=279254.74375656;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</si>
  <si>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"1228.1983994722",
  "ERP": "0.0876504486",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</si>
  <si>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Price=1228.1983994722; ERP=0.0876504486;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</si>
  <si>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"1228.1983999933",
  "ERP": "160.3357655042",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</si>
  <si>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Price=1228.1983999933; ERP=160.3357655042;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</si>
  <si>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"1013.6052919243",
  "ERP": "454.6373796536",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</si>
  <si>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Price=1013.6052919243; ERP=454.6373796536;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</si>
  <si>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"1228.1983946896",
  "ERP": "0.0356840484",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</si>
  <si>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Price=1228.1983946896; ERP=0.0356840484;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</si>
  <si>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"1228.1983949763",
  "ERP": "0.0175471868",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</si>
  <si>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Price=1228.1983949763; ERP=0.0175471868;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</si>
  <si>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"153.5247270338",
  "ERP": "0.0002896036",
  "BenefitType": "Charge",
  "aks-managed-consolidated-additional-properties": "34722279-ea19-11f0-b144-4e2f7d5605b9",
  "aks-managed-creationSource": "vmssclient-aks-monitoring-30457830-vmss",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"monitoring",
  "aks-managed-resourceNameSuffix": "12047399.0",
  "aks-managed-ssh-access": "LocalUser",
  "purpose": "monitoring"
}</t>
  </si>
  <si>
    <t>Organization Name=PT Nawa Darsana Teknologi; Publisher=Microsoft; Publisher Customer ID=346fa229-7c19-44ef-85c6-29e00edf66cf; Unit Price=153.5247270338; ERP=0.0002896036;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</t>
  </si>
  <si>
    <t>{
  "Organization Name": "PT Nawa Darsana Teknologi",
  "Publisher": "Microsoft",
  "Publisher Customer ID": "346fa229-7c19-44ef-85c6-29e00edf66cf",
  "Unit Price": "153.5247999261",
  "ERP": "1.9787322984",
  "BenefitType": "Charge",
  "aks-managed-consolidated-additional-properties": "34722777-ea19-11f0-b144-4e2f7d5605b9",
  "aks-managed-creationSource": "vmssclient-aks-systemeph-63343285-vmss",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"systemeph",
  "aks-managed-resourceNameSuffix": "12047399.0",
  "aks-managed-ssh-access": "LocalUser"
}</t>
  </si>
  <si>
    <t>Organization Name=PT Nawa Darsana Teknologi; Publisher=Microsoft; Publisher Customer ID=346fa229-7c19-44ef-85c6-29e00edf66cf; Unit Price=153.5247999261; ERP=1.9787322984;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</t>
  </si>
  <si>
    <t>{
  "Organization Name": "PT Nawa Darsana Teknologi",
  "Publisher": "Microsoft",
  "Publisher Customer ID": "346fa229-7c19-44ef-85c6-29e00edf66cf",
  "Unit Price": "153.5247999885",
  "ERP": "9.2324720488",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</si>
  <si>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Price=153.5247999885; ERP=9.2324720488;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</si>
  <si>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"153.5230926206",
  "ERP": "1.57014e-05",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</si>
  <si>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Price=153.5230926206; ERP=1.57014e-05;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</si>
  <si>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"153.5247092405",
  "ERP": "0.0004588298",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</si>
  <si>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Price=153.5247092405; ERP=0.0004588298;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</si>
  <si>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"153.5247999771",
  "ERP": "13.3710051904",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</si>
  <si>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Price=153.5247999771; ERP=13.3710051904;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</si>
  <si>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"153.5247999972",
  "ERP": "138.2492533708",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</si>
  <si>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Price=153.5247999972; ERP=138.2492533708;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</si>
  <si>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"1228.1982738927",
  "ERP": "0.0005443152",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</si>
  <si>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Price=1228.1982738927; ERP=0.0005443152;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</si>
  <si>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"1228.198043016",
  "ERP": "0.0001552694",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</si>
  <si>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Price=1228.198043016; ERP=0.0001552694;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</si>
  <si>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"153.5247999636",
  "ERP": "3.7357137246",
  "BenefitType": "Charge",
  "MA": "MA"
}</t>
  </si>
  <si>
    <t>Organization Name=PT Nawa Darsana Teknologi; Publisher=Microsoft; Publisher Customer ID=346fa229-7c19-44ef-85c6-29e00edf66cf; Unit Price=153.5247999636; ERP=3.7357137246; BenefitType=Charge; MA=MA</t>
  </si>
  <si>
    <t>{
  "Organization Name": "PT Nawa Darsana Teknologi",
  "Publisher": "Microsoft",
  "Publisher Customer ID": "346fa229-7c19-44ef-85c6-29e00edf66cf",
  "Unit Price": "1842.2975999364",
  "ERP": "22.2417867672",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</si>
  <si>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Price=1842.2975999364; ERP=22.2417867672;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</si>
  <si>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"1842.2975998989",
  "ERP": "3.0701174218",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</si>
  <si>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Price=1842.2975998989; ERP=3.0701174218;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</si>
  <si>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"1842.2975942616",
  "ERP": "0.0237509844",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</si>
  <si>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Price=1842.2975942616; ERP=0.0237509844;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</si>
  <si>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"1842.2975933293",
  "ERP": "0.0262335502",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</si>
  <si>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Price=1842.2975933293; ERP=0.0262335502;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</si>
  <si>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"1013.7873145622",
  "ERP": "135.6487194634",
  "BenefitType": "Charge",
  "aks-managed-consolidated-additional-properties": "34722777-ea19-11f0-b144-4e2f7d5605b9",
  "aks-managed-creationSource": "vmssclient-aks-systemeph-63343285-vmss",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"systemeph",
  "aks-managed-resourceNameSuffix": "12047399.0",
  "aks-managed-ssh-access": "LocalUser"
}</t>
  </si>
  <si>
    <t>Organization Name=PT Nawa Darsana Teknologi; Publisher=Microsoft; Publisher Customer ID=346fa229-7c19-44ef-85c6-29e00edf66cf; Unit Price=1013.7873145622; ERP=135.6487194634;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</t>
  </si>
  <si>
    <t>{
  "Organization Name": "PT Nawa Darsana Teknologi",
  "Publisher": "Microsoft",
  "Publisher Customer ID": "346fa229-7c19-44ef-85c6-29e00edf66cf",
  "Unit Price": "1015.7792525629",
  "ERP": "29.803054138",
  "BenefitType": "Charge",
  "aks-managed-consolidated-additional-properties": "34722279-ea19-11f0-b144-4e2f7d5605b9",
  "aks-managed-creationSource": "vmssclient-aks-monitoring-30457830-vmss",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"monitoring",
  "aks-managed-resourceNameSuffix": "12047399.0",
  "aks-managed-ssh-access": "LocalUser",
  "purpose": "monitoring"
}</t>
  </si>
  <si>
    <t>Organization Name=PT Nawa Darsana Teknologi; Publisher=Microsoft; Publisher Customer ID=346fa229-7c19-44ef-85c6-29e00edf66cf; Unit Price=1015.7792525629; ERP=29.803054138;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</t>
  </si>
  <si>
    <t>{
  "Organization Name": "PT Nawa Darsana Teknologi",
  "Publisher": "Microsoft",
  "Publisher Customer ID": "346fa229-7c19-44ef-85c6-29e00edf66cf",
  "Unit Price": "1228.1983999847",
  "ERP": "55.3829445884",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</si>
  <si>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Price=1228.1983999847; ERP=55.3829445884;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</si>
  <si>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"1228.1983992344",
  "ERP": "0.1132437306",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</si>
  <si>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Price=1228.1983992344; ERP=0.1132437306;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</si>
  <si>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"3838.12",
  "ERP": "0.043615",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</si>
  <si>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Price=3838.12; ERP=0.043615;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</si>
  <si>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"1842.2975999516",
  "ERP": "72.2824364262",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</si>
  <si>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Price=1842.2975999516; ERP=72.2824364262;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</si>
  <si>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"1842.2975999825",
  "ERP": "276.4313448754",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</si>
  <si>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Price=1842.2975999825; ERP=276.4313448754;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</si>
  <si>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"3838.12",
  "ERP": "1017.703687",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</si>
  <si>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Price=3838.12; ERP=1017.703687;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</si>
  <si>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"153.5247999998",
  "ERP": "2099.5826751614",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</si>
  <si>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Price=153.5247999998; ERP=2099.5826751614;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</si>
  <si>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"153.5248",
  "ERP": "4325.8143692478",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</si>
  <si>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Price=153.5248; ERP=4325.8143692478;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</si>
  <si>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"153.5248",
  "ERP": "18640.319271145",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</si>
  <si>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Price=153.5248; ERP=18640.319271145;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</si>
  <si>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"1228.198399988",
  "ERP": "198.3360826876",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</si>
  <si>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Price=1228.198399988; ERP=198.3360826876;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</si>
  <si>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"1228.1983992475",
  "ERP": "0.0734284694",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</si>
  <si>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Price=1228.1983992475; ERP=0.0734284694;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</si>
  <si>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"1228.1983961485",
  "ERP": "0.0271442314",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</si>
  <si>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Price=1228.1983961485; ERP=0.0271442314;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</si>
  <si>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"1303.4243185678",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</si>
  <si>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Price=153.5247999999; ERP=1303.4243185678;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</si>
  <si>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"1919.06",
  "ERP": "436.158723",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</si>
  <si>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Price=1919.06; ERP=436.158723;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</si>
  <si>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"1919.06",
  "ERP": "508.84966275",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</si>
  <si>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Price=1919.06; ERP=508.84966275;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</si>
  <si>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"1919.06",
  "ERP": "12866.669244",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</si>
  <si>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Price=1919.06; ERP=12866.669244;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</si>
  <si>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"1919.06",
  "ERP": "472.5031025",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</si>
  <si>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Price=1919.06; ERP=472.5031025;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</si>
  <si>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"6140.9919999825",
  "ERP": "863.472324",
  "BenefitType": "Charge",
  "MA": "MA"
}</t>
  </si>
  <si>
    <t>Organization Name=PT Nawa Darsana Teknologi; Publisher=Microsoft; Publisher Customer ID=346fa229-7c19-44ef-85c6-29e00edf66cf; Unit Price=6140.9919999825; ERP=863.472324; BenefitType=Charge; MA=MA</t>
  </si>
  <si>
    <t>{
  "Organization Name": "PT Nawa Darsana Teknologi",
  "Publisher": "Microsoft",
  "Publisher Customer ID": "346fa229-7c19-44ef-85c6-29e00edf66cf",
  "Unit Price": "1842.297599999",
  "ERP": "4728.7393624614",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</si>
  <si>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Price=1842.297599999; ERP=4728.7393624614;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</si>
  <si>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"1686.6696861397",
  "ERP": "1144.0687705304",
  "BenefitType": "Charge",
  "aks-managed-consolidated-additional-properties": "34722777-ea19-11f0-b144-4e2f7d5605b9",
  "aks-managed-creationSource": "vmssclient-aks-systemeph-63343285-vmss",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"systemeph",
  "aks-managed-resourceNameSuffix": "12047399.0",
  "aks-managed-ssh-access": "LocalUser"
}</t>
  </si>
  <si>
    <t>Organization Name=PT Nawa Darsana Teknologi; Publisher=Microsoft; Publisher Customer ID=346fa229-7c19-44ef-85c6-29e00edf66cf; Unit Price=1686.6696861397; ERP=1144.0687705304; BenefitType=Charge; aks-managed-consolidated-additional-properties=34722777-ea19-11f0-b144-4e2f7d5605b9; aks-managed-creationSource=vmssclient-aks-systemeph-63343285-vmss; aks-managed-enable-imds-restriction=False; aks-managed-kubeletIdentityClientID=157a42ac-4b48-4680-b23b-bc1fd3f1892a; aks-managed-operationID=46187da9-fe85-44d1-81b3-45a6c1ca7570; aks-managed-orchestrator=Kubernetes:1.33.5; aks-managed-poolName=systemeph; aks-managed-resourceNameSuffix=12047399.0; aks-managed-ssh-access=LocalUser</t>
  </si>
  <si>
    <t>{
  "Organization Name": "PT Nawa Darsana Teknologi",
  "Publisher": "Microsoft",
  "Publisher Customer ID": "346fa229-7c19-44ef-85c6-29e00edf66cf",
  "Unit Price": "1842.2975848952",
  "ERP": "0.0237335384",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</si>
  <si>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Price=1842.2975848952; ERP=0.0237335384;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</si>
  <si>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"1842.2975791812",
  "ERP": "0.0153455016",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</si>
  <si>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Price=1842.2975791812; ERP=0.0153455016;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</si>
  <si>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"1919.06",
  "ERP": "363.46342175",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</si>
  <si>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Price=1919.06; ERP=363.46342175;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</si>
  <si>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api-curl-ma</t>
  </si>
  <si>
    <t>{
  "Organization Name": "PT Nawa Darsana Teknologi",
  "Publisher": "Microsoft",
  "Publisher Customer ID": "346fa229-7c19-44ef-85c6-29e00edf66cf",
  "Unit Price": "2368.904172042",
  "ERP": "8722.9999982554",
  "BenefitType": "Charge",
  "MA": "MA"
}</t>
  </si>
  <si>
    <t>Organization Name=PT Nawa Darsana Teknologi; Publisher=Microsoft; Publisher Customer ID=346fa229-7c19-44ef-85c6-29e00edf66cf; Unit Price=2368.904172042; ERP=8722.9999982554; BenefitType=Charge; MA=MA</t>
  </si>
  <si>
    <t>{
  "Organization Name": "PT Nawa Darsana Teknologi",
  "Publisher": "Microsoft",
  "Publisher Customer ID": "346fa229-7c19-44ef-85c6-29e00edf66cf",
  "Unit Price": "2377.1581935474",
  "ERP": "8722.9999982554",
  "BenefitType": "Charge",
  "Billing": "Mangostana"
}</t>
  </si>
  <si>
    <t>Organization Name=PT Nawa Darsana Teknologi; Publisher=Microsoft; Publisher Customer ID=346fa229-7c19-44ef-85c6-29e00edf66cf; Unit Price=2377.1581935474; ERP=8722.9999982554; BenefitType=Charge; Billing=Mangostana</t>
  </si>
  <si>
    <t>{
  "Organization Name": "PT Nawa Darsana Teknologi",
  "Publisher": "Microsoft",
  "Publisher Customer ID": "346fa229-7c19-44ef-85c6-29e00edf66cf",
  "Unit Price": "2155.4881919641",
  "ERP": "44.0742013998",
  "BenefitType": "Charge"
}</t>
  </si>
  <si>
    <t>Organization Name=PT Nawa Darsana Teknologi; Publisher=Microsoft; Publisher Customer ID=346fa229-7c19-44ef-85c6-29e00edf66cf; Unit Price=2155.4881919641; ERP=44.0742013998; BenefitType=Charge</t>
  </si>
  <si>
    <t>{
  "Organization Name": "PT Nawa Darsana Teknologi",
  "Publisher": "Microsoft",
  "Publisher Customer ID": "346fa229-7c19-44ef-85c6-29e00edf66cf",
  "Unit Price": "1919.06",
  "ERP": "1054.0480665",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</si>
  <si>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Price=1919.06; ERP=1054.0480665;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</si>
  <si>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kubernetes-abb561b10b540429ba84728c64e938d2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</si>
  <si>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"mangostana",
  "aks-managed-cluster-rg": "rg-ma",
  "Environment": "Production",
  "k8s-azure-cluster-name": "kubernetes",
  "k8s-azure-service": "portainer/portainer-agent",
  "MA": "MA",
  "MD": "MA",
  "Product": "CE"
}</t>
  </si>
  <si>
    <t>Organization Name=PT Nawa Darsana Teknologi; Publisher=Microsoft; Publisher Customer ID=346fa229-7c19-44ef-85c6-29e00edf66cf; Unit Price=76.7624; ERP=64899.12; BenefitType=Charge; aks-managed-cluster-name=mangostana; aks-managed-cluster-rg=rg-ma; Environment=Production; k8s-azure-cluster-name=kubernetes; k8s-azure-service=portainer/portainer-agent; MA=MA; MD=MA; Product=CE</t>
  </si>
  <si>
    <t>{
  "Organization Name": "PT Nawa Darsana Teknologi",
  "Publisher": "Microsoft",
  "Publisher Customer ID": "346fa229-7c19-44ef-85c6-29e00edf66cf",
  "Unit Price": "153.5247999925",
  "ERP": "11.8268649642",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</si>
  <si>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Price=153.5247999925; ERP=11.8268649642;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</si>
  <si>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"153.5247947712",
  "ERP": "0.002808806",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</si>
  <si>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Price=153.5247947712; ERP=0.002808806;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</si>
  <si>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pvc-fc741263-a4e4-4bab-8eac-e6c491be84d9</t>
  </si>
  <si>
    <t>{
  "Organization Name": "PT Nawa Darsana Teknologi",
  "Publisher": "Microsoft",
  "Publisher Customer ID": "346fa229-7c19-44ef-85c6-29e00edf66cf",
  "Unit Price": "156702.7633599999",
  "ERP": "178059.925435392",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"pvc-fc741263-a4e4-4bab-8eac-e6c491be84d9"
}</t>
  </si>
  <si>
    <t>Organization Name=PT Nawa Darsana Teknologi; Publisher=Microsoft; Publisher Customer ID=346fa229-7c19-44ef-85c6-29e00edf66cf; Unit Price=156702.7633599999; ERP=178059.925435392;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kubernetes.io-created-for-pv-name=pvc-fc741263-a4e4-4bab-8eac-e6c491be84d9</t>
  </si>
  <si>
    <t>{
  "Organization Name": "PT Nawa Darsana Teknologi",
  "Publisher": "Microsoft",
  "Publisher Customer ID": "346fa229-7c19-44ef-85c6-29e00edf66cf",
  "Unit Price": "153.5247999961",
  "ERP": "71.694241047",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</si>
  <si>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Price=153.5247999961; ERP=71.694241047;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</si>
  <si>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"1228.1983999936",
  "ERP": "476.0750733024",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</si>
  <si>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Price=1228.1983999936; ERP=476.0750733024;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</si>
  <si>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"1228.1983970954",
  "ERP": "0.0149791356",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</si>
  <si>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Price=1228.1983970954; ERP=0.0149791356;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</si>
  <si>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"1228.1983995033",
  "ERP": "0.096057676",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</si>
  <si>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Price=1228.1983995033; ERP=0.096057676;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</si>
  <si>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"1228.1983979577",
  "ERP": "0.036776168",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</si>
  <si>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Price=1228.1983979577; ERP=0.036776168;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</si>
  <si>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"1013.1760631412",
  "ERP": "489.148086856",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</si>
  <si>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Price=1013.1760631412; ERP=489.148086856;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</si>
  <si>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"153.5247999716",
  "ERP": "9.7827851836",
  "BenefitType": "Charge",
  "MA": "MA"
}</t>
  </si>
  <si>
    <t>Organization Name=PT Nawa Darsana Teknologi; Publisher=Microsoft; Publisher Customer ID=346fa229-7c19-44ef-85c6-29e00edf66cf; Unit Price=153.5247999716; ERP=9.7827851836; BenefitType=Charge; MA=MA</t>
  </si>
  <si>
    <t>{
  "Organization Name": "PT Nawa Darsana Teknologi",
  "Publisher": "Microsoft",
  "Publisher Customer ID": "346fa229-7c19-44ef-85c6-29e00edf66cf",
  "Unit Price": "153.522263833",
  "ERP": "8.723e-06",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</si>
  <si>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Price=153.522263833; ERP=8.723e-06;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</si>
  <si>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"153.524059541",
  "ERP": "1.7446e-05",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</si>
  <si>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Price=153.524059541; ERP=1.7446e-05;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</si>
  <si>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"3628.128874513",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</si>
  <si>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Price=153.5247999999; ERP=3628.128874513;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</si>
  <si>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"1228.1983990719",
  "ERP": "0.8150178036",
  "BenefitType": "Charge",
  "aks-managed-consolidated-additional-properties": "34722279-ea19-11f0-b144-4e2f7d5605b9",
  "aks-managed-creationSource": "vmssclient-aks-monitoring-30457830-vmss",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"monitoring",
  "aks-managed-resourceNameSuffix": "12047399.0",
  "aks-managed-ssh-access": "LocalUser",
  "purpose": "monitoring"
}</t>
  </si>
  <si>
    <t>Organization Name=PT Nawa Darsana Teknologi; Publisher=Microsoft; Publisher Customer ID=346fa229-7c19-44ef-85c6-29e00edf66cf; Unit Price=1228.1983990719; ERP=0.8150178036;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</t>
  </si>
  <si>
    <t>{
  "Organization Name": "PT Nawa Darsana Teknologi",
  "Publisher": "Microsoft",
  "Publisher Customer ID": "346fa229-7c19-44ef-85c6-29e00edf66cf",
  "Unit Price": "1228.1983999652",
  "ERP": "27.8135628914",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</si>
  <si>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Price=1228.1983999652; ERP=27.8135628914;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</si>
  <si>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"1228.1964268787",
  "ERP": "7.67624e-05",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</si>
  <si>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Price=1228.1964268787; ERP=7.67624e-05;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</si>
  <si>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"1228.1964268787",
  "ERP": "7.67624e-05",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</si>
  <si>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Price=1228.1964268787; ERP=7.67624e-05;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</si>
  <si>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"1228.198043016",
  "ERP": "0.0001552694",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</si>
  <si>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Price=1228.198043016; ERP=0.0001552694;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</si>
  <si>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"1842.2975999282",
  "ERP": "3.715989277",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</si>
  <si>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Price=1842.2975999282; ERP=3.715989277;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</si>
  <si>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"1842.2975999675",
  "ERP": "169.2480546042",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</si>
  <si>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Price=1842.2975999675; ERP=169.2480546042;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</si>
  <si>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"1842.2975978169",
  "ERP": "0.1550757494",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</si>
  <si>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Price=1842.2975978169; ERP=0.1550757494;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</si>
  <si>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"153.5247999951",
  "ERP": "76.9807244778",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</si>
  <si>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Price=153.5247999951; ERP=76.9807244778;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</si>
  <si>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"153.5247999527",
  "ERP": "7.5055343792",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</si>
  <si>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Price=153.5247999527; ERP=7.5055343792;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</si>
  <si>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"153.5247999793",
  "ERP": "5.2165040356",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</si>
  <si>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Price=153.5247999793; ERP=5.2165040356;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</si>
  <si>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"1228.1983969858",
  "ERP": "0.074895678",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</si>
  <si>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Price=1228.1983969858; ERP=0.074895678;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</si>
  <si>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"1228.1983913722",
  "ERP": "0.0147139564",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</si>
  <si>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Price=1228.1983913722; ERP=0.0147139564;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</si>
  <si>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"1228.1982738927",
  "ERP": "0.0005443152",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</si>
  <si>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Price=1228.1982738927; ERP=0.0005443152;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</si>
  <si>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aks-monitoring-30457aks-monitoring-304578OS__1_166a536538fc4c96982ad6988e774120</t>
  </si>
  <si>
    <t>{
  "Organization Name": "PT Nawa Darsana Teknologi",
  "Publisher": "Microsoft",
  "Publisher Customer ID": "346fa229-7c19-44ef-85c6-29e00edf66cf",
  "Unit Price": "302597.3807999999",
  "ERP": "64238.67305856",
  "BenefitType": "Charge",
  "aks-managed-consolidated-additional-properties": "34722279-ea19-11f0-b144-4e2f7d5605b9",
  "aks-managed-creationSource": "vmssclient-aks-monitoring-30457830-vmss",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"monitoring",
  "aks-managed-resourceNameSuffix": "12047399.0",
  "aks-managed-ssh-access": "LocalUser",
  "purpose": "monitoring"
}</t>
  </si>
  <si>
    <t>Organization Name=PT Nawa Darsana Teknologi; Publisher=Microsoft; Publisher Customer ID=346fa229-7c19-44ef-85c6-29e00edf66cf; Unit Price=302597.3807999999; ERP=64238.67305856;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</t>
  </si>
  <si>
    <t>{
  "Organization Name": "PT Nawa Darsana Teknologi",
  "Publisher": "Microsoft",
  "Publisher Customer ID": "346fa229-7c19-44ef-85c6-29e00edf66cf",
  "Unit Price": "153.5240595403",
  "ERP": "3.4892e-05",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</si>
  <si>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Price=153.5240595403; ERP=3.4892e-05;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</si>
  <si>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"153.5247999992",
  "ERP": "324.8521421574",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</si>
  <si>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Price=153.5247999992; ERP=324.8521421574;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</si>
  <si>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"153.5247999994",
  "ERP": "230.2125066956",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</si>
  <si>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Price=153.5247999994; ERP=230.2125066956;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</si>
  <si>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</si>
  <si>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Price=383.812; ERP=324495.6;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</si>
  <si>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"1645.0857431966",
  "ERP": "35.1032239558",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</si>
  <si>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Price=1645.0857431966; ERP=35.1032239558;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</si>
  <si>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"1685.6017536032",
  "ERP": "65.0227353776",
  "BenefitType": "Charge",
  "aks-managed-consolidated-additional-properties": "34722c56-ea19-11f0-b144-4e2f7d5605b9",
  "aks-managed-creationSource": "vmssclient-aks-usereph2-26533467-vmss",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"usereph2",
  "aks-managed-resourceNameSuffix": "12047399.0",
  "aks-managed-ssh-access": "LocalUser"
}</t>
  </si>
  <si>
    <t>Organization Name=PT Nawa Darsana Teknologi; Publisher=Microsoft; Publisher Customer ID=346fa229-7c19-44ef-85c6-29e00edf66cf; Unit Price=1685.6017536032; ERP=65.0227353776; BenefitType=Charge; aks-managed-consolidated-additional-properties=34722c56-ea19-11f0-b144-4e2f7d5605b9; aks-managed-creationSource=vmssclient-aks-usereph2-26533467-vmss; aks-managed-enable-imds-restriction=False; aks-managed-kubeletIdentityClientID=157a42ac-4b48-4680-b23b-bc1fd3f1892a; aks-managed-operationID=46187da9-fe85-44d1-81b3-45a6c1ca7570; aks-managed-orchestrator=Kubernetes:1.33.5; aks-managed-poolName=usereph2; aks-managed-resourceNameSuffix=12047399.0; aks-managed-ssh-access=LocalUser</t>
  </si>
  <si>
    <t>{
  "Organization Name": "PT Nawa Darsana Teknologi",
  "Publisher": "Microsoft",
  "Publisher Customer ID": "346fa229-7c19-44ef-85c6-29e00edf66cf",
  "Unit Price": "6140.992",
  "ERP": "799.0337784",
  "BenefitType": "Charge",
  "Billing": "Mangostana"
}</t>
  </si>
  <si>
    <t>Organization Name=PT Nawa Darsana Teknologi; Publisher=Microsoft; Publisher Customer ID=346fa229-7c19-44ef-85c6-29e00edf66cf; Unit Price=6140.992; ERP=799.0337784; BenefitType=Charge; Billing=Mangostana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</si>
  <si>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</si>
  <si>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Price=383.812; ERP=324495.6;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</si>
  <si>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"429.86944",
  "ERP": "265.248984",
  "BenefitType": "Charge"
}</t>
  </si>
  <si>
    <t>Organization Name=PT Nawa Darsana Teknologi; Publisher=Microsoft; Publisher Customer ID=346fa229-7c19-44ef-85c6-29e00edf66cf; Unit Price=429.86944; ERP=265.248984; BenefitType=Charge</t>
  </si>
  <si>
    <t>{
  "Organization Name": "PT Nawa Darsana Teknologi",
  "Publisher": "Microsoft",
  "Publisher Customer ID": "346fa229-7c19-44ef-85c6-29e00edf66cf",
  "Unit Price": "0.0",
  "ERP": "4.9965344",
  "BenefitType": "Charge"
}</t>
  </si>
  <si>
    <t>Organization Name=PT Nawa Darsana Teknologi; Publisher=Microsoft; Publisher Customer ID=346fa229-7c19-44ef-85c6-29e00edf66cf; Unit Price=0.0; ERP=4.9965344; BenefitType=Charge</t>
  </si>
  <si>
    <t>{
  "Organization Name": "PT Nawa Darsana Teknologi",
  "Publisher": "Microsoft",
  "Publisher Customer ID": "346fa229-7c19-44ef-85c6-29e00edf66cf",
  "Unit Price": "1683.6988313128",
  "ERP": "14.5311118524",
  "BenefitType": "Charge",
  "aks-managed-consolidated-additional-properties": "34722279-ea19-11f0-b144-4e2f7d5605b9",
  "aks-managed-creationSource": "vmssclient-aks-monitoring-30457830-vmss",
  "aks-managed-enable-imds-restriction": "False",
  "aks-managed-kubeletIdentityClientID": "157a42ac-4b48-4680-b23b-bc1fd3f1892a",
  "aks-managed-operationID": "46187da9-fe85-44d1-81b3-45a6c1ca7570",
  "aks-managed-orchestrator": "Kubernetes:1.33.5",
  "aks-managed-poolName": "monitoring",
  "aks-managed-resourceNameSuffix": "12047399.0",
  "aks-managed-ssh-access": "LocalUser",
  "purpose": "monitoring"
}</t>
  </si>
  <si>
    <t>Organization Name=PT Nawa Darsana Teknologi; Publisher=Microsoft; Publisher Customer ID=346fa229-7c19-44ef-85c6-29e00edf66cf; Unit Price=1683.6988313128; ERP=14.5311118524; BenefitType=Charge; aks-managed-consolidated-additional-properties=34722279-ea19-11f0-b144-4e2f7d5605b9; aks-managed-creationSource=vmssclient-aks-monitoring-30457830-vmss; aks-managed-enable-imds-restriction=False; aks-managed-kubeletIdentityClientID=157a42ac-4b48-4680-b23b-bc1fd3f1892a; aks-managed-operationID=46187da9-fe85-44d1-81b3-45a6c1ca7570; aks-managed-orchestrator=Kubernetes:1.33.5; aks-managed-poolName=monitoring; aks-managed-resourceNameSuffix=12047399.0; aks-managed-ssh-access=LocalUser; purpose=monitoring</t>
  </si>
  <si>
    <t>Detail_Shared</t>
  </si>
  <si>
    <t>Detail_Sinsen</t>
  </si>
  <si>
    <t>Detail_MenaragAgung</t>
  </si>
  <si>
    <t>rg-secops</t>
  </si>
  <si>
    <t>secopsdinov</t>
  </si>
  <si>
    <t>{
  "Organization Name": "PT Nawa Darsana Teknologi",
  "Publisher": "Microsoft",
  "Publisher Customer ID": "346fa229-7c19-44ef-85c6-29e00edf66cf",
  "Unit Price": "108,92",
  "ERP": "11205276.021938255",
  "BenefitType": "Charge",
  "Environment": "Security-Operasional",
  "purpose": "Logs Google SecOps"
}</t>
  </si>
  <si>
    <t>Organization Name=PT Nawa Darsana Teknologi; Publisher=Microsoft; Publisher Customer ID=346fa229-7c19-44ef-85c6-29e00edf66cf; Unit Price=108,92;BenefitType=Charge; Environment=Security-Operasional; purpose=Logs Google SecOps</t>
  </si>
  <si>
    <t>SQL Database Single/ElasticPool General Purpose - Compute Gen5</t>
  </si>
  <si>
    <t>3 Years</t>
  </si>
  <si>
    <t>Reserved Instance</t>
  </si>
  <si>
    <t>CDN</t>
  </si>
  <si>
    <t>a4cdaa2e-caa7-440f-b849-928a3ceb7e33</t>
  </si>
  <si>
    <t>Standard_D2s_v3</t>
  </si>
  <si>
    <t>a4cdaa2e-caa7-440f-b849-928a3ceb7e32</t>
  </si>
  <si>
    <t>Standard_D4s_v3</t>
  </si>
  <si>
    <t>HPM</t>
  </si>
  <si>
    <t>MSK</t>
  </si>
  <si>
    <t>TDM</t>
  </si>
  <si>
    <t>TRIO</t>
  </si>
  <si>
    <t>a4cdaa2e-caa7-440f-b849-928a3ceb7e34</t>
  </si>
  <si>
    <t>Standard_D8s_v3</t>
  </si>
  <si>
    <t>Anper</t>
  </si>
  <si>
    <t>Sinsen</t>
  </si>
  <si>
    <t>Menara Agung</t>
  </si>
  <si>
    <t>Row Labels</t>
  </si>
  <si>
    <t>Grand Total</t>
  </si>
  <si>
    <t>Sum of Total</t>
  </si>
  <si>
    <t>mc_rg-loyalty_lakeside_southeastasia</t>
  </si>
  <si>
    <t>aks-systemeph-33281046-vmss</t>
  </si>
  <si>
    <t>{
  "Organization Name": "PT Nawa Darsana Teknologi",
  "Publisher": "Microsoft",
  "Publisher Customer ID": "346fa229-7c19-44ef-85c6-29e00edf66cf",
  "Unit Price": "153.5247994265",
  "ERP": "0.0645536892",
  "BenefitType": "Charge",
  "aks-managed-consolidated-additional-properties": "19870c8d-3b89-11f1-a232-aa2dec2b26a1",
  "aks-managed-creationSource": "vmssclient-aks-systemeph-33281046-vmss",
  "aks-managed-enable-imds-restriction": "False",
  "aks-managed-kubeletIdentityClientID": "b2aa22d3-2063-4e90-a9df-47ffb8a7aae1",
  "aks-managed-operationID": "9e84d395-fd42-4464-9926-826e4ae94f75",
  "aks-managed-orchestrator": "Kubernetes:1.33.8",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</si>
  <si>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Price=153.5247994265; ERP=0.0645536892; BenefitType=Charge; aks-managed-consolidated-additional-properties=19870c8d-3b89-11f1-a232-aa2dec2b26a1; aks-managed-creationSource=vmssclient-aks-systemeph-33281046-vmss; aks-managed-enable-imds-restriction=False; aks-managed-kubeletIdentityClientID=b2aa22d3-2063-4e90-a9df-47ffb8a7aae1; aks-managed-operationID=9e84d395-fd42-4464-9926-826e4ae94f75; aks-managed-orchestrator=Kubernetes:1.33.8; aks-managed-poolName=systemeph; aks-managed-resourceNameSuffix=11712142.0; aks-managed-ssh-access=LocalUser; compute.aks.billing=linux</t>
  </si>
  <si>
    <t>mc_rg-loyalty-prod_locksmith_southeastasia</t>
  </si>
  <si>
    <t>aks-newuserpool-25919024-vmss</t>
  </si>
  <si>
    <t>{
  "Organization Name": "PT Nawa Darsana Teknologi",
  "Publisher": "Microsoft",
  "Publisher Customer ID": "346fa229-7c19-44ef-85c6-29e00edf66cf",
  "Unit Price": "153.5247999999",
  "ERP": "1757.433722473",
  "BenefitType": "Charge",
  "aks-managed-consolidated-additional-properties": "10b49e4b-4c06-11f1-8bd6-5ec9d1cd8e46",
  "aks-managed-creationSource": "vmssclient-aks-newuserpool-25919024-vmss",
  "aks-managed-enable-imds-restriction": "False",
  "aks-managed-kubeletIdentityClientID": "d31d2c4f-e3b8-4665-b69b-b18c5ed27c30",
  "aks-managed-operationID": "83e7f825-8218-4a0f-ba20-b087a41e559b",
  "aks-managed-orchestrator": "Kubernetes:1.33.10",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</si>
  <si>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Price=153.5247999999; ERP=1757.433722473;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</t>
  </si>
  <si>
    <t>mc_rg-loyalty-prod_limesee_southeastasia</t>
  </si>
  <si>
    <t>aks-usereph-11975611-vmss</t>
  </si>
  <si>
    <t>{
  "Organization Name": "PT Nawa Darsana Teknologi",
  "Publisher": "Microsoft",
  "Publisher Customer ID": "346fa229-7c19-44ef-85c6-29e00edf66cf",
  "Unit Price": "153.5248",
  "ERP": "90859.5498390008",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</si>
  <si>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ERP=90859.5498390008;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</si>
  <si>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Az DB Regional</t>
  </si>
  <si>
    <t>Azure Databricks</t>
  </si>
  <si>
    <t>Azure Databricks Regional</t>
  </si>
  <si>
    <t>Premium Automated Serverless Compute DBU</t>
  </si>
  <si>
    <t>RG-Loyalty</t>
  </si>
  <si>
    <t>Analytics-LMS</t>
  </si>
  <si>
    <t>{
  "Organization Name": "PT Nawa Darsana Teknologi",
  "Publisher": "Microsoft",
  "Publisher Customer ID": "346fa229-7c19-44ef-85c6-29e00edf66cf",
  "Unit Price": "7676.24",
  "ERP": "846.2819079",
  "BenefitType": "Charge",
  "Billing": "Loyalty",
  "BillingOriginProduct": "PREDICTIVE_OPTIMIZATION",
  "ClusterId": "0518-195423-npct7tx4-v2n",
  "ClusterName": "job-548287912899187-run-719031979261564-Predictive-Optimization",
  "Creator": "a25b9e47-2518-438d-90ee-1cd792b5b46d",
  "JobId": "548287912899187.0",
  "Predictive Optimization": "True",
  "RunName": "Predictive Optimization Job-e4d1bded-4018-461f-934c-4c89d69a8860",
  "Vendor": "Databricks"
}</t>
  </si>
  <si>
    <t>Organization Name=PT Nawa Darsana Teknologi; Publisher=Microsoft; Publisher Customer ID=346fa229-7c19-44ef-85c6-29e00edf66cf; Unit Price=7676.24; ERP=846.2819079; BenefitType=Charge; Billing=Loyalty; BillingOriginProduct=PREDICTIVE_OPTIMIZATION; ClusterId=0518-195423-npct7tx4-v2n; ClusterName=job-548287912899187-run-719031979261564-Predictive-Optimization; Creator=a25b9e47-2518-438d-90ee-1cd792b5b46d; JobId=548287912899187.0; Predictive Optimization=True; RunName=Predictive Optimization Job-e4d1bded-4018-461f-934c-4c89d69a8860; Vendor=Databricks</t>
  </si>
  <si>
    <t>{
  "Organization Name": "PT Nawa Darsana Teknologi",
  "Publisher": "Microsoft",
  "Publisher Customer ID": "346fa229-7c19-44ef-85c6-29e00edf66cf",
  "Unit Price": "7676.24",
  "ERP": "446.326033725",
  "BenefitType": "Charge",
  "Billing": "Loyalty",
  "BillingOriginProduct": "PREDICTIVE_OPTIMIZATION",
  "ClusterId": "0519-215934-cu3ezbxq-v2n",
  "ClusterName": "job-12645589241737-run-841441881092590-Predictive-Optimization",
  "Creator": "a25b9e47-2518-438d-90ee-1cd792b5b46d",
  "JobId": "12645589241737.0",
  "Predictive Optimization": "True",
  "RunName": "Predictive Optimization Job-e6b7ceea-5431-4c3b-84a1-83858debffc5",
  "Vendor": "Databricks"
}</t>
  </si>
  <si>
    <t>Organization Name=PT Nawa Darsana Teknologi; Publisher=Microsoft; Publisher Customer ID=346fa229-7c19-44ef-85c6-29e00edf66cf; Unit Price=7676.24; ERP=446.326033725; BenefitType=Charge; Billing=Loyalty; BillingOriginProduct=PREDICTIVE_OPTIMIZATION; ClusterId=0519-215934-cu3ezbxq-v2n; ClusterName=job-12645589241737-run-841441881092590-Predictive-Optimization; Creator=a25b9e47-2518-438d-90ee-1cd792b5b46d; JobId=12645589241737.0; Predictive Optimization=True; RunName=Predictive Optimization Job-e6b7ceea-5431-4c3b-84a1-83858debffc5; Vendor=Databricks</t>
  </si>
  <si>
    <t>{
  "Organization Name": "PT Nawa Darsana Teknologi",
  "Publisher": "Microsoft",
  "Publisher Customer ID": "346fa229-7c19-44ef-85c6-29e00edf66cf",
  "Unit Price": "7676.24",
  "ERP": "2027.93394375",
  "BenefitType": "Charge",
  "Billing": "Loyalty",
  "BillingOriginProduct": "JOBS",
  "ClusterId": "0520-182013-te4v7mhx-v2n",
  "ClusterName": "job-866641465762645-run-159576138866077-X_Databricks_Computeles",
  "Creator": "deo.haganta@divisiinovasi.onmicrosoft.com",
  "JobId": "866641465762645.0",
  "RunName": "Job Daily DWH Production",
  "Vendor": "Databricks"
}</t>
  </si>
  <si>
    <t>Organization Name=PT Nawa Darsana Teknologi; Publisher=Microsoft; Publisher Customer ID=346fa229-7c19-44ef-85c6-29e00edf66cf; Unit Price=7676.24; ERP=2027.93394375; BenefitType=Charge; Billing=Loyalty; BillingOriginProduct=JOBS; ClusterId=0520-182013-te4v7mhx-v2n; ClusterName=job-866641465762645-run-159576138866077-X_Databricks_Computeles; Creator=deo.haganta@divisiinovasi.onmicrosoft.com; JobId=866641465762645.0; RunName=Job Daily DWH Production; Vendor=Databricks</t>
  </si>
  <si>
    <t>{
  "Organization Name": "PT Nawa Darsana Teknologi",
  "Publisher": "Microsoft",
  "Publisher Customer ID": "346fa229-7c19-44ef-85c6-29e00edf66cf",
  "Unit Price": "7676.24",
  "ERP": "665.2840194",
  "BenefitType": "Charge",
  "Billing": "Loyalty",
  "BillingOriginProduct": "PREDICTIVE_OPTIMIZATION",
  "ClusterId": "0520-213009-5k3r028q-v2n",
  "ClusterName": "job-1057264132030659-run-584669323500054-Predictive-Optimizatio",
  "Creator": "a25b9e47-2518-438d-90ee-1cd792b5b46d",
  "JobId": "1057264132030659.0",
  "Predictive Optimization": "True",
  "RunName": "Predictive Optimization Job-768fba60-3391-4ab7-86c1-a6dcd7f4e178",
  "Vendor": "Databricks"
}</t>
  </si>
  <si>
    <t>Organization Name=PT Nawa Darsana Teknologi; Publisher=Microsoft; Publisher Customer ID=346fa229-7c19-44ef-85c6-29e00edf66cf; Unit Price=7676.24; ERP=665.2840194; BenefitType=Charge; Billing=Loyalty; BillingOriginProduct=PREDICTIVE_OPTIMIZATION; ClusterId=0520-213009-5k3r028q-v2n; ClusterName=job-1057264132030659-run-584669323500054-Predictive-Optimizatio; Creator=a25b9e47-2518-438d-90ee-1cd792b5b46d; JobId=1057264132030659.0; Predictive Optimization=True; RunName=Predictive Optimization Job-768fba60-3391-4ab7-86c1-a6dcd7f4e178; Vendor=Databricks</t>
  </si>
  <si>
    <t>{
  "Organization Name": "PT Nawa Darsana Teknologi",
  "Publisher": "Microsoft",
  "Publisher Customer ID": "346fa229-7c19-44ef-85c6-29e00edf66cf",
  "Unit Price": "7676.2399999991",
  "ERP": "572.8157846268",
  "BenefitType": "Charge",
  "Billing": "Loyalty",
  "BillingOriginProduct": "PREDICTIVE_OPTIMIZATION",
  "ClusterId": "0526-195404-dvolhvrm-v2n",
  "ClusterName": "job-185550734746027-run-1048458666625743-Predictive-Optimizatio",
  "Creator": "a25b9e47-2518-438d-90ee-1cd792b5b46d",
  "JobId": "185550734746027.0",
  "Predictive Optimization": "True",
  "RunName": "Predictive Optimization Job-d0ac8abc-9aea-4162-a3ef-f95b169e9865",
  "Vendor": "Databricks"
}</t>
  </si>
  <si>
    <t>Organization Name=PT Nawa Darsana Teknologi; Publisher=Microsoft; Publisher Customer ID=346fa229-7c19-44ef-85c6-29e00edf66cf; Unit Price=7676.2399999991; ERP=572.8157846268; BenefitType=Charge; Billing=Loyalty; BillingOriginProduct=PREDICTIVE_OPTIMIZATION; ClusterId=0526-195404-dvolhvrm-v2n; ClusterName=job-185550734746027-run-1048458666625743-Predictive-Optimizatio; Creator=a25b9e47-2518-438d-90ee-1cd792b5b46d; JobId=185550734746027.0; Predictive Optimization=True; RunName=Predictive Optimization Job-d0ac8abc-9aea-4162-a3ef-f95b169e9865; Vendor=Databricks</t>
  </si>
  <si>
    <t>Standard SSD Managed Disks</t>
  </si>
  <si>
    <t>E4 LRS Disk</t>
  </si>
  <si>
    <t>RG-LOYALTY</t>
  </si>
  <si>
    <t>salacca-dev-1_OsDisk_1_de6be7252565462c82de91d177ca0a6a</t>
  </si>
  <si>
    <t>{
  "Organization Name": "PT Nawa Darsana Teknologi",
  "Publisher": "Microsoft",
  "Publisher Customer ID": "346fa229-7c19-44ef-85c6-29e00edf66cf",
  "Unit Price": "36845.952",
  "ERP": "41867.7202944",
  "BenefitType": "Charge",
  "Loyalty": "Loyalty"
}</t>
  </si>
  <si>
    <t>Organization Name=PT Nawa Darsana Teknologi; Publisher=Microsoft; Publisher Customer ID=346fa229-7c19-44ef-85c6-29e00edf66cf; Unit Price=36845.952; ERP=41867.7202944; BenefitType=Charge; Loyalty=Loyalty</t>
  </si>
  <si>
    <t>Files</t>
  </si>
  <si>
    <t>Protocol Operations</t>
  </si>
  <si>
    <t>RG-Loyalty-Prod</t>
  </si>
  <si>
    <t>logicapp4str4</t>
  </si>
  <si>
    <t>{
  "Organization Name": "PT Nawa Darsana Teknologi",
  "Publisher": "Microsoft",
  "Publisher Customer ID": "346fa229-7c19-44ef-85c6-29e00edf66cf",
  "Unit Price": "23.02872",
  "ERP": "24.9102711",
  "BenefitType": "Charge",
  "Environment": "Production",
  "Name": "Curl-api-report"
}</t>
  </si>
  <si>
    <t>Organization Name=PT Nawa Darsana Teknologi; Publisher=Microsoft; Publisher Customer ID=346fa229-7c19-44ef-85c6-29e00edf66cf; Unit Price=23.02872; ERP=24.9102711; BenefitType=Charge; Environment=Production; Name=Curl-api-report</t>
  </si>
  <si>
    <t>{
  "Organization Name": "PT Nawa Darsana Teknologi",
  "Publisher": "Microsoft",
  "Publisher Customer ID": "346fa229-7c19-44ef-85c6-29e00edf66cf",
  "Unit Price": "1228.1983990939",
  "ERP": "1.5092290356",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</si>
  <si>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Price=1228.1983990939; ERP=1.5092290356;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</si>
  <si>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"1228.1975043036",
  "ERP": "0.0002337764",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</si>
  <si>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Price=1228.1975043036; ERP=0.0002337764;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</si>
  <si>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"1842.2965502895",
  "ERP": "0.0001273558",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</si>
  <si>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Price=1842.2965502895; ERP=0.0001273558;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</si>
  <si>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Dv2 Series VM</t>
  </si>
  <si>
    <t>Virtual Machines Dv2 Series</t>
  </si>
  <si>
    <t>D2 v2/DS2 v2</t>
  </si>
  <si>
    <t>MC_RG-LOYALTY-PROD_LOCKSMITH_SOUTHEASTASIA</t>
  </si>
  <si>
    <t>aks-monitoring-70266679-vmss</t>
  </si>
  <si>
    <t>{
  "Organization Name": "PT Nawa Darsana Teknologi",
  "Publisher": "Microsoft",
  "Publisher Customer ID": "346fa229-7c19-44ef-85c6-29e00edf66cf",
  "Unit Price": "2425.69184",
  "ERP": "118895.72657248",
  "BenefitType": "Charge",
  "aks-managed-consolidated-additional-properties": "87926557-3b8a-11f1-95e3-2e4ba821b3e8",
  "aks-managed-creationSource": "vmssclient-aks-monitoring-70266679-vmss",
  "aks-managed-enable-imds-restriction": "False",
  "aks-managed-kubeletIdentityClientID": "d31d2c4f-e3b8-4665-b69b-b18c5ed27c30",
  "aks-managed-operationID": "2f321416-f628-4de1-b867-706e0a18a60d",
  "aks-managed-orchestrator": "Kubernetes:1.33.8",
  "aks-managed-poolName": "monitoring",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</si>
  <si>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Price=2425.69184; ERP=118895.72657248; BenefitType=Charge; aks-managed-consolidated-additional-properties=87926557-3b8a-11f1-95e3-2e4ba821b3e8; aks-managed-creationSource=vmssclient-aks-monitoring-70266679-vmss; aks-managed-enable-imds-restriction=False; aks-managed-kubeletIdentityClientID=d31d2c4f-e3b8-4665-b69b-b18c5ed27c30; aks-managed-operationID=2f321416-f628-4de1-b867-706e0a18a60d; aks-managed-orchestrator=Kubernetes:1.33.8; aks-managed-poolName=monitoring; aks-managed-resourceNameSuffix=36864977.0; aks-managed-ssh-access=LocalUser; compute.aks.billing=linux</t>
  </si>
  <si>
    <t>MC_RG-LOYALTY-PROD_LIMESEE_SOUTHEASTASIA</t>
  </si>
  <si>
    <t>aks-monitoring-17595035-vmss</t>
  </si>
  <si>
    <t>{
  "Organization Name": "PT Nawa Darsana Teknologi",
  "Publisher": "Microsoft",
  "Publisher Customer ID": "346fa229-7c19-44ef-85c6-29e00edf66cf",
  "Unit Price": "2425.69184",
  "ERP": "97763.2095193754",
  "BenefitType": "Charge",
  "aks-managed-consolidated-additional-properties": "7fbc0e22-3b8a-11f1-ad93-229365f5b931",
  "aks-managed-creationSource": "vmssclient-aks-monitoring-17595035-vmss",
  "aks-managed-enable-imds-restriction": "False",
  "aks-managed-kubeletIdentityClientID": "f876420b-ca69-40d9-b52b-83d95239c056",
  "aks-managed-operationID": "efdc0013-0c43-4a2e-82d7-dcc18b8419e2",
  "aks-managed-orchestrator": "Kubernetes:1.33.8",
  "aks-managed-poolName": "monitoring",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</si>
  <si>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Price=2425.69184; ERP=97763.2095193754; BenefitType=Charge; aks-managed-consolidated-additional-properties=7fbc0e22-3b8a-11f1-ad93-229365f5b931; aks-managed-creationSource=vmssclient-aks-monitoring-17595035-vmss; aks-managed-enable-imds-restriction=False; aks-managed-kubeletIdentityClientID=f876420b-ca69-40d9-b52b-83d95239c056; aks-managed-operationID=efdc0013-0c43-4a2e-82d7-dcc18b8419e2; aks-managed-orchestrator=Kubernetes:1.33.8; aks-managed-poolName=monitoring; aks-managed-resourceNameSuffix=10784077.0; aks-managed-ssh-access=LocalUser; compute.aks.billing=linux</t>
  </si>
  <si>
    <t>MC_RG-LOYALTY_LAKESIDE_SOUTHEASTASIA</t>
  </si>
  <si>
    <t>aks-usereph-29326849-vmss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</si>
  <si>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</si>
  <si>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</si>
  <si>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"47dbf5f1-4c0a-11f1-ad6b-a26c3881ebea",
  "aks-managed-creationSource": "vmssclient-aks-systemeph-33281046-vmss",
  "aks-managed-enable-imds-restriction": "False",
  "aks-managed-kubeletIdentityClientID": "b2aa22d3-2063-4e90-a9df-47ffb8a7aae1",
  "aks-managed-operationID": "94fb6e4a-1533-4ef7-ab97-16965dda6ad7",
  "aks-managed-orchestrator": "Kubernetes:1.33.10",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</si>
  <si>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</t>
  </si>
  <si>
    <t>aks-udbziumeph-39962470-vmss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</si>
  <si>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"325204be-59a1-11f1-be0b-d69bb301ee57",
  "aks-managed-creationSource": "vmssclient-aks-udbziumeph-39962470-vmss",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</si>
  <si>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</si>
  <si>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</si>
  <si>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</si>
  <si>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LRS List and Create Container Operations</t>
  </si>
  <si>
    <t>lilypond</t>
  </si>
  <si>
    <t>{
  "Organization Name": "PT Nawa Darsana Teknologi",
  "Publisher": "Microsoft",
  "Publisher Customer ID": "346fa229-7c19-44ef-85c6-29e00edf66cf",
  "Unit Price": "767.624",
  "ERP": "0.95953",
  "BenefitType": "Charge"
}</t>
  </si>
  <si>
    <t>Organization Name=PT Nawa Darsana Teknologi; Publisher=Microsoft; Publisher Customer ID=346fa229-7c19-44ef-85c6-29e00edf66cf; Unit Price=767.624; ERP=0.95953; BenefitType=Charge</t>
  </si>
  <si>
    <t>rg-loyalty</t>
  </si>
  <si>
    <t>{
  "Organization Name": "PT Nawa Darsana Teknologi",
  "Publisher": "Microsoft",
  "Publisher Customer ID": "346fa229-7c19-44ef-85c6-29e00edf66cf",
  "Unit Price": "2368.904172042",
  "ERP": "8722.9999982554",
  "BenefitType": "Charge",
  "env": "Loyalty-Development"
}</t>
  </si>
  <si>
    <t>Organization Name=PT Nawa Darsana Teknologi; Publisher=Microsoft; Publisher Customer ID=346fa229-7c19-44ef-85c6-29e00edf66cf; Unit Price=2368.904172042; ERP=8722.9999982554; BenefitType=Charge; env=Loyalty-Development</t>
  </si>
  <si>
    <t>{
  "Organization Name": "PT Nawa Darsana Teknologi",
  "Publisher": "Microsoft",
  "Publisher Customer ID": "346fa229-7c19-44ef-85c6-29e00edf66cf",
  "Unit Price": "153.5247989064",
  "ERP": "0.009542962",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</si>
  <si>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Price=153.5247989064; ERP=0.009542962;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</si>
  <si>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"153.524798878",
  "ERP": "0.0244749934",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</si>
  <si>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Price=153.524798878; ERP=0.0244749934;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</si>
  <si>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"153.5247999858",
  "ERP": "4.8244104194",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</si>
  <si>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Price=153.5247999858; ERP=4.8244104194;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</si>
  <si>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"153.5247998011",
  "ERP": "0.0418389972",
  "BenefitType": "Charge",
  "aks-managed-consolidated-additional-properties": "de1ef251-3b84-11f1-95e3-2e4ba821b3e8",
  "aks-managed-creationSource": "vmssclient-aks-usereph-29326849-vmss",
  "aks-managed-enable-imds-restriction": "False",
  "aks-managed-kubeletIdentityClientID": "b2aa22d3-2063-4e90-a9df-47ffb8a7aae1",
  "aks-managed-operationID": "583623f0-ca12-4a44-a1c9-b965876cced6",
  "aks-managed-orchestrator": "Kubernetes:1.33.8",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</si>
  <si>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Price=153.5247998011; ERP=0.0418389972;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</si>
  <si>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"153.5247992437",
  "ERP": "0.0458498326",
  "BenefitType": "Charge",
  "aks-managed-consolidated-additional-properties": "bfea8e67-3b82-11f1-95e3-2e4ba821b3e8",
  "aks-managed-creationSource": "vmssclient-aks-udbziumeph-39962470-vmss",
  "aks-managed-enable-imds-restriction": "False",
  "aks-managed-kubeletIdentityClientID": "b2aa22d3-2063-4e90-a9df-47ffb8a7aae1",
  "aks-managed-operationID": "009a74c2-0f20-4db9-a8a5-bbf8d086af00",
  "aks-managed-orchestrator": "Kubernetes:1.33.8",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</si>
  <si>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Price=153.5247992437; ERP=0.0458498326; BenefitType=Charge; aks-managed-consolidated-additional-properties=bfea8e67-3b82-11f1-95e3-2e4ba821b3e8; aks-managed-creationSource=vmssclient-aks-udbziumeph-39962470-vmss; aks-managed-enable-imds-restriction=False; aks-managed-kubeletIdentityClientID=b2aa22d3-2063-4e90-a9df-47ffb8a7aae1; aks-managed-operationID=009a74c2-0f20-4db9-a8a5-bbf8d086af00; aks-managed-orchestrator=Kubernetes:1.33.8;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</si>
  <si>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"153.5247986201",
  "ERP": "0.0078140634",
  "BenefitType": "Charge",
  "aks-managed-consolidated-additional-properties": "311cf8b6-57da-11f1-a161-cad1f54d4175",
  "aks-managed-creationSource": "vmssclient-aks-udbziumeph-39962470-vmss",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</si>
  <si>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Price=153.5247986201; ERP=0.0078140634;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</si>
  <si>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"153.5247982889",
  "ERP": "0.0084159504",
  "BenefitType": "Charge",
  "aks-managed-consolidated-additional-properties": "311ee467-57da-11f1-a161-cad1f54d4175",
  "aks-managed-creationSource": "vmssclient-aks-usereph-29326849-vmss",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</si>
  <si>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Price=153.5247982889; ERP=0.0084159504;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</si>
  <si>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"153.5247999806",
  "ERP": "4.0596266282",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</si>
  <si>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Price=153.5247999806; ERP=4.0596266282;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</si>
  <si>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"153.5247634578",
  "ERP": "0.0001011868",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</si>
  <si>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Price=153.5247634578; ERP=0.0001011868;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</si>
  <si>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rg-loyalty-prod</t>
  </si>
  <si>
    <t>jumpbox-prod-new</t>
  </si>
  <si>
    <t>{
  "Organization Name": "PT Nawa Darsana Teknologi",
  "Publisher": "Microsoft",
  "Publisher Customer ID": "346fa229-7c19-44ef-85c6-29e00edf66cf",
  "Unit Price": "1070.4949963446",
  "ERP": "0.1650461384",
  "BenefitType": "Charge",
  "Environment": "Production",
  "Name": "Jumpbox-prod-new"
}</t>
  </si>
  <si>
    <t>Organization Name=PT Nawa Darsana Teknologi; Publisher=Microsoft; Publisher Customer ID=346fa229-7c19-44ef-85c6-29e00edf66cf; Unit Price=1070.4949963446; ERP=0.1650461384; BenefitType=Charge; Environment=Production; Name=Jumpbox-prod-new</t>
  </si>
  <si>
    <t>{
  "Organization Name": "PT Nawa Darsana Teknologi",
  "Publisher": "Microsoft",
  "Publisher Customer ID": "346fa229-7c19-44ef-85c6-29e00edf66cf",
  "Unit Price": "1228.1983999952",
  "ERP": "416.5026846552",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</si>
  <si>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Price=1228.1983999952; ERP=416.5026846552;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</si>
  <si>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"1228.1983999975",
  "ERP": "947.6712140896",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</si>
  <si>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Price=1228.1983999975; ERP=947.6712140896;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</si>
  <si>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"7676.2399999997",
  "ERP": "2540.9093430006",
  "BenefitType": "Charge",
  "Billing": "Loyalty",
  "BillingOriginProduct": "PREDICTIVE_OPTIMIZATION",
  "Creator": "a25b9e47-2518-438d-90ee-1cd792b5b46d",
  "JobId": "875248620623635.0",
  "Predictive Optimization": "True",
  "Vendor": "Databricks"
}</t>
  </si>
  <si>
    <t>Organization Name=PT Nawa Darsana Teknologi; Publisher=Microsoft; Publisher Customer ID=346fa229-7c19-44ef-85c6-29e00edf66cf; Unit Price=7676.2399999997; ERP=2540.9093430006; BenefitType=Charge; Billing=Loyalty; BillingOriginProduct=PREDICTIVE_OPTIMIZATION; Creator=a25b9e47-2518-438d-90ee-1cd792b5b46d; JobId=875248620623635.0; Predictive Optimization=True; Vendor=Databricks</t>
  </si>
  <si>
    <t>{
  "Organization Name": "PT Nawa Darsana Teknologi",
  "Publisher": "Microsoft",
  "Publisher Customer ID": "346fa229-7c19-44ef-85c6-29e00edf66cf",
  "Unit Price": "7676.239999999",
  "ERP": "1009.6432703786",
  "BenefitType": "Charge",
  "Billing": "Loyalty",
  "BillingOriginProduct": "PREDICTIVE_OPTIMIZATION",
  "Creator": "a25b9e47-2518-438d-90ee-1cd792b5b46d",
  "JobId": "955358622909635.0",
  "Predictive Optimization": "True",
  "Vendor": "Databricks"
}</t>
  </si>
  <si>
    <t>Organization Name=PT Nawa Darsana Teknologi; Publisher=Microsoft; Publisher Customer ID=346fa229-7c19-44ef-85c6-29e00edf66cf; Unit Price=7676.239999999; ERP=1009.6432703786; BenefitType=Charge; Billing=Loyalty; BillingOriginProduct=PREDICTIVE_OPTIMIZATION; Creator=a25b9e47-2518-438d-90ee-1cd792b5b46d; JobId=955358622909635.0; Predictive Optimization=True; Vendor=Databricks</t>
  </si>
  <si>
    <t>{
  "Organization Name": "PT Nawa Darsana Teknologi",
  "Publisher": "Microsoft",
  "Publisher Customer ID": "346fa229-7c19-44ef-85c6-29e00edf66cf",
  "Unit Price": "7676.2399999998",
  "ERP": "2128.4262760618",
  "BenefitType": "Charge",
  "Billing": "Loyalty",
  "BillingOriginProduct": "PREDICTIVE_OPTIMIZATION",
  "Creator": "a25b9e47-2518-438d-90ee-1cd792b5b46d",
  "JobId": "894640926867521.0",
  "Predictive Optimization": "True",
  "Vendor": "Databricks"
}</t>
  </si>
  <si>
    <t>Organization Name=PT Nawa Darsana Teknologi; Publisher=Microsoft; Publisher Customer ID=346fa229-7c19-44ef-85c6-29e00edf66cf; Unit Price=7676.2399999998; ERP=2128.4262760618; BenefitType=Charge; Billing=Loyalty; BillingOriginProduct=PREDICTIVE_OPTIMIZATION; Creator=a25b9e47-2518-438d-90ee-1cd792b5b46d; JobId=894640926867521.0; Predictive Optimization=True; Vendor=Databricks</t>
  </si>
  <si>
    <t>{
  "Organization Name": "PT Nawa Darsana Teknologi",
  "Publisher": "Microsoft",
  "Publisher Customer ID": "346fa229-7c19-44ef-85c6-29e00edf66cf",
  "Unit Price": "1228.198043016",
  "ERP": "0.0001552694",
  "BenefitType": "Charge",
  "aks-managed-consolidated-additional-properties": "325204be-59a1-11f1-be0b-d69bb301ee57",
  "aks-managed-creationSource": "vmssclient-aks-udbziumeph-39962470-vmss",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</si>
  <si>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Price=1228.198043016; ERP=0.0001552694;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</si>
  <si>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"1228.1983991719",
  "ERP": "1.3840801546",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</si>
  <si>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Price=1228.1983991719; ERP=1.3840801546;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</si>
  <si>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"1228.1983990819",
  "ERP": "2.1109817014",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</si>
  <si>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Price=1228.1983990819; ERP=2.1109817014;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</si>
  <si>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"1228.198399369",
  "ERP": "1.3937016236",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</si>
  <si>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Price=1228.198399369; ERP=1.3937016236;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</si>
  <si>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"153.5247999977",
  "ERP": "15.1266223394",
  "BenefitType": "Charge",
  "aks-managed-consolidated-additional-properties": "311ee467-57da-11f1-a161-cad1f54d4175",
  "aks-managed-creationSource": "vmssclient-aks-usereph-29326849-vmss",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</si>
  <si>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Price=153.5247999977; ERP=15.1266223394;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</si>
  <si>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"153.5247999993",
  "ERP": "292.041460425",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</si>
  <si>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Price=153.5247999993; ERP=292.041460425;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</si>
  <si>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aks-usereph-42924794-vmss</t>
  </si>
  <si>
    <t>{
  "Organization Name": "PT Nawa Darsana Teknologi",
  "Publisher": "Microsoft",
  "Publisher Customer ID": "346fa229-7c19-44ef-85c6-29e00edf66cf",
  "Unit Price": "3838.12",
  "ERP": "59103.82049",
  "BenefitType": "Charge",
  "aks-managed-consolidated-additional-properties": "676589cd-3b88-11f1-95e3-2e4ba821b3e8",
  "aks-managed-creationSource": "vmssclient-aks-usereph-42924794-vmss",
  "aks-managed-enable-imds-restriction": "False",
  "aks-managed-kubeletIdentityClientID": "d31d2c4f-e3b8-4665-b69b-b18c5ed27c30",
  "aks-managed-operationID": "ec04889c-3fcb-4604-8e4e-2fa3896b4783",
  "aks-managed-orchestrator": "Kubernetes:1.33.8",
  "aks-managed-poolName": "usereph",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</si>
  <si>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Price=3838.12; ERP=59103.82049; BenefitType=Charge; aks-managed-consolidated-additional-properties=676589cd-3b88-11f1-95e3-2e4ba821b3e8; aks-managed-creationSource=vmssclient-aks-usereph-42924794-vmss; aks-managed-enable-imds-restriction=False; aks-managed-kubeletIdentityClientID=d31d2c4f-e3b8-4665-b69b-b18c5ed27c30; aks-managed-operationID=ec04889c-3fcb-4604-8e4e-2fa3896b4783; aks-managed-orchestrator=Kubernetes:1.33.8; aks-managed-poolName=usereph;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</si>
  <si>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"1228.198043016",
  "ERP": "0.0003105388",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</si>
  <si>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Price=1228.198043016; ERP=0.0003105388;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</si>
  <si>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"1228.1964268787",
  "ERP": "7.67624e-05",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</si>
  <si>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Price=1228.1964268787; ERP=7.67624e-05;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</si>
  <si>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"1919.06",
  "ERP": "508.84966275",
  "BenefitType": "Charge",
  "aks-managed-consolidated-additional-properties": "311f4bef-57da-11f1-a161-cad1f54d4175",
  "aks-managed-creationSource": "vmssclient-aks-systemeph-33281046-vmss",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</si>
  <si>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Price=1919.06; ERP=508.84966275;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</si>
  <si>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"153.5247999206",
  "ERP": "3.6597817542",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</si>
  <si>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Price=153.5247999206; ERP=3.6597817542;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</si>
  <si>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"153.5247996236",
  "ERP": "0.0308567402",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</si>
  <si>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Price=153.5247996236; ERP=0.0308567402;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</si>
  <si>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"1228.1983990525",
  "ERP": "1.2173068622",
  "BenefitType": "Charge",
  "aks-managed-consolidated-additional-properties": "676589cd-3b88-11f1-95e3-2e4ba821b3e8",
  "aks-managed-creationSource": "vmssclient-aks-usereph-42924794-vmss",
  "aks-managed-enable-imds-restriction": "False",
  "aks-managed-kubeletIdentityClientID": "d31d2c4f-e3b8-4665-b69b-b18c5ed27c30",
  "aks-managed-operationID": "ec04889c-3fcb-4604-8e4e-2fa3896b4783",
  "aks-managed-orchestrator": "Kubernetes:1.33.8",
  "aks-managed-poolName": "usereph",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</si>
  <si>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Price=1228.1983990525; ERP=1.2173068622; BenefitType=Charge; aks-managed-consolidated-additional-properties=676589cd-3b88-11f1-95e3-2e4ba821b3e8; aks-managed-creationSource=vmssclient-aks-usereph-42924794-vmss; aks-managed-enable-imds-restriction=False; aks-managed-kubeletIdentityClientID=d31d2c4f-e3b8-4665-b69b-b18c5ed27c30; aks-managed-operationID=ec04889c-3fcb-4604-8e4e-2fa3896b4783; aks-managed-orchestrator=Kubernetes:1.33.8; aks-managed-poolName=usereph; aks-managed-resourceNameSuffix=36864977.0; aks-managed-ssh-access=LocalUser; compute.aks.billing=linux</t>
  </si>
  <si>
    <t>Bsv2 Series VM</t>
  </si>
  <si>
    <t>Virtual Machines Bsv2 Series</t>
  </si>
  <si>
    <t>B2s v2</t>
  </si>
  <si>
    <t>RG-LOYALTY-PROD</t>
  </si>
  <si>
    <t>github-runner-loyalty</t>
  </si>
  <si>
    <t>{
  "Organization Name": "PT Nawa Darsana Teknologi",
  "Publisher": "Microsoft",
  "Publisher Customer ID": "346fa229-7c19-44ef-85c6-29e00edf66cf",
  "Unit Price": "1627.36288",
  "ERP": "564029.18",
  "BenefitType": "Charge"
}</t>
  </si>
  <si>
    <t>Organization Name=PT Nawa Darsana Teknologi; Publisher=Microsoft; Publisher Customer ID=346fa229-7c19-44ef-85c6-29e00edf66cf; Unit Price=1627.36288; ERP=564029.18; BenefitType=Charge</t>
  </si>
  <si>
    <t>{
  "Organization Name": "PT Nawa Darsana Teknologi",
  "Publisher": "Microsoft",
  "Publisher Customer ID": "346fa229-7c19-44ef-85c6-29e00edf66cf",
  "Unit Price": "1228.1983999784",
  "ERP": "145.3797004946",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</si>
  <si>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Price=1228.1983999784; ERP=145.3797004946;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</si>
  <si>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"153.5247999998",
  "ERP": "189.818036551",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</si>
  <si>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Price=153.5247999998; ERP=189.818036551;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</si>
  <si>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"153.5248",
  "ERP": "138.3018321256",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</si>
  <si>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ERP=138.3018321256;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</si>
  <si>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salacca-dev-1</t>
  </si>
  <si>
    <t>{
  "Organization Name": "PT Nawa Darsana Teknologi",
  "Publisher": "Microsoft",
  "Publisher Customer ID": "346fa229-7c19-44ef-85c6-29e00edf66cf",
  "Unit Price": "1228.1983993162",
  "ERP": "0.4902256216",
  "BenefitType": "Charge",
  "Loyalty": "Loyalty"
}</t>
  </si>
  <si>
    <t>Organization Name=PT Nawa Darsana Teknologi; Publisher=Microsoft; Publisher Customer ID=346fa229-7c19-44ef-85c6-29e00edf66cf; Unit Price=1228.1983993162; ERP=0.4902256216; BenefitType=Charge; Loyalty=Loyalty</t>
  </si>
  <si>
    <t>mdm-to-salacca</t>
  </si>
  <si>
    <t>vpn-to-sa-lilypond-private-endpoint</t>
  </si>
  <si>
    <t>{
  "Organization Name": "PT Nawa Darsana Teknologi",
  "Publisher": "Microsoft",
  "Publisher Customer ID": "346fa229-7c19-44ef-85c6-29e00edf66cf",
  "Unit Price": "153.5248",
  "ERP": "129798.24",
  "BenefitType": "Charge",
  "Billing": "Loyalty"
}</t>
  </si>
  <si>
    <t>Organization Name=PT Nawa Darsana Teknologi; Publisher=Microsoft; Publisher Customer ID=346fa229-7c19-44ef-85c6-29e00edf66cf; Unit Price=153.5248; ERP=129798.24; BenefitType=Charge; Billing=Loyalty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</si>
  <si>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</si>
  <si>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</si>
  <si>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"ebfb66c7-4c03-11f1-ad6b-a26c3881ebea",
  "aks-managed-creationSource": "vmssclient-aks-udbziumeph-39962470-vmss",
  "aks-managed-enable-imds-restriction": "False",
  "aks-managed-kubeletIdentityClientID": "b2aa22d3-2063-4e90-a9df-47ffb8a7aae1",
  "aks-managed-operationID": "a8de8d52-26ef-400f-baca-26615e975193",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</si>
  <si>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</t>
  </si>
  <si>
    <t>aks-systemeph-24765003-vmss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</si>
  <si>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"60d53c41-4c0c-11f1-8bd6-5ec9d1cd8e46",
  "aks-managed-creationSource": "vmssclient-aks-systemeph-24765003-vmss",
  "aks-managed-enable-imds-restriction": "False",
  "aks-managed-kubeletIdentityClientID": "f876420b-ca69-40d9-b52b-83d95239c056",
  "aks-managed-operationID": "7872550c-063f-4ec2-a11c-de26b186cccd",
  "aks-managed-orchestrator": "Kubernetes:1.33.10",
  "aks-managed-poolName": "systemeph",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</si>
  <si>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aks-managed-consolidated-additional-properties=60d53c41-4c0c-11f1-8bd6-5ec9d1cd8e46; aks-managed-creationSource=vmssclient-aks-systemeph-24765003-vmss; aks-managed-enable-imds-restriction=False; aks-managed-kubeletIdentityClientID=f876420b-ca69-40d9-b52b-83d95239c056; aks-managed-operationID=7872550c-063f-4ec2-a11c-de26b186cccd; aks-managed-orchestrator=Kubernetes:1.33.10; aks-managed-poolName=systemeph;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</si>
  <si>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"7676.24",
  "ERP": "672.571431675",
  "BenefitType": "Charge",
  "Billing": "Loyalty",
  "BillingOriginProduct": "PREDICTIVE_OPTIMIZATION",
  "ClusterId": "0506-195103-h18h34bo-v2n",
  "ClusterName": "job-165990010845835-run-388878870881708-Predictive-Optimization",
  "Creator": "a25b9e47-2518-438d-90ee-1cd792b5b46d",
  "JobId": "165990010845835.0",
  "Predictive Optimization": "True",
  "RunName": "Predictive Optimization Job-be956708-3968-4d66-8717-2aa143381925",
  "Vendor": "Databricks"
}</t>
  </si>
  <si>
    <t>Organization Name=PT Nawa Darsana Teknologi; Publisher=Microsoft; Publisher Customer ID=346fa229-7c19-44ef-85c6-29e00edf66cf; Unit Price=7676.24; ERP=672.571431675; BenefitType=Charge; Billing=Loyalty; BillingOriginProduct=PREDICTIVE_OPTIMIZATION; ClusterId=0506-195103-h18h34bo-v2n; ClusterName=job-165990010845835-run-388878870881708-Predictive-Optimization; Creator=a25b9e47-2518-438d-90ee-1cd792b5b46d; JobId=165990010845835.0; Predictive Optimization=True; RunName=Predictive Optimization Job-be956708-3968-4d66-8717-2aa143381925; Vendor=Databricks</t>
  </si>
  <si>
    <t>{
  "Organization Name": "PT Nawa Darsana Teknologi",
  "Publisher": "Microsoft",
  "Publisher Customer ID": "346fa229-7c19-44ef-85c6-29e00edf66cf",
  "Unit Price": "1705.8394573028",
  "ERP": "16.816347691",
  "BenefitType": "Charge",
  "aks-managed-consolidated-additional-properties": "87926557-3b8a-11f1-95e3-2e4ba821b3e8",
  "aks-managed-creationSource": "vmssclient-aks-monitoring-70266679-vmss",
  "aks-managed-enable-imds-restriction": "False",
  "aks-managed-kubeletIdentityClientID": "d31d2c4f-e3b8-4665-b69b-b18c5ed27c30",
  "aks-managed-operationID": "2f321416-f628-4de1-b867-706e0a18a60d",
  "aks-managed-orchestrator": "Kubernetes:1.33.8",
  "aks-managed-poolName": "monitoring",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</si>
  <si>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Price=1705.8394573028; ERP=16.816347691; BenefitType=Charge; aks-managed-consolidated-additional-properties=87926557-3b8a-11f1-95e3-2e4ba821b3e8; aks-managed-creationSource=vmssclient-aks-monitoring-70266679-vmss; aks-managed-enable-imds-restriction=False; aks-managed-kubeletIdentityClientID=d31d2c4f-e3b8-4665-b69b-b18c5ed27c30; aks-managed-operationID=2f321416-f628-4de1-b867-706e0a18a60d; aks-managed-orchestrator=Kubernetes:1.33.8; aks-managed-poolName=monitoring;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</si>
  <si>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"153.5247986247",
  "ERP": "0.0114114286",
  "BenefitType": "Charge",
  "aks-managed-consolidated-additional-properties": "47dbf5f1-4c0a-11f1-ad6b-a26c3881ebea",
  "aks-managed-creationSource": "vmssclient-aks-systemeph-33281046-vmss",
  "aks-managed-enable-imds-restriction": "False",
  "aks-managed-kubeletIdentityClientID": "b2aa22d3-2063-4e90-a9df-47ffb8a7aae1",
  "aks-managed-operationID": "94fb6e4a-1533-4ef7-ab97-16965dda6ad7",
  "aks-managed-orchestrator": "Kubernetes:1.33.10",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</si>
  <si>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Price=153.5247986247; ERP=0.0114114286;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</si>
  <si>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"153.5247989638",
  "ERP": "0.0216539752",
  "BenefitType": "Charge",
  "aks-managed-consolidated-additional-properties": "311f4bef-57da-11f1-a161-cad1f54d4175",
  "aks-managed-creationSource": "vmssclient-aks-systemeph-33281046-vmss",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</si>
  <si>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Price=153.5247989638; ERP=0.0216539752;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</si>
  <si>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"7676.24",
  "ERP": "534.921183225",
  "BenefitType": "Charge",
  "Billing": "Loyalty",
  "BillingOriginProduct": "PREDICTIVE_OPTIMIZATION",
  "ClusterId": "0506-205207-qajewyza-v2n",
  "ClusterName": "job-498968454796164-run-78647486674733-Predictive-Optimization",
  "Creator": "a25b9e47-2518-438d-90ee-1cd792b5b46d",
  "JobId": "498968454796164.0",
  "Predictive Optimization": "True",
  "RunName": "Predictive Optimization Job-d1b249a4-08ee-449d-9837-c1952753eb43",
  "Vendor": "Databricks"
}</t>
  </si>
  <si>
    <t>Organization Name=PT Nawa Darsana Teknologi; Publisher=Microsoft; Publisher Customer ID=346fa229-7c19-44ef-85c6-29e00edf66cf; Unit Price=7676.24; ERP=534.921183225; BenefitType=Charge; Billing=Loyalty; BillingOriginProduct=PREDICTIVE_OPTIMIZATION; ClusterId=0506-205207-qajewyza-v2n; ClusterName=job-498968454796164-run-78647486674733-Predictive-Optimization; Creator=a25b9e47-2518-438d-90ee-1cd792b5b46d; JobId=498968454796164.0; Predictive Optimization=True; RunName=Predictive Optimization Job-d1b249a4-08ee-449d-9837-c1952753eb43; Vendor=Databricks</t>
  </si>
  <si>
    <t>{
  "Organization Name": "PT Nawa Darsana Teknologi",
  "Publisher": "Microsoft",
  "Publisher Customer ID": "346fa229-7c19-44ef-85c6-29e00edf66cf",
  "Unit Price": "3838.12",
  "ERP": "904217.9803782554",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</si>
  <si>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ERP=904217.9803782554;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</si>
  <si>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"4288.889748",
  "BenefitType": "Charge",
  "aks-managed-consolidated-additional-properties": "311ee467-57da-11f1-a161-cad1f54d4175",
  "aks-managed-creationSource": "vmssclient-aks-usereph-29326849-vmss",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</si>
  <si>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Price=3838.12; ERP=4288.889748;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</si>
  <si>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"3838.12",
  "ERP": "226798.0",
  "BenefitType": "Charge",
  "aks-managed-consolidated-additional-properties": "311ee467-57da-11f1-a161-cad1f54d4175",
  "aks-managed-creationSource": "vmssclient-aks-usereph-29326849-vmss",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</si>
  <si>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Price=3838.12; ERP=226798.0;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</si>
  <si>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"7676.24",
  "ERP": "487.13986035",
  "BenefitType": "Charge",
  "Billing": "Loyalty",
  "BillingOriginProduct": "PREDICTIVE_OPTIMIZATION",
  "ClusterId": "0506-215247-3tryo5ey-v2n",
  "ClusterName": "job-565492126279021-run-1115623790418202-Predictive-Optimizatio",
  "Creator": "a25b9e47-2518-438d-90ee-1cd792b5b46d",
  "JobId": "565492126279021.0",
  "Predictive Optimization": "True",
  "RunName": "Predictive Optimization Job-f14f91a0-9dea-480f-a528-6ce6f580d4d9",
  "Vendor": "Databricks"
}</t>
  </si>
  <si>
    <t>Organization Name=PT Nawa Darsana Teknologi; Publisher=Microsoft; Publisher Customer ID=346fa229-7c19-44ef-85c6-29e00edf66cf; Unit Price=7676.24; ERP=487.13986035; BenefitType=Charge; Billing=Loyalty; BillingOriginProduct=PREDICTIVE_OPTIMIZATION; ClusterId=0506-215247-3tryo5ey-v2n; ClusterName=job-565492126279021-run-1115623790418202-Predictive-Optimizatio; Creator=a25b9e47-2518-438d-90ee-1cd792b5b46d; JobId=565492126279021.0; Predictive Optimization=True; RunName=Predictive Optimization Job-f14f91a0-9dea-480f-a528-6ce6f580d4d9; Vendor=Databricks</t>
  </si>
  <si>
    <t>NAT Gateway</t>
  </si>
  <si>
    <t>salacca-nat-prod</t>
  </si>
  <si>
    <t>{
  "Organization Name": "PT Nawa Darsana Teknologi",
  "Publisher": "Microsoft",
  "Publisher Customer ID": "346fa229-7c19-44ef-85c6-29e00edf66cf",
  "Unit Price": "690.8615999997",
  "ERP": "7789.7642692584",
  "BenefitType": "Charge"
}</t>
  </si>
  <si>
    <t>Organization Name=PT Nawa Darsana Teknologi; Publisher=Microsoft; Publisher Customer ID=346fa229-7c19-44ef-85c6-29e00edf66cf; Unit Price=690.8615999997; ERP=7789.7642692584; BenefitType=Charge</t>
  </si>
  <si>
    <t>{
  "Organization Name": "PT Nawa Darsana Teknologi",
  "Publisher": "Microsoft",
  "Publisher Customer ID": "346fa229-7c19-44ef-85c6-29e00edf66cf",
  "Unit Price": "690.8615997811",
  "ERP": "0.6477769584",
  "BenefitType": "Charge",
  "Billing": "Loyalty",
  "BillingOriginProduct": "NETWORKING",
  "Vendor": "Databricks"
}</t>
  </si>
  <si>
    <t>Organization Name=PT Nawa Darsana Teknologi; Publisher=Microsoft; Publisher Customer ID=346fa229-7c19-44ef-85c6-29e00edf66cf; Unit Price=690.8615997811; ERP=0.6477769584; BenefitType=Charge; Billing=Loyalty; BillingOriginProduct=NETWORKING; Vendor=Databricks</t>
  </si>
  <si>
    <t>{
  "Organization Name": "PT Nawa Darsana Teknologi",
  "Publisher": "Microsoft",
  "Publisher Customer ID": "346fa229-7c19-44ef-85c6-29e00edf66cf",
  "Unit Price": "3838.12",
  "ERP": "152652.5",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</si>
  <si>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Price=3838.12; ERP=152652.5;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</si>
  <si>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Microsoft Def for PostgreSQL</t>
  </si>
  <si>
    <t>Microsoft Defender for PostgreSQL</t>
  </si>
  <si>
    <t>lucario</t>
  </si>
  <si>
    <t>{
  "Organization Name": "PT Nawa Darsana Teknologi",
  "Publisher": "Microsoft",
  "Publisher Customer ID": "346fa229-7c19-44ef-85c6-29e00edf66cf",
  "Unit Price": "230287.1999999971",
  "ERP": "196619.2338705738",
  "BenefitType": "Charge",
  "Billing": "Loyalty",
  "env": "Loyalty-Development"
}</t>
  </si>
  <si>
    <t>Organization Name=PT Nawa Darsana Teknologi; Publisher=Microsoft; Publisher Customer ID=346fa229-7c19-44ef-85c6-29e00edf66cf; Unit Price=230287.1999999971; ERP=196619.2338705738; BenefitType=Charge; Billing=Loyalty; env=Loyalty-Development</t>
  </si>
  <si>
    <t>mdm</t>
  </si>
  <si>
    <t>{
  "Organization Name": "PT Nawa Darsana Teknologi",
  "Publisher": "Microsoft",
  "Publisher Customer ID": "346fa229-7c19-44ef-85c6-29e00edf66cf",
  "Unit Price": "3684.5952",
  "ERP": "61731.8938871206",
  "BenefitType": "Charge"
}</t>
  </si>
  <si>
    <t>Organization Name=PT Nawa Darsana Teknologi; Publisher=Microsoft; Publisher Customer ID=346fa229-7c19-44ef-85c6-29e00edf66cf; Unit Price=3684.5952; ERP=61731.8938871206; BenefitType=Charge</t>
  </si>
  <si>
    <t>SQL DB SglDB El Pool Hyp - Comp Gen5</t>
  </si>
  <si>
    <t>SQL Database SingleDB/Elastic Pool Hyperscale - Compute Gen5</t>
  </si>
  <si>
    <t>loyalty_Replica</t>
  </si>
  <si>
    <t>{
  "Organization Name": "PT Nawa Darsana Teknologi",
  "Publisher": "Microsoft",
  "Publisher Customer ID": "346fa229-7c19-44ef-85c6-29e00edf66cf",
  "Unit Price": "3337.0918152",
  "ERP": "53090.09706",
  "BenefitType": "Charge"
}</t>
  </si>
  <si>
    <t>Organization Name=PT Nawa Darsana Teknologi; Publisher=Microsoft; Publisher Customer ID=346fa229-7c19-44ef-85c6-29e00edf66cf; Unit Price=3337.0918152; ERP=53090.09706; BenefitType=Charge</t>
  </si>
  <si>
    <t>Storage - Bandwidth</t>
  </si>
  <si>
    <t>Geo-Replication v2 Data Transfer</t>
  </si>
  <si>
    <t>storage-tenant-id</t>
  </si>
  <si>
    <t>dbstorage7n6vah7qfjbe2</t>
  </si>
  <si>
    <t>{
  "Organization Name": "PT Nawa Darsana Teknologi",
  "Publisher": "Microsoft",
  "Publisher Customer ID": "346fa229-7c19-44ef-85c6-29e00edf66cf",
  "Unit Price": "1381.7232",
  "ERP": "987.9666293354",
  "BenefitType": "Charge",
  "application": "databricks",
  "Billing": "Loyalty",
  "databricks-environment": "True"
}</t>
  </si>
  <si>
    <t>Organization Name=PT Nawa Darsana Teknologi; Publisher=Microsoft; Publisher Customer ID=346fa229-7c19-44ef-85c6-29e00edf66cf; Unit Price=1381.7232; ERP=987.9666293354; BenefitType=Charge; application=databricks; Billing=Loyalty; databricks-environment=True</t>
  </si>
  <si>
    <t>disk-loyalty-runner</t>
  </si>
  <si>
    <t>{
  "Organization Name": "PT Nawa Darsana Teknologi",
  "Publisher": "Microsoft",
  "Publisher Customer ID": "346fa229-7c19-44ef-85c6-29e00edf66cf",
  "Unit Price": "156702.7633599999",
  "ERP": "36138.506371968",
  "BenefitType": "Charge"
}</t>
  </si>
  <si>
    <t>Organization Name=PT Nawa Darsana Teknologi; Publisher=Microsoft; Publisher Customer ID=346fa229-7c19-44ef-85c6-29e00edf66cf; Unit Price=156702.7633599999; ERP=36138.506371968; BenefitType=Charge</t>
  </si>
  <si>
    <t>{
  "Organization Name": "PT Nawa Darsana Teknologi",
  "Publisher": "Microsoft",
  "Publisher Customer ID": "346fa229-7c19-44ef-85c6-29e00edf66cf",
  "Unit Price": "7676.2399999979",
  "ERP": "745.3238668304",
  "BenefitType": "Charge",
  "Billing": "Loyalty",
  "BillingOriginProduct": "PREDICTIVE_OPTIMIZATION",
  "ClusterId": "0521-193039-dzibyoi0-v2n",
  "ClusterName": "job-243492023836532-run-789780849380605-Predictive-Optimization",
  "Creator": "a25b9e47-2518-438d-90ee-1cd792b5b46d",
  "JobId": "243492023836532.0",
  "Predictive Optimization": "True",
  "RunName": "Predictive Optimization Job-dbd524b2-6a2d-4f43-9582-bc9ada5ebe1f",
  "Vendor": "Databricks"
}</t>
  </si>
  <si>
    <t>Organization Name=PT Nawa Darsana Teknologi; Publisher=Microsoft; Publisher Customer ID=346fa229-7c19-44ef-85c6-29e00edf66cf; Unit Price=7676.2399999979; ERP=745.3238668304; BenefitType=Charge; Billing=Loyalty; BillingOriginProduct=PREDICTIVE_OPTIMIZATION; ClusterId=0521-193039-dzibyoi0-v2n; ClusterName=job-243492023836532-run-789780849380605-Predictive-Optimization; Creator=a25b9e47-2518-438d-90ee-1cd792b5b46d; JobId=243492023836532.0; Predictive Optimization=True; RunName=Predictive Optimization Job-dbd524b2-6a2d-4f43-9582-bc9ada5ebe1f; Vendor=Databricks</t>
  </si>
  <si>
    <t>{
  "Organization Name": "PT Nawa Darsana Teknologi",
  "Publisher": "Microsoft",
  "Publisher Customer ID": "346fa229-7c19-44ef-85c6-29e00edf66cf",
  "Unit Price": "7676.24",
  "ERP": "462.804216875",
  "BenefitType": "Charge",
  "Billing": "Loyalty",
  "BillingOriginProduct": "PREDICTIVE_OPTIMIZATION",
  "ClusterId": "0522-193047-jam1o3is-v2n",
  "ClusterName": "job-484789517833266-run-462816258970261-Predictive-Optimization",
  "Creator": "a25b9e47-2518-438d-90ee-1cd792b5b46d",
  "JobId": "484789517833266.0",
  "Predictive Optimization": "True",
  "RunName": "Predictive Optimization Job-49abbac1-a44b-4d75-a134-2496ee5b1df0",
  "Vendor": "Databricks"
}</t>
  </si>
  <si>
    <t>Organization Name=PT Nawa Darsana Teknologi; Publisher=Microsoft; Publisher Customer ID=346fa229-7c19-44ef-85c6-29e00edf66cf; Unit Price=7676.24; ERP=462.804216875; BenefitType=Charge; Billing=Loyalty; BillingOriginProduct=PREDICTIVE_OPTIMIZATION; ClusterId=0522-193047-jam1o3is-v2n; ClusterName=job-484789517833266-run-462816258970261-Predictive-Optimization; Creator=a25b9e47-2518-438d-90ee-1cd792b5b46d; JobId=484789517833266.0; Predictive Optimization=True; RunName=Predictive Optimization Job-49abbac1-a44b-4d75-a134-2496ee5b1df0; Vendor=Databricks</t>
  </si>
  <si>
    <t>{
  "Organization Name": "PT Nawa Darsana Teknologi",
  "Publisher": "Microsoft",
  "Publisher Customer ID": "346fa229-7c19-44ef-85c6-29e00edf66cf",
  "Unit Price": "1228.198399868",
  "ERP": "0.3200869958",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</si>
  <si>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Price=1228.198399868; ERP=0.3200869958;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</si>
  <si>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"1090.1445472371",
  "ERP": "45.0480824794",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</si>
  <si>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Price=1090.1445472371; ERP=45.0480824794;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</si>
  <si>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"1228.1982738943",
  "ERP": "0.001090375",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</si>
  <si>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Price=1228.1982738943; ERP=0.001090375;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</si>
  <si>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</si>
  <si>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</si>
  <si>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"7676.2399999997",
  "ERP": "1950.7721420044",
  "BenefitType": "Charge",
  "Billing": "Loyalty",
  "BillingOriginProduct": "PREDICTIVE_OPTIMIZATION",
  "Creator": "a25b9e47-2518-438d-90ee-1cd792b5b46d",
  "JobId": "424221859501833.0",
  "Predictive Optimization": "True",
  "Vendor": "Databricks"
}</t>
  </si>
  <si>
    <t>Organization Name=PT Nawa Darsana Teknologi; Publisher=Microsoft; Publisher Customer ID=346fa229-7c19-44ef-85c6-29e00edf66cf; Unit Price=7676.2399999997; ERP=1950.7721420044; BenefitType=Charge; Billing=Loyalty; BillingOriginProduct=PREDICTIVE_OPTIMIZATION; Creator=a25b9e47-2518-438d-90ee-1cd792b5b46d; JobId=424221859501833.0; Predictive Optimization=True; Vendor=Databricks</t>
  </si>
  <si>
    <t>{
  "Organization Name": "PT Nawa Darsana Teknologi",
  "Publisher": "Microsoft",
  "Publisher Customer ID": "346fa229-7c19-44ef-85c6-29e00edf66cf",
  "Unit Price": "7676.2399999997",
  "ERP": "3799.109976376",
  "BenefitType": "Charge",
  "Billing": "Loyalty",
  "BillingOriginProduct": "PREDICTIVE_OPTIMIZATION",
  "Creator": "a25b9e47-2518-438d-90ee-1cd792b5b46d",
  "JobId": "61442355729308.0",
  "Predictive Optimization": "True",
  "Vendor": "Databricks"
}</t>
  </si>
  <si>
    <t>Organization Name=PT Nawa Darsana Teknologi; Publisher=Microsoft; Publisher Customer ID=346fa229-7c19-44ef-85c6-29e00edf66cf; Unit Price=7676.2399999997; ERP=3799.109976376; BenefitType=Charge; Billing=Loyalty; BillingOriginProduct=PREDICTIVE_OPTIMIZATION; Creator=a25b9e47-2518-438d-90ee-1cd792b5b46d; JobId=61442355729308.0; Predictive Optimization=True; Vendor=Databricks</t>
  </si>
  <si>
    <t>{
  "Organization Name": "PT Nawa Darsana Teknologi",
  "Publisher": "Microsoft",
  "Publisher Customer ID": "346fa229-7c19-44ef-85c6-29e00edf66cf",
  "Unit Price": "7676.2399999993",
  "ERP": "796.4743664592",
  "BenefitType": "Charge",
  "Billing": "Loyalty",
  "BillingOriginProduct": "PREDICTIVE_OPTIMIZATION",
  "Creator": "a25b9e47-2518-438d-90ee-1cd792b5b46d",
  "JobId": "634464602845427.0",
  "Predictive Optimization": "True",
  "Vendor": "Databricks"
}</t>
  </si>
  <si>
    <t>Organization Name=PT Nawa Darsana Teknologi; Publisher=Microsoft; Publisher Customer ID=346fa229-7c19-44ef-85c6-29e00edf66cf; Unit Price=7676.2399999993; ERP=796.4743664592; BenefitType=Charge; Billing=Loyalty; BillingOriginProduct=PREDICTIVE_OPTIMIZATION; Creator=a25b9e47-2518-438d-90ee-1cd792b5b46d; JobId=634464602845427.0; Predictive Optimization=True; Vendor=Databricks</t>
  </si>
  <si>
    <t>{
  "Organization Name": "PT Nawa Darsana Teknologi",
  "Publisher": "Microsoft",
  "Publisher Customer ID": "346fa229-7c19-44ef-85c6-29e00edf66cf",
  "Unit Price": "7676.2399999989",
  "ERP": "959.7479947484",
  "BenefitType": "Charge",
  "Billing": "Loyalty",
  "BillingOriginProduct": "PREDICTIVE_OPTIMIZATION",
  "Creator": "a25b9e47-2518-438d-90ee-1cd792b5b46d",
  "JobId": "788772690423647.0",
  "Predictive Optimization": "True",
  "Vendor": "Databricks"
}</t>
  </si>
  <si>
    <t>Organization Name=PT Nawa Darsana Teknologi; Publisher=Microsoft; Publisher Customer ID=346fa229-7c19-44ef-85c6-29e00edf66cf; Unit Price=7676.2399999989; ERP=959.7479947484; BenefitType=Charge; Billing=Loyalty; BillingOriginProduct=PREDICTIVE_OPTIMIZATION; Creator=a25b9e47-2518-438d-90ee-1cd792b5b46d; JobId=788772690423647.0; Predictive Optimization=True; Vendor=Databricks</t>
  </si>
  <si>
    <t>Premium Serverless SQL DBU</t>
  </si>
  <si>
    <t>{
  "Organization Name": "PT Nawa Darsana Teknologi",
  "Publisher": "Microsoft",
  "Publisher Customer ID": "346fa229-7c19-44ef-85c6-29e00edf66cf",
  "Unit Price": "13510.1824",
  "ERP": "79927.1090511036",
  "BenefitType": "Charge",
  "Billing": "Loyalty",
  "BillingOriginProduct": "SQL",
  "ClusterId": "0514-045159-o3o52r35-v2n",
  "Creator": "deo.haganta@divisiinovasi.onmicrosoft.com",
  "databricks-cloud-priority": "high",
  "dbsql-channel": "CHANNEL_NAME_CURRENT",
  "SqlEndpointId": "91031cbec48bd645",
  "Vendor": "Databricks"
}</t>
  </si>
  <si>
    <t>Organization Name=PT Nawa Darsana Teknologi; Publisher=Microsoft; Publisher Customer ID=346fa229-7c19-44ef-85c6-29e00edf66cf; Unit Price=13510.1824; ERP=79927.1090511036; BenefitType=Charge; Billing=Loyalty; BillingOriginProduct=SQL; ClusterId=0514-045159-o3o52r35-v2n; Creator=deo.haganta@divisiinovasi.onmicrosoft.com; databricks-cloud-priority=high; dbsql-channel=CHANNEL_NAME_CURRENT; SqlEndpointId=91031cbec48bd645; Vendor=Databricks</t>
  </si>
  <si>
    <t>{
  "Organization Name": "PT Nawa Darsana Teknologi",
  "Publisher": "Microsoft",
  "Publisher Customer ID": "346fa229-7c19-44ef-85c6-29e00edf66cf",
  "Unit Price": "153.5247999714",
  "ERP": "0.73412768",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</si>
  <si>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Price=153.5247999714; ERP=0.73412768;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</si>
  <si>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"5494.57652744",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</si>
  <si>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Price=153.5247999999; ERP=5494.57652744;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</si>
  <si>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"153.5248",
  "ERP": "5327.9530211622",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</si>
  <si>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ERP=5327.9530211622;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</si>
  <si>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"7676.2399999994",
  "ERP": "836.2798247518",
  "BenefitType": "Charge",
  "Billing": "Loyalty",
  "BillingOriginProduct": "PREDICTIVE_OPTIMIZATION",
  "Creator": "a25b9e47-2518-438d-90ee-1cd792b5b46d",
  "JobId": "724250487608703.0",
  "Predictive Optimization": "True",
  "Vendor": "Databricks"
}</t>
  </si>
  <si>
    <t>Organization Name=PT Nawa Darsana Teknologi; Publisher=Microsoft; Publisher Customer ID=346fa229-7c19-44ef-85c6-29e00edf66cf; Unit Price=7676.2399999994; ERP=836.2798247518; BenefitType=Charge; Billing=Loyalty; BillingOriginProduct=PREDICTIVE_OPTIMIZATION; Creator=a25b9e47-2518-438d-90ee-1cd792b5b46d; JobId=724250487608703.0; Predictive Optimization=True; Vendor=Databricks</t>
  </si>
  <si>
    <t>{
  "Organization Name": "PT Nawa Darsana Teknologi",
  "Publisher": "Microsoft",
  "Publisher Customer ID": "346fa229-7c19-44ef-85c6-29e00edf66cf",
  "Unit Price": "153.5247999999",
  "ERP": "2810.01055907",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</si>
  <si>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Price=153.5247999999; ERP=2810.01055907;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</si>
  <si>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"153.5248",
  "ERP": "8674.6750370852",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</si>
  <si>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ERP=8674.6750370852;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</si>
  <si>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"153.5247999978",
  "ERP": "9.8535077784",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</si>
  <si>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Price=153.5247999978; ERP=9.8535077784;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</si>
  <si>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"2022.0941115804",
  "BenefitType": "Charge",
  "aks-managed-consolidated-additional-properties": "10b49e4b-4c06-11f1-8bd6-5ec9d1cd8e46",
  "aks-managed-creationSource": "vmssclient-aks-newuserpool-25919024-vmss",
  "aks-managed-enable-imds-restriction": "False",
  "aks-managed-kubeletIdentityClientID": "d31d2c4f-e3b8-4665-b69b-b18c5ed27c30",
  "aks-managed-operationID": "83e7f825-8218-4a0f-ba20-b087a41e559b",
  "aks-managed-orchestrator": "Kubernetes:1.33.10",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</si>
  <si>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Price=153.5247999999; ERP=2022.0941115804;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</si>
  <si>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"7676.24",
  "ERP": "678.71264175",
  "BenefitType": "Charge",
  "Billing": "Loyalty",
  "BillingOriginProduct": "PREDICTIVE_OPTIMIZATION",
  "ClusterId": "0502-174841-rm04z541-v2n",
  "ClusterName": "job-107765286918661-run-587790173855446-Predictive-Optimization",
  "Creator": "a25b9e47-2518-438d-90ee-1cd792b5b46d",
  "JobId": "107765286918661.0",
  "Predictive Optimization": "True",
  "RunName": "Predictive Optimization Job-e51c40bb-2d08-436d-898a-3cd476177b5e",
  "Vendor": "Databricks"
}</t>
  </si>
  <si>
    <t>Organization Name=PT Nawa Darsana Teknologi; Publisher=Microsoft; Publisher Customer ID=346fa229-7c19-44ef-85c6-29e00edf66cf; Unit Price=7676.24; ERP=678.71264175; BenefitType=Charge; Billing=Loyalty; BillingOriginProduct=PREDICTIVE_OPTIMIZATION; ClusterId=0502-174841-rm04z541-v2n; ClusterName=job-107765286918661-run-587790173855446-Predictive-Optimization; Creator=a25b9e47-2518-438d-90ee-1cd792b5b46d; JobId=107765286918661.0; Predictive Optimization=True; RunName=Predictive Optimization Job-e51c40bb-2d08-436d-898a-3cd476177b5e; Vendor=Databricks</t>
  </si>
  <si>
    <t>{
  "Organization Name": "PT Nawa Darsana Teknologi",
  "Publisher": "Microsoft",
  "Publisher Customer ID": "346fa229-7c19-44ef-85c6-29e00edf66cf",
  "Unit Price": "7676.24",
  "ERP": "493.9424919",
  "BenefitType": "Charge",
  "Billing": "Loyalty",
  "BillingOriginProduct": "PREDICTIVE_OPTIMIZATION",
  "ClusterId": "0504-145756-bq39spph-v2n",
  "ClusterName": "job-200354564160484-run-989427719293376-Predictive-Optimization",
  "Creator": "a25b9e47-2518-438d-90ee-1cd792b5b46d",
  "JobId": "200354564160484.0",
  "Predictive Optimization": "True",
  "RunName": "Predictive Optimization Job-1d6c7119-4825-4b48-ad4e-baa1e771e99f",
  "Vendor": "Databricks"
}</t>
  </si>
  <si>
    <t>Organization Name=PT Nawa Darsana Teknologi; Publisher=Microsoft; Publisher Customer ID=346fa229-7c19-44ef-85c6-29e00edf66cf; Unit Price=7676.24; ERP=493.9424919; BenefitType=Charge; Billing=Loyalty; BillingOriginProduct=PREDICTIVE_OPTIMIZATION; ClusterId=0504-145756-bq39spph-v2n; ClusterName=job-200354564160484-run-989427719293376-Predictive-Optimization; Creator=a25b9e47-2518-438d-90ee-1cd792b5b46d; JobId=200354564160484.0; Predictive Optimization=True; RunName=Predictive Optimization Job-1d6c7119-4825-4b48-ad4e-baa1e771e99f; Vendor=Databricks</t>
  </si>
  <si>
    <t>{
  "Organization Name": "PT Nawa Darsana Teknologi",
  "Publisher": "Microsoft",
  "Publisher Customer ID": "346fa229-7c19-44ef-85c6-29e00edf66cf",
  "Unit Price": "7676.2399999983",
  "ERP": "836.2593501262",
  "BenefitType": "Charge",
  "Billing": "Loyalty",
  "BillingOriginProduct": "PREDICTIVE_OPTIMIZATION",
  "Creator": "a25b9e47-2518-438d-90ee-1cd792b5b46d",
  "JobId": "713267706753462.0",
  "Predictive Optimization": "True",
  "Vendor": "Databricks"
}</t>
  </si>
  <si>
    <t>Organization Name=PT Nawa Darsana Teknologi; Publisher=Microsoft; Publisher Customer ID=346fa229-7c19-44ef-85c6-29e00edf66cf; Unit Price=7676.2399999983; ERP=836.2593501262; BenefitType=Charge; Billing=Loyalty; BillingOriginProduct=PREDICTIVE_OPTIMIZATION; Creator=a25b9e47-2518-438d-90ee-1cd792b5b46d; JobId=713267706753462.0; Predictive Optimization=True; Vendor=Databricks</t>
  </si>
  <si>
    <t>{
  "Organization Name": "PT Nawa Darsana Teknologi",
  "Publisher": "Microsoft",
  "Publisher Customer ID": "346fa229-7c19-44ef-85c6-29e00edf66cf",
  "Unit Price": "7676.2399999997",
  "ERP": "1931.8950361568",
  "BenefitType": "Charge",
  "Billing": "Loyalty",
  "BillingOriginProduct": "PREDICTIVE_OPTIMIZATION",
  "Creator": "a25b9e47-2518-438d-90ee-1cd792b5b46d",
  "JobId": "870260662380481.0",
  "Predictive Optimization": "True",
  "Vendor": "Databricks"
}</t>
  </si>
  <si>
    <t>Organization Name=PT Nawa Darsana Teknologi; Publisher=Microsoft; Publisher Customer ID=346fa229-7c19-44ef-85c6-29e00edf66cf; Unit Price=7676.2399999997; ERP=1931.8950361568; BenefitType=Charge; Billing=Loyalty; BillingOriginProduct=PREDICTIVE_OPTIMIZATION; Creator=a25b9e47-2518-438d-90ee-1cd792b5b46d; JobId=870260662380481.0; Predictive Optimization=True; Vendor=Databricks</t>
  </si>
  <si>
    <t>{
  "Organization Name": "PT Nawa Darsana Teknologi",
  "Publisher": "Microsoft",
  "Publisher Customer ID": "346fa229-7c19-44ef-85c6-29e00edf66cf",
  "Unit Price": "7676.2399999999",
  "ERP": "366186.9089348756",
  "BenefitType": "Charge",
  "Billing": "Loyalty",
  "BillingOriginProduct": "JOBS",
  "Creator": "deo.haganta@divisiinovasi.onmicrosoft.com",
  "JobId": "866641465762645.0",
  "Vendor": "Databricks"
}</t>
  </si>
  <si>
    <t>Organization Name=PT Nawa Darsana Teknologi; Publisher=Microsoft; Publisher Customer ID=346fa229-7c19-44ef-85c6-29e00edf66cf; Unit Price=7676.2399999999; ERP=366186.9089348756; BenefitType=Charge; Billing=Loyalty; BillingOriginProduct=JOBS; Creator=deo.haganta@divisiinovasi.onmicrosoft.com; JobId=866641465762645.0; Vendor=Databricks</t>
  </si>
  <si>
    <t>{
  "Organization Name": "PT Nawa Darsana Teknologi",
  "Publisher": "Microsoft",
  "Publisher Customer ID": "346fa229-7c19-44ef-85c6-29e00edf66cf",
  "Unit Price": "7676.2399999996",
  "ERP": "960.421804628",
  "BenefitType": "Charge",
  "Billing": "Loyalty",
  "BillingOriginProduct": "PREDICTIVE_OPTIMIZATION",
  "Creator": "a25b9e47-2518-438d-90ee-1cd792b5b46d",
  "JobId": "885138598142531.0",
  "Predictive Optimization": "True",
  "Vendor": "Databricks"
}</t>
  </si>
  <si>
    <t>Organization Name=PT Nawa Darsana Teknologi; Publisher=Microsoft; Publisher Customer ID=346fa229-7c19-44ef-85c6-29e00edf66cf; Unit Price=7676.2399999996; ERP=960.421804628; BenefitType=Charge; Billing=Loyalty; BillingOriginProduct=PREDICTIVE_OPTIMIZATION; Creator=a25b9e47-2518-438d-90ee-1cd792b5b46d; JobId=885138598142531.0; Predictive Optimization=True; Vendor=Databricks</t>
  </si>
  <si>
    <t>{
  "Organization Name": "PT Nawa Darsana Teknologi",
  "Publisher": "Microsoft",
  "Publisher Customer ID": "346fa229-7c19-44ef-85c6-29e00edf66cf",
  "Unit Price": "7676.2399999998",
  "ERP": "2151.0403046418",
  "BenefitType": "Charge",
  "Billing": "Loyalty",
  "BillingOriginProduct": "PREDICTIVE_OPTIMIZATION",
  "Creator": "a25b9e47-2518-438d-90ee-1cd792b5b46d",
  "JobId": "799086360095856.0",
  "Predictive Optimization": "True",
  "Vendor": "Databricks"
}</t>
  </si>
  <si>
    <t>Organization Name=PT Nawa Darsana Teknologi; Publisher=Microsoft; Publisher Customer ID=346fa229-7c19-44ef-85c6-29e00edf66cf; Unit Price=7676.2399999998; ERP=2151.0403046418; BenefitType=Charge; Billing=Loyalty; BillingOriginProduct=PREDICTIVE_OPTIMIZATION; Creator=a25b9e47-2518-438d-90ee-1cd792b5b46d; JobId=799086360095856.0; Predictive Optimization=True; Vendor=Databricks</t>
  </si>
  <si>
    <t>{
  "Organization Name": "PT Nawa Darsana Teknologi",
  "Publisher": "Microsoft",
  "Publisher Customer ID": "346fa229-7c19-44ef-85c6-29e00edf66cf",
  "Unit Price": "7676.24",
  "ERP": "557.558676675",
  "BenefitType": "Charge",
  "Billing": "Loyalty",
  "BillingOriginProduct": "PREDICTIVE_OPTIMIZATION",
  "ClusterId": "0504-211940-2r2sck9v-v2n",
  "ClusterName": "job-819513377154230-run-908857844626181-Predictive-Optimization",
  "Creator": "a25b9e47-2518-438d-90ee-1cd792b5b46d",
  "JobId": "819513377154230.0",
  "Predictive Optimization": "True",
  "RunName": "Predictive Optimization Job-319f69d6-3520-447c-b909-1391a614667f",
  "Vendor": "Databricks"
}</t>
  </si>
  <si>
    <t>Organization Name=PT Nawa Darsana Teknologi; Publisher=Microsoft; Publisher Customer ID=346fa229-7c19-44ef-85c6-29e00edf66cf; Unit Price=7676.24; ERP=557.558676675; BenefitType=Charge; Billing=Loyalty; BillingOriginProduct=PREDICTIVE_OPTIMIZATION; ClusterId=0504-211940-2r2sck9v-v2n; ClusterName=job-819513377154230-run-908857844626181-Predictive-Optimization; Creator=a25b9e47-2518-438d-90ee-1cd792b5b46d; JobId=819513377154230.0; Predictive Optimization=True; RunName=Predictive Optimization Job-319f69d6-3520-447c-b909-1391a614667f; Vendor=Databricks</t>
  </si>
  <si>
    <t>{
  "Organization Name": "PT Nawa Darsana Teknologi",
  "Publisher": "Microsoft",
  "Publisher Customer ID": "346fa229-7c19-44ef-85c6-29e00edf66cf",
  "Unit Price": "7676.24",
  "ERP": "557.25795125",
  "BenefitType": "Charge",
  "Billing": "Loyalty",
  "BillingOriginProduct": "PREDICTIVE_OPTIMIZATION",
  "ClusterId": "0505-000809-vouw8nwz-v2n",
  "ClusterName": "job-860023668428954-run-919592652264745-Predictive-Optimization",
  "Creator": "a25b9e47-2518-438d-90ee-1cd792b5b46d",
  "JobId": "860023668428954.0",
  "Predictive Optimization": "True",
  "RunName": "Predictive Optimization Job-447d6ebd-d174-4b9f-9059-1b58c32e8897",
  "Vendor": "Databricks"
}</t>
  </si>
  <si>
    <t>Organization Name=PT Nawa Darsana Teknologi; Publisher=Microsoft; Publisher Customer ID=346fa229-7c19-44ef-85c6-29e00edf66cf; Unit Price=7676.24; ERP=557.25795125; BenefitType=Charge; Billing=Loyalty; BillingOriginProduct=PREDICTIVE_OPTIMIZATION; ClusterId=0505-000809-vouw8nwz-v2n; ClusterName=job-860023668428954-run-919592652264745-Predictive-Optimization; Creator=a25b9e47-2518-438d-90ee-1cd792b5b46d; JobId=860023668428954.0; Predictive Optimization=True; RunName=Predictive Optimization Job-447d6ebd-d174-4b9f-9059-1b58c32e8897; Vendor=Databricks</t>
  </si>
  <si>
    <t>{
  "Organization Name": "PT Nawa Darsana Teknologi",
  "Publisher": "Microsoft",
  "Publisher Customer ID": "346fa229-7c19-44ef-85c6-29e00edf66cf",
  "Unit Price": "7676.24",
  "ERP": "458.3631195",
  "BenefitType": "Charge",
  "Billing": "Loyalty",
  "BillingOriginProduct": "PREDICTIVE_OPTIMIZATION",
  "ClusterId": "0507-204927-jodd4j7n-v2n",
  "ClusterName": "job-813403450018733-run-1054949139150701-Predictive-Optimizatio",
  "Creator": "a25b9e47-2518-438d-90ee-1cd792b5b46d",
  "JobId": "813403450018733.0",
  "Predictive Optimization": "True",
  "RunName": "Predictive Optimization Job-70b84e72-44fd-46d4-b641-47ec31bc1a09",
  "Vendor": "Databricks"
}</t>
  </si>
  <si>
    <t>Organization Name=PT Nawa Darsana Teknologi; Publisher=Microsoft; Publisher Customer ID=346fa229-7c19-44ef-85c6-29e00edf66cf; Unit Price=7676.24; ERP=458.3631195; BenefitType=Charge; Billing=Loyalty; BillingOriginProduct=PREDICTIVE_OPTIMIZATION; ClusterId=0507-204927-jodd4j7n-v2n; ClusterName=job-813403450018733-run-1054949139150701-Predictive-Optimizatio; Creator=a25b9e47-2518-438d-90ee-1cd792b5b46d; JobId=813403450018733.0; Predictive Optimization=True; RunName=Predictive Optimization Job-70b84e72-44fd-46d4-b641-47ec31bc1a09; Vendor=Databricks</t>
  </si>
  <si>
    <t>{
  "Organization Name": "PT Nawa Darsana Teknologi",
  "Publisher": "Microsoft",
  "Publisher Customer ID": "346fa229-7c19-44ef-85c6-29e00edf66cf",
  "Unit Price": "7676.24",
  "ERP": "842.998352625",
  "BenefitType": "Charge",
  "Billing": "Loyalty",
  "BillingOriginProduct": "PREDICTIVE_OPTIMIZATION",
  "ClusterId": "0512-225428-nrn66hy0-v2n",
  "ClusterName": "job-788772690423647-run-164438190630093-Predictive-Optimization",
  "Creator": "a25b9e47-2518-438d-90ee-1cd792b5b46d",
  "JobId": "788772690423647.0",
  "Predictive Optimization": "True",
  "RunName": "Predictive Optimization Job-eb437fde-a397-4906-924a-5747be18c0af",
  "Vendor": "Databricks"
}</t>
  </si>
  <si>
    <t>Organization Name=PT Nawa Darsana Teknologi; Publisher=Microsoft; Publisher Customer ID=346fa229-7c19-44ef-85c6-29e00edf66cf; Unit Price=7676.24; ERP=842.998352625; BenefitType=Charge; Billing=Loyalty; BillingOriginProduct=PREDICTIVE_OPTIMIZATION; ClusterId=0512-225428-nrn66hy0-v2n; ClusterName=job-788772690423647-run-164438190630093-Predictive-Optimization; Creator=a25b9e47-2518-438d-90ee-1cd792b5b46d; JobId=788772690423647.0; Predictive Optimization=True; RunName=Predictive Optimization Job-eb437fde-a397-4906-924a-5747be18c0af; Vendor=Databricks</t>
  </si>
  <si>
    <t>{
  "Organization Name": "PT Nawa Darsana Teknologi",
  "Publisher": "Microsoft",
  "Publisher Customer ID": "346fa229-7c19-44ef-85c6-29e00edf66cf",
  "Unit Price": "7676.24",
  "ERP": "585.034164",
  "BenefitType": "Charge",
  "Billing": "Loyalty",
  "BillingOriginProduct": "PREDICTIVE_OPTIMIZATION",
  "ClusterId": "0509-231840-jtsckdp-v2n",
  "ClusterName": "job-611660451978296-run-730043066005989-Predictive-Optimization",
  "Creator": "a25b9e47-2518-438d-90ee-1cd792b5b46d",
  "JobId": "611660451978296.0",
  "Predictive Optimization": "True",
  "RunName": "Predictive Optimization Job-a2587040-d557-44ec-8f88-652f16248f67",
  "Vendor": "Databricks"
}</t>
  </si>
  <si>
    <t>Organization Name=PT Nawa Darsana Teknologi; Publisher=Microsoft; Publisher Customer ID=346fa229-7c19-44ef-85c6-29e00edf66cf; Unit Price=7676.24; ERP=585.034164; BenefitType=Charge; Billing=Loyalty; BillingOriginProduct=PREDICTIVE_OPTIMIZATION; ClusterId=0509-231840-jtsckdp-v2n; ClusterName=job-611660451978296-run-730043066005989-Predictive-Optimization; Creator=a25b9e47-2518-438d-90ee-1cd792b5b46d; JobId=611660451978296.0; Predictive Optimization=True; RunName=Predictive Optimization Job-a2587040-d557-44ec-8f88-652f16248f67; Vendor=Databricks</t>
  </si>
  <si>
    <t>{
  "Organization Name": "PT Nawa Darsana Teknologi",
  "Publisher": "Microsoft",
  "Publisher Customer ID": "346fa229-7c19-44ef-85c6-29e00edf66cf",
  "Unit Price": "7676.24",
  "ERP": "871.1215227",
  "BenefitType": "Charge",
  "Billing": "Loyalty",
  "BillingOriginProduct": "PREDICTIVE_OPTIMIZATION",
  "ClusterId": "0513-204245-zw5eti5c-v2n",
  "ClusterName": "job-61442355729308-run-353899210092400-Predictive-Optimization",
  "Creator": "a25b9e47-2518-438d-90ee-1cd792b5b46d",
  "JobId": "61442355729308.0",
  "Predictive Optimization": "True",
  "RunName": "Predictive Optimization Job-472c47b4-c660-49ac-8963-3bcf97262e51",
  "Vendor": "Databricks"
}</t>
  </si>
  <si>
    <t>Organization Name=PT Nawa Darsana Teknologi; Publisher=Microsoft; Publisher Customer ID=346fa229-7c19-44ef-85c6-29e00edf66cf; Unit Price=7676.24; ERP=871.1215227; BenefitType=Charge; Billing=Loyalty; BillingOriginProduct=PREDICTIVE_OPTIMIZATION; ClusterId=0513-204245-zw5eti5c-v2n; ClusterName=job-61442355729308-run-353899210092400-Predictive-Optimization; Creator=a25b9e47-2518-438d-90ee-1cd792b5b46d; JobId=61442355729308.0; Predictive Optimization=True; RunName=Predictive Optimization Job-472c47b4-c660-49ac-8963-3bcf97262e51; Vendor=Databricks</t>
  </si>
  <si>
    <t>{
  "Organization Name": "PT Nawa Darsana Teknologi",
  "Publisher": "Microsoft",
  "Publisher Customer ID": "346fa229-7c19-44ef-85c6-29e00edf66cf",
  "Unit Price": "7676.24",
  "ERP": "527.06852055",
  "BenefitType": "Charge",
  "Billing": "Loyalty",
  "BillingOriginProduct": "PREDICTIVE_OPTIMIZATION",
  "ClusterId": "0513-194149-8ubsmqhb-v2n",
  "ClusterName": "job-1032887894802721-run-643412116466860-Predictive-Optimizatio",
  "Creator": "a25b9e47-2518-438d-90ee-1cd792b5b46d",
  "JobId": "1032887894802721.0",
  "Predictive Optimization": "True",
  "RunName": "Predictive Optimization Job-42b55462-d2c2-4d26-8993-dd66b3073a67",
  "Vendor": "Databricks"
}</t>
  </si>
  <si>
    <t>Organization Name=PT Nawa Darsana Teknologi; Publisher=Microsoft; Publisher Customer ID=346fa229-7c19-44ef-85c6-29e00edf66cf; Unit Price=7676.24; ERP=527.06852055; BenefitType=Charge; Billing=Loyalty; BillingOriginProduct=PREDICTIVE_OPTIMIZATION; ClusterId=0513-194149-8ubsmqhb-v2n; ClusterName=job-1032887894802721-run-643412116466860-Predictive-Optimizatio; Creator=a25b9e47-2518-438d-90ee-1cd792b5b46d; JobId=1032887894802721.0; Predictive Optimization=True; RunName=Predictive Optimization Job-42b55462-d2c2-4d26-8993-dd66b3073a67; Vendor=Databricks</t>
  </si>
  <si>
    <t>{
  "Organization Name": "PT Nawa Darsana Teknologi",
  "Publisher": "Microsoft",
  "Publisher Customer ID": "346fa229-7c19-44ef-85c6-29e00edf66cf",
  "Unit Price": "7676.24",
  "ERP": "559.35844965",
  "BenefitType": "Charge",
  "Billing": "Loyalty",
  "BillingOriginProduct": "PREDICTIVE_OPTIMIZATION",
  "ClusterId": "0514-193152-46q69oa8-v2n",
  "ClusterName": "job-346839596728733-run-460456727660295-Predictive-Optimization",
  "Creator": "a25b9e47-2518-438d-90ee-1cd792b5b46d",
  "JobId": "346839596728733.0",
  "Predictive Optimization": "True",
  "RunName": "Predictive Optimization Job-5c9dcdf0-9ead-4ba3-9f25-8cbfd5b70eb3",
  "Vendor": "Databricks"
}</t>
  </si>
  <si>
    <t>Organization Name=PT Nawa Darsana Teknologi; Publisher=Microsoft; Publisher Customer ID=346fa229-7c19-44ef-85c6-29e00edf66cf; Unit Price=7676.24; ERP=559.35844965; BenefitType=Charge; Billing=Loyalty; BillingOriginProduct=PREDICTIVE_OPTIMIZATION; ClusterId=0514-193152-46q69oa8-v2n; ClusterName=job-346839596728733-run-460456727660295-Predictive-Optimization; Creator=a25b9e47-2518-438d-90ee-1cd792b5b46d; JobId=346839596728733.0; Predictive Optimization=True; RunName=Predictive Optimization Job-5c9dcdf0-9ead-4ba3-9f25-8cbfd5b70eb3; Vendor=Databricks</t>
  </si>
  <si>
    <t>{
  "Organization Name": "PT Nawa Darsana Teknologi",
  "Publisher": "Microsoft",
  "Publisher Customer ID": "346fa229-7c19-44ef-85c6-29e00edf66cf",
  "Unit Price": "7676.24",
  "ERP": "2669.5825585",
  "BenefitType": "Charge",
  "Billing": "Loyalty",
  "BillingOriginProduct": "PREDICTIVE_OPTIMIZATION",
  "Creator": "a25b9e47-2518-438d-90ee-1cd792b5b46d",
  "JobId": "379046296208407.0",
  "Predictive Optimization": "True",
  "Vendor": "Databricks"
}</t>
  </si>
  <si>
    <t>Organization Name=PT Nawa Darsana Teknologi; Publisher=Microsoft; Publisher Customer ID=346fa229-7c19-44ef-85c6-29e00edf66cf; Unit Price=7676.24; ERP=2669.5825585; BenefitType=Charge; Billing=Loyalty; BillingOriginProduct=PREDICTIVE_OPTIMIZATION; Creator=a25b9e47-2518-438d-90ee-1cd792b5b46d; JobId=379046296208407.0; Predictive Optimization=True; Vendor=Databricks</t>
  </si>
  <si>
    <t>{
  "Organization Name": "PT Nawa Darsana Teknologi",
  "Publisher": "Microsoft",
  "Publisher Customer ID": "346fa229-7c19-44ef-85c6-29e00edf66cf",
  "Unit Price": "7676.2399999998",
  "ERP": "2451.7478038768",
  "BenefitType": "Charge",
  "Billing": "Loyalty",
  "BillingOriginProduct": "PREDICTIVE_OPTIMIZATION",
  "Creator": "a25b9e47-2518-438d-90ee-1cd792b5b46d",
  "JobId": "388144725527400.0",
  "Predictive Optimization": "True",
  "Vendor": "Databricks"
}</t>
  </si>
  <si>
    <t>Organization Name=PT Nawa Darsana Teknologi; Publisher=Microsoft; Publisher Customer ID=346fa229-7c19-44ef-85c6-29e00edf66cf; Unit Price=7676.2399999998; ERP=2451.7478038768; BenefitType=Charge; Billing=Loyalty; BillingOriginProduct=PREDICTIVE_OPTIMIZATION; Creator=a25b9e47-2518-438d-90ee-1cd792b5b46d; JobId=388144725527400.0; Predictive Optimization=True; Vendor=Databricks</t>
  </si>
  <si>
    <t>{
  "Organization Name": "PT Nawa Darsana Teknologi",
  "Publisher": "Microsoft",
  "Publisher Customer ID": "346fa229-7c19-44ef-85c6-29e00edf66cf",
  "Unit Price": "7676.2399999995",
  "ERP": "977.6428768392",
  "BenefitType": "Charge",
  "Billing": "Loyalty",
  "BillingOriginProduct": "PREDICTIVE_OPTIMIZATION",
  "Creator": "a25b9e47-2518-438d-90ee-1cd792b5b46d",
  "JobId": "56416109454235.0",
  "Predictive Optimization": "True",
  "Vendor": "Databricks"
}</t>
  </si>
  <si>
    <t>Organization Name=PT Nawa Darsana Teknologi; Publisher=Microsoft; Publisher Customer ID=346fa229-7c19-44ef-85c6-29e00edf66cf; Unit Price=7676.2399999995; ERP=977.6428768392; BenefitType=Charge; Billing=Loyalty; BillingOriginProduct=PREDICTIVE_OPTIMIZATION; Creator=a25b9e47-2518-438d-90ee-1cd792b5b46d; JobId=56416109454235.0; Predictive Optimization=True; Vendor=Databricks</t>
  </si>
  <si>
    <t>{
  "Organization Name": "PT Nawa Darsana Teknologi",
  "Publisher": "Microsoft",
  "Publisher Customer ID": "346fa229-7c19-44ef-85c6-29e00edf66cf",
  "Unit Price": "7676.2399999994",
  "ERP": "831.5692302918",
  "BenefitType": "Charge",
  "Billing": "Loyalty",
  "BillingOriginProduct": "PREDICTIVE_OPTIMIZATION",
  "Creator": "a25b9e47-2518-438d-90ee-1cd792b5b46d",
  "JobId": "563705760099312.0",
  "Predictive Optimization": "True",
  "Vendor": "Databricks"
}</t>
  </si>
  <si>
    <t>Organization Name=PT Nawa Darsana Teknologi; Publisher=Microsoft; Publisher Customer ID=346fa229-7c19-44ef-85c6-29e00edf66cf; Unit Price=7676.2399999994; ERP=831.5692302918; BenefitType=Charge; Billing=Loyalty; BillingOriginProduct=PREDICTIVE_OPTIMIZATION; Creator=a25b9e47-2518-438d-90ee-1cd792b5b46d; JobId=563705760099312.0; Predictive Optimization=True; Vendor=Databricks</t>
  </si>
  <si>
    <t>{
  "Organization Name": "PT Nawa Darsana Teknologi",
  "Publisher": "Microsoft",
  "Publisher Customer ID": "346fa229-7c19-44ef-85c6-29e00edf66cf",
  "Unit Price": "1627.36288",
  "ERP": "1232.87532368",
  "BenefitType": "Charge"
}</t>
  </si>
  <si>
    <t>Organization Name=PT Nawa Darsana Teknologi; Publisher=Microsoft; Publisher Customer ID=346fa229-7c19-44ef-85c6-29e00edf66cf; Unit Price=1627.36288; ERP=1232.87532368; BenefitType=Charge</t>
  </si>
  <si>
    <t>Tables</t>
  </si>
  <si>
    <t>Read Operations</t>
  </si>
  <si>
    <t>adx-dvlp</t>
  </si>
  <si>
    <t>{
  "Organization Name": "PT Nawa Darsana Teknologi",
  "Publisher": "Microsoft",
  "Publisher Customer ID": "346fa229-7c19-44ef-85c6-29e00edf66cf",
  "Unit Price": "5.5268928",
  "ERP": "0.002512224",
  "BenefitType": "Charge"
}</t>
  </si>
  <si>
    <t>Organization Name=PT Nawa Darsana Teknologi; Publisher=Microsoft; Publisher Customer ID=346fa229-7c19-44ef-85c6-29e00edf66cf; Unit Price=5.5268928; ERP=0.002512224; BenefitType=Charge</t>
  </si>
  <si>
    <t>aks-newuserpool-2591aks-newuserpool-25919OS__1_6c453b07774d4b969d3cd089158a88c8</t>
  </si>
  <si>
    <t>{
  "Organization Name": "PT Nawa Darsana Teknologi",
  "Publisher": "Microsoft",
  "Publisher Customer ID": "346fa229-7c19-44ef-85c6-29e00edf66cf",
  "Unit Price": "302597.3807999999",
  "ERP": "243253.9080972",
  "BenefitType": "Charge",
  "aks-managed-consolidated-additional-properties": "10b49e4b-4c06-11f1-8bd6-5ec9d1cd8e46",
  "aks-managed-creationSource": "vmssclient-aks-newuserpool-25919024-vmss",
  "aks-managed-enable-imds-restriction": "False",
  "aks-managed-kubeletIdentityClientID": "d31d2c4f-e3b8-4665-b69b-b18c5ed27c30",
  "aks-managed-operationID": "83e7f825-8218-4a0f-ba20-b087a41e559b",
  "aks-managed-orchestrator": "Kubernetes:1.33.10",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</si>
  <si>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Price=302597.3807999999; ERP=243253.9080972;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</t>
  </si>
  <si>
    <t>leafbug</t>
  </si>
  <si>
    <t>{
  "Organization Name": "PT Nawa Darsana Teknologi",
  "Publisher": "Microsoft",
  "Publisher Customer ID": "346fa229-7c19-44ef-85c6-29e00edf66cf",
  "Unit Price": "460.5744",
  "ERP": "389394.72",
  "BenefitType": "Charge",
  "Environment": "Loyalty-Analytic"
}</t>
  </si>
  <si>
    <t>Organization Name=PT Nawa Darsana Teknologi; Publisher=Microsoft; Publisher Customer ID=346fa229-7c19-44ef-85c6-29e00edf66cf; Unit Price=460.5744; ERP=389394.72; BenefitType=Charge; Environment=Loyalty-Analytic</t>
  </si>
  <si>
    <t>lugina</t>
  </si>
  <si>
    <t>{
  "Organization Name": "PT Nawa Darsana Teknologi",
  "Publisher": "Microsoft",
  "Publisher Customer ID": "346fa229-7c19-44ef-85c6-29e00edf66cf",
  "Unit Price": "460.5744",
  "ERP": "834643.0357962555",
  "BenefitType": "Charge"
}</t>
  </si>
  <si>
    <t>Organization Name=PT Nawa Darsana Teknologi; Publisher=Microsoft; Publisher Customer ID=346fa229-7c19-44ef-85c6-29e00edf66cf; Unit Price=460.5744; ERP=834643.0357962555; BenefitType=Charge</t>
  </si>
  <si>
    <t>{
  "Organization Name": "PT Nawa Darsana Teknologi",
  "Publisher": "Microsoft",
  "Publisher Customer ID": "346fa229-7c19-44ef-85c6-29e00edf66cf",
  "Unit Price": "7676.24",
  "ERP": "1895.4860925",
  "BenefitType": "Charge",
  "Billing": "Loyalty",
  "BillingOriginProduct": "JOBS",
  "ClusterId": "0501-180949-14ww0w1r-v2n",
  "ClusterName": "job-866641465762645-run-747025618774360-X_Databricks_Computeles",
  "Creator": "deo.haganta@divisiinovasi.onmicrosoft.com",
  "JobId": "866641465762645.0",
  "RunName": "Job Daily DWH Production",
  "Vendor": "Databricks"
}</t>
  </si>
  <si>
    <t>Organization Name=PT Nawa Darsana Teknologi; Publisher=Microsoft; Publisher Customer ID=346fa229-7c19-44ef-85c6-29e00edf66cf; Unit Price=7676.24; ERP=1895.4860925; BenefitType=Charge; Billing=Loyalty; BillingOriginProduct=JOBS; ClusterId=0501-180949-14ww0w1r-v2n; ClusterName=job-866641465762645-run-747025618774360-X_Databricks_Computeles; Creator=deo.haganta@divisiinovasi.onmicrosoft.com; JobId=866641465762645.0; RunName=Job Daily DWH Production; Vendor=Databricks</t>
  </si>
  <si>
    <t>{
  "Organization Name": "PT Nawa Darsana Teknologi",
  "Publisher": "Microsoft",
  "Publisher Customer ID": "346fa229-7c19-44ef-85c6-29e00edf66cf",
  "Unit Price": "0.0",
  "ERP": "4.9825776",
  "BenefitType": "Charge",
  "Environment": "Loyalty-Analytic"
}</t>
  </si>
  <si>
    <t>Organization Name=PT Nawa Darsana Teknologi; Publisher=Microsoft; Publisher Customer ID=346fa229-7c19-44ef-85c6-29e00edf66cf; Unit Price=0.0; ERP=4.9825776; BenefitType=Charge; Environment=Loyalty-Analytic</t>
  </si>
  <si>
    <t>Azure Data Factory v2</t>
  </si>
  <si>
    <t>Cloud Read Write Operations</t>
  </si>
  <si>
    <t>50K</t>
  </si>
  <si>
    <t>ANALYTICS-DATA-FACTORIES</t>
  </si>
  <si>
    <t>{
  "Organization Name": "PT Nawa Darsana Teknologi",
  "Publisher": "Microsoft",
  "Publisher Customer ID": "346fa229-7c19-44ef-85c6-29e00edf66cf",
  "Unit Price": "7676.24",
  "ERP": "8.19962",
  "BenefitType": "Charge"
}</t>
  </si>
  <si>
    <t>Organization Name=PT Nawa Darsana Teknologi; Publisher=Microsoft; Publisher Customer ID=346fa229-7c19-44ef-85c6-29e00edf66cf; Unit Price=7676.24; ERP=8.19962; BenefitType=Charge</t>
  </si>
  <si>
    <t>{
  "Organization Name": "PT Nawa Darsana Teknologi",
  "Publisher": "Microsoft",
  "Publisher Customer ID": "346fa229-7c19-44ef-85c6-29e00edf66cf",
  "Unit Price": "153.5247944877",
  "ERP": "0.0010153572",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</si>
  <si>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Price=153.5247944877; ERP=0.0010153572;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</si>
  <si>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"153.5247999849",
  "ERP": "1.7324471164",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</si>
  <si>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Price=153.5247999849; ERP=1.7324471164;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</si>
  <si>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"153.5247998",
  "ERP": "0.048185852",
  "BenefitType": "Charge",
  "aks-managed-consolidated-additional-properties": "19870c8d-3b89-11f1-a232-aa2dec2b26a1",
  "aks-managed-creationSource": "vmssclient-aks-systemeph-33281046-vmss",
  "aks-managed-enable-imds-restriction": "False",
  "aks-managed-kubeletIdentityClientID": "b2aa22d3-2063-4e90-a9df-47ffb8a7aae1",
  "aks-managed-operationID": "9e84d395-fd42-4464-9926-826e4ae94f75",
  "aks-managed-orchestrator": "Kubernetes:1.33.8",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</si>
  <si>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Price=153.5247998; ERP=0.048185852; BenefitType=Charge; aks-managed-consolidated-additional-properties=19870c8d-3b89-11f1-a232-aa2dec2b26a1; aks-managed-creationSource=vmssclient-aks-systemeph-33281046-vmss; aks-managed-enable-imds-restriction=False; aks-managed-kubeletIdentityClientID=b2aa22d3-2063-4e90-a9df-47ffb8a7aae1; aks-managed-operationID=9e84d395-fd42-4464-9926-826e4ae94f75; aks-managed-orchestrator=Kubernetes:1.33.8; aks-managed-poolName=systemeph; aks-managed-resourceNameSuffix=11712142.0; aks-managed-ssh-access=LocalUser; compute.aks.billing=linux</t>
  </si>
  <si>
    <t>frontdoor-lakeside</t>
  </si>
  <si>
    <t>{
  "Organization Name": "PT Nawa Darsana Teknologi",
  "Publisher": "Microsoft",
  "Publisher Customer ID": "346fa229-7c19-44ef-85c6-29e00edf66cf",
  "Unit Price": "1719.47776",
  "ERP": "40.3273832962",
  "BenefitType": "Charge",
  "env": "Development-Loyalty"
}</t>
  </si>
  <si>
    <t>Organization Name=PT Nawa Darsana Teknologi; Publisher=Microsoft; Publisher Customer ID=346fa229-7c19-44ef-85c6-29e00edf66cf; Unit Price=1719.47776; ERP=40.3273832962; BenefitType=Charge; env=Development-Loyalty</t>
  </si>
  <si>
    <t>{
  "Organization Name": "PT Nawa Darsana Teknologi",
  "Publisher": "Microsoft",
  "Publisher Customer ID": "346fa229-7c19-44ef-85c6-29e00edf66cf",
  "Unit Price": "7676.2399999983",
  "ERP": "617.8137430036",
  "BenefitType": "Charge",
  "Billing": "Loyalty",
  "BillingOriginProduct": "PREDICTIVE_OPTIMIZATION",
  "ClusterId": "0503-232033-ouz6499k-v2n",
  "ClusterName": "job-81755581213425-run-943424483475399-Predictive-Optimization",
  "Creator": "a25b9e47-2518-438d-90ee-1cd792b5b46d",
  "JobId": "81755581213425.0",
  "Predictive Optimization": "True",
  "RunName": "Predictive Optimization Job-7cc2484f-c1f2-40d5-8422-008ebcf8a065",
  "Vendor": "Databricks"
}</t>
  </si>
  <si>
    <t>Organization Name=PT Nawa Darsana Teknologi; Publisher=Microsoft; Publisher Customer ID=346fa229-7c19-44ef-85c6-29e00edf66cf; Unit Price=7676.2399999983; ERP=617.8137430036; BenefitType=Charge; Billing=Loyalty; BillingOriginProduct=PREDICTIVE_OPTIMIZATION; ClusterId=0503-232033-ouz6499k-v2n; ClusterName=job-81755581213425-run-943424483475399-Predictive-Optimization; Creator=a25b9e47-2518-438d-90ee-1cd792b5b46d; JobId=81755581213425.0; Predictive Optimization=True; RunName=Predictive Optimization Job-7cc2484f-c1f2-40d5-8422-008ebcf8a065; Vendor=Databricks</t>
  </si>
  <si>
    <t>{
  "Organization Name": "PT Nawa Darsana Teknologi",
  "Publisher": "Microsoft",
  "Publisher Customer ID": "346fa229-7c19-44ef-85c6-29e00edf66cf",
  "Unit Price": "7676.24",
  "ERP": "556.310415375",
  "BenefitType": "Charge",
  "Billing": "Loyalty",
  "BillingOriginProduct": "PREDICTIVE_OPTIMIZATION",
  "ClusterId": "0507-214950-9xt91inx-v2n",
  "ClusterName": "job-891356624583584-run-172034074152333-Predictive-Optimization",
  "Creator": "a25b9e47-2518-438d-90ee-1cd792b5b46d",
  "JobId": "891356624583584.0",
  "Predictive Optimization": "True",
  "RunName": "Predictive Optimization Job-ffacb88b-d500-49f6-bd0f-c7acb74e0a51",
  "Vendor": "Databricks"
}</t>
  </si>
  <si>
    <t>Organization Name=PT Nawa Darsana Teknologi; Publisher=Microsoft; Publisher Customer ID=346fa229-7c19-44ef-85c6-29e00edf66cf; Unit Price=7676.24; ERP=556.310415375; BenefitType=Charge; Billing=Loyalty; BillingOriginProduct=PREDICTIVE_OPTIMIZATION; ClusterId=0507-214950-9xt91inx-v2n; ClusterName=job-891356624583584-run-172034074152333-Predictive-Optimization; Creator=a25b9e47-2518-438d-90ee-1cd792b5b46d; JobId=891356624583584.0; Predictive Optimization=True; RunName=Predictive Optimization Job-ffacb88b-d500-49f6-bd0f-c7acb74e0a51; Vendor=Databricks</t>
  </si>
  <si>
    <t>{
  "Organization Name": "PT Nawa Darsana Teknologi",
  "Publisher": "Microsoft",
  "Publisher Customer ID": "346fa229-7c19-44ef-85c6-29e00edf66cf",
  "Unit Price": "7676.24",
  "ERP": "461.58583185",
  "BenefitType": "Charge",
  "Billing": "Loyalty",
  "BillingOriginProduct": "PREDICTIVE_OPTIMIZATION",
  "ClusterId": "0507-091156-xs01kfhf-v2n",
  "ClusterName": "job-318084985277759-run-648520873387914-Predictive-Optimization",
  "Creator": "a25b9e47-2518-438d-90ee-1cd792b5b46d",
  "JobId": "318084985277759.0",
  "Predictive Optimization": "True",
  "RunName": "Predictive Optimization Job-87bcf1dc-93c3-4857-9e0c-4f234916e334",
  "Vendor": "Databricks"
}</t>
  </si>
  <si>
    <t>Organization Name=PT Nawa Darsana Teknologi; Publisher=Microsoft; Publisher Customer ID=346fa229-7c19-44ef-85c6-29e00edf66cf; Unit Price=7676.24; ERP=461.58583185; BenefitType=Charge; Billing=Loyalty; BillingOriginProduct=PREDICTIVE_OPTIMIZATION; ClusterId=0507-091156-xs01kfhf-v2n; ClusterName=job-318084985277759-run-648520873387914-Predictive-Optimization; Creator=a25b9e47-2518-438d-90ee-1cd792b5b46d; JobId=318084985277759.0; Predictive Optimization=True; RunName=Predictive Optimization Job-87bcf1dc-93c3-4857-9e0c-4f234916e334; Vendor=Databricks</t>
  </si>
  <si>
    <t>{
  "Organization Name": "PT Nawa Darsana Teknologi",
  "Publisher": "Microsoft",
  "Publisher Customer ID": "346fa229-7c19-44ef-85c6-29e00edf66cf",
  "Unit Price": "7676.24",
  "ERP": "598.0113711",
  "BenefitType": "Charge",
  "Billing": "Loyalty",
  "BillingOriginProduct": "PREDICTIVE_OPTIMIZATION",
  "ClusterId": "0501-220929-82lq2rp-v2n",
  "ClusterName": "job-424221859501833-run-93730330906031-Predictive-Optimization",
  "Creator": "a25b9e47-2518-438d-90ee-1cd792b5b46d",
  "JobId": "424221859501833.0",
  "Predictive Optimization": "True",
  "RunName": "Predictive Optimization Job-203f488c-f863-4a41-a806-9ba8294d698c",
  "Vendor": "Databricks"
}</t>
  </si>
  <si>
    <t>Organization Name=PT Nawa Darsana Teknologi; Publisher=Microsoft; Publisher Customer ID=346fa229-7c19-44ef-85c6-29e00edf66cf; Unit Price=7676.24; ERP=598.0113711; BenefitType=Charge; Billing=Loyalty; BillingOriginProduct=PREDICTIVE_OPTIMIZATION; ClusterId=0501-220929-82lq2rp-v2n; ClusterName=job-424221859501833-run-93730330906031-Predictive-Optimization; Creator=a25b9e47-2518-438d-90ee-1cd792b5b46d; JobId=424221859501833.0; Predictive Optimization=True; RunName=Predictive Optimization Job-203f488c-f863-4a41-a806-9ba8294d698c; Vendor=Databricks</t>
  </si>
  <si>
    <t>{
  "Organization Name": "PT Nawa Darsana Teknologi",
  "Publisher": "Microsoft",
  "Publisher Customer ID": "346fa229-7c19-44ef-85c6-29e00edf66cf",
  "Unit Price": "7676.2399999991",
  "ERP": "597.5236821268",
  "BenefitType": "Charge",
  "Billing": "Loyalty",
  "BillingOriginProduct": "PREDICTIVE_OPTIMIZATION",
  "ClusterId": "0527-194617-zg28td8x-v2n",
  "ClusterName": "job-500666096077475-run-732566900303524-Predictive-Optimization",
  "Creator": "a25b9e47-2518-438d-90ee-1cd792b5b46d",
  "JobId": "500666096077475.0",
  "Predictive Optimization": "True",
  "RunName": "Predictive Optimization Job-55cb87c9-30c4-4d00-a7bf-b90c345690c7",
  "Vendor": "Databricks"
}</t>
  </si>
  <si>
    <t>Organization Name=PT Nawa Darsana Teknologi; Publisher=Microsoft; Publisher Customer ID=346fa229-7c19-44ef-85c6-29e00edf66cf; Unit Price=7676.2399999991; ERP=597.5236821268; BenefitType=Charge; Billing=Loyalty; BillingOriginProduct=PREDICTIVE_OPTIMIZATION; ClusterId=0527-194617-zg28td8x-v2n; ClusterName=job-500666096077475-run-732566900303524-Predictive-Optimization; Creator=a25b9e47-2518-438d-90ee-1cd792b5b46d; JobId=500666096077475.0; Predictive Optimization=True; RunName=Predictive Optimization Job-55cb87c9-30c4-4d00-a7bf-b90c345690c7; Vendor=Databricks</t>
  </si>
  <si>
    <t>{
  "Organization Name": "PT Nawa Darsana Teknologi",
  "Publisher": "Microsoft",
  "Publisher Customer ID": "346fa229-7c19-44ef-85c6-29e00edf66cf",
  "Unit Price": "7676.2399999995",
  "ERP": "1064.3840940018",
  "BenefitType": "Charge",
  "Billing": "Loyalty",
  "BillingOriginProduct": "PREDICTIVE_OPTIMIZATION",
  "ClusterId": "0527-224933-nl1sn85q-v2n",
  "ClusterName": "job-128148533042399-run-967155326290785-Predictive-Optimization",
  "Creator": "a25b9e47-2518-438d-90ee-1cd792b5b46d",
  "JobId": "128148533042399.0",
  "Predictive Optimization": "True",
  "RunName": "Predictive Optimization Job-59040c87-359a-4cb8-8a10-eddc5b130e83",
  "Vendor": "Databricks"
}</t>
  </si>
  <si>
    <t>Organization Name=PT Nawa Darsana Teknologi; Publisher=Microsoft; Publisher Customer ID=346fa229-7c19-44ef-85c6-29e00edf66cf; Unit Price=7676.2399999995; ERP=1064.3840940018; BenefitType=Charge; Billing=Loyalty; BillingOriginProduct=PREDICTIVE_OPTIMIZATION; ClusterId=0527-224933-nl1sn85q-v2n; ClusterName=job-128148533042399-run-967155326290785-Predictive-Optimization; Creator=a25b9e47-2518-438d-90ee-1cd792b5b46d; JobId=128148533042399.0; Predictive Optimization=True; RunName=Predictive Optimization Job-59040c87-359a-4cb8-8a10-eddc5b130e83; Vendor=Databricks</t>
  </si>
  <si>
    <t>{
  "Organization Name": "PT Nawa Darsana Teknologi",
  "Publisher": "Microsoft",
  "Publisher Customer ID": "346fa229-7c19-44ef-85c6-29e00edf66cf",
  "Unit Price": "7676.2399999988",
  "ERP": "429.2897233768",
  "BenefitType": "Charge",
  "Billing": "Loyalty",
  "BillingOriginProduct": "PREDICTIVE_OPTIMIZATION",
  "ClusterId": "0529-184753-97ow2dzr-v2n",
  "ClusterName": "job-958323303512147-run-728929203817381-Predictive-Optimization",
  "Creator": "a25b9e47-2518-438d-90ee-1cd792b5b46d",
  "JobId": "958323303512147.0",
  "Predictive Optimization": "True",
  "RunName": "Predictive Optimization Job-5cb86b57-8dd5-4e7b-9761-d621a6851aaa",
  "Vendor": "Databricks"
}</t>
  </si>
  <si>
    <t>Organization Name=PT Nawa Darsana Teknologi; Publisher=Microsoft; Publisher Customer ID=346fa229-7c19-44ef-85c6-29e00edf66cf; Unit Price=7676.2399999988; ERP=429.2897233768; BenefitType=Charge; Billing=Loyalty; BillingOriginProduct=PREDICTIVE_OPTIMIZATION; ClusterId=0529-184753-97ow2dzr-v2n; ClusterName=job-958323303512147-run-728929203817381-Predictive-Optimization; Creator=a25b9e47-2518-438d-90ee-1cd792b5b46d; JobId=958323303512147.0; Predictive Optimization=True; RunName=Predictive Optimization Job-5cb86b57-8dd5-4e7b-9761-d621a6851aaa; Vendor=Databricks</t>
  </si>
  <si>
    <t>{
  "Organization Name": "PT Nawa Darsana Teknologi",
  "Publisher": "Microsoft",
  "Publisher Customer ID": "346fa229-7c19-44ef-85c6-29e00edf66cf",
  "Unit Price": "7676.24",
  "ERP": "483.303266875",
  "BenefitType": "Charge",
  "Billing": "Loyalty",
  "BillingOriginProduct": "PREDICTIVE_OPTIMIZATION",
  "ClusterId": "0530-235535-ic50sgn2-v2n",
  "ClusterName": "job-252004207833228-run-388241249670654-Predictive-Optimization",
  "Creator": "a25b9e47-2518-438d-90ee-1cd792b5b46d",
  "JobId": "252004207833228.0",
  "Predictive Optimization": "True",
  "RunName": "Predictive Optimization Job-7902f8af-52b3-44b4-bdfd-28c43f52a5c4",
  "Vendor": "Databricks"
}</t>
  </si>
  <si>
    <t>Organization Name=PT Nawa Darsana Teknologi; Publisher=Microsoft; Publisher Customer ID=346fa229-7c19-44ef-85c6-29e00edf66cf; Unit Price=7676.24; ERP=483.303266875; BenefitType=Charge; Billing=Loyalty; BillingOriginProduct=PREDICTIVE_OPTIMIZATION; ClusterId=0530-235535-ic50sgn2-v2n; ClusterName=job-252004207833228-run-388241249670654-Predictive-Optimization; Creator=a25b9e47-2518-438d-90ee-1cd792b5b46d; JobId=252004207833228.0; Predictive Optimization=True; RunName=Predictive Optimization Job-7902f8af-52b3-44b4-bdfd-28c43f52a5c4; Vendor=Databricks</t>
  </si>
  <si>
    <t>{
  "Organization Name": "PT Nawa Darsana Teknologi",
  "Publisher": "Microsoft",
  "Publisher Customer ID": "346fa229-7c19-44ef-85c6-29e00edf66cf",
  "Unit Price": "7676.2399999978",
  "ERP": "476.1685786286",
  "BenefitType": "Charge",
  "Billing": "Loyalty",
  "BillingOriginProduct": "PREDICTIVE_OPTIMIZATION",
  "ClusterId": "0531-225926-jk1apjdg-v2n",
  "ClusterName": "job-105268098860806-run-439689492139071-Predictive-Optimization",
  "Creator": "a25b9e47-2518-438d-90ee-1cd792b5b46d",
  "JobId": "105268098860806.0",
  "Predictive Optimization": "True",
  "RunName": "Predictive Optimization Job-204da27c-6378-476e-8563-ffde35c5a105",
  "Vendor": "Databricks"
}</t>
  </si>
  <si>
    <t>Organization Name=PT Nawa Darsana Teknologi; Publisher=Microsoft; Publisher Customer ID=346fa229-7c19-44ef-85c6-29e00edf66cf; Unit Price=7676.2399999978; ERP=476.1685786286; BenefitType=Charge; Billing=Loyalty; BillingOriginProduct=PREDICTIVE_OPTIMIZATION; ClusterId=0531-225926-jk1apjdg-v2n; ClusterName=job-105268098860806-run-439689492139071-Predictive-Optimization; Creator=a25b9e47-2518-438d-90ee-1cd792b5b46d; JobId=105268098860806.0; Predictive Optimization=True; RunName=Predictive Optimization Job-204da27c-6378-476e-8563-ffde35c5a105; Vendor=Databricks</t>
  </si>
  <si>
    <t>{
  "Organization Name": "PT Nawa Darsana Teknologi",
  "Publisher": "Microsoft",
  "Publisher Customer ID": "346fa229-7c19-44ef-85c6-29e00edf66cf",
  "Unit Price": "7676.2399999992",
  "ERP": "669.5865658768",
  "BenefitType": "Charge",
  "Billing": "Loyalty",
  "BillingOriginProduct": "PREDICTIVE_OPTIMIZATION",
  "ClusterId": "0531-033021-3qmcg7b7-v2n",
  "ClusterName": "job-193240235434935-run-1072141012736059-Predictive-Optimizatio",
  "Creator": "a25b9e47-2518-438d-90ee-1cd792b5b46d",
  "JobId": "193240235434935.0",
  "Predictive Optimization": "True",
  "RunName": "Predictive Optimization Job-61f71d3c-8d22-4670-b2f1-3b04746b1ad5",
  "Vendor": "Databricks"
}</t>
  </si>
  <si>
    <t>Organization Name=PT Nawa Darsana Teknologi; Publisher=Microsoft; Publisher Customer ID=346fa229-7c19-44ef-85c6-29e00edf66cf; Unit Price=7676.2399999992; ERP=669.5865658768; BenefitType=Charge; Billing=Loyalty; BillingOriginProduct=PREDICTIVE_OPTIMIZATION; ClusterId=0531-033021-3qmcg7b7-v2n; ClusterName=job-193240235434935-run-1072141012736059-Predictive-Optimizatio; Creator=a25b9e47-2518-438d-90ee-1cd792b5b46d; JobId=193240235434935.0; Predictive Optimization=True; RunName=Predictive Optimization Job-61f71d3c-8d22-4670-b2f1-3b04746b1ad5; Vendor=Databricks</t>
  </si>
  <si>
    <t>{
  "Organization Name": "PT Nawa Darsana Teknologi",
  "Publisher": "Microsoft",
  "Publisher Customer ID": "346fa229-7c19-44ef-85c6-29e00edf66cf",
  "Unit Price": "1228.1983999951",
  "ERP": "59.836657166",
  "BenefitType": "Charge",
  "aks-managed-consolidated-additional-properties": "311cf8b6-57da-11f1-a161-cad1f54d4175",
  "aks-managed-creationSource": "vmssclient-aks-udbziumeph-39962470-vmss",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</si>
  <si>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Price=1228.1983999951; ERP=59.836657166;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</si>
  <si>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"1091.3847617107",
  "ERP": "37.1414052438",
  "BenefitType": "Charge",
  "aks-managed-consolidated-additional-properties": "2a985bfc-3b84-11f1-95e3-2e4ba821b3e8",
  "aks-managed-creationSource": "vmssclient-aks-newuserpool-25919024-vmss",
  "aks-managed-enable-imds-restriction": "False",
  "aks-managed-kubeletIdentityClientID": "d31d2c4f-e3b8-4665-b69b-b18c5ed27c30",
  "aks-managed-operationID": "fc4a52d4-889b-4642-9d1f-4755ccdf8ad9",
  "aks-managed-orchestrator": "Kubernetes:1.33.8",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</si>
  <si>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Price=1091.3847617107; ERP=37.1414052438;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</si>
  <si>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"7676.24",
  "ERP": "1143.966713175",
  "BenefitType": "Charge",
  "Billing": "Loyalty",
  "BillingOriginProduct": "PREDICTIVE_OPTIMIZATION",
  "ClusterId": "0501-141642-758vohe2-v2n",
  "ClusterName": "job-634464602845427-run-955188034414858-Predictive-Optimization",
  "Creator": "a25b9e47-2518-438d-90ee-1cd792b5b46d",
  "JobId": "634464602845427.0",
  "Predictive Optimization": "True",
  "RunName": "Predictive Optimization Job-89dd4c51-288d-457e-b596-4ab626cccd81",
  "Vendor": "Databricks"
}</t>
  </si>
  <si>
    <t>Organization Name=PT Nawa Darsana Teknologi; Publisher=Microsoft; Publisher Customer ID=346fa229-7c19-44ef-85c6-29e00edf66cf; Unit Price=7676.24; ERP=1143.966713175; BenefitType=Charge; Billing=Loyalty; BillingOriginProduct=PREDICTIVE_OPTIMIZATION; ClusterId=0501-141642-758vohe2-v2n; ClusterName=job-634464602845427-run-955188034414858-Predictive-Optimization; Creator=a25b9e47-2518-438d-90ee-1cd792b5b46d; JobId=634464602845427.0; Predictive Optimization=True; RunName=Predictive Optimization Job-89dd4c51-288d-457e-b596-4ab626cccd81; Vendor=Databricks</t>
  </si>
  <si>
    <t>{
  "Organization Name": "PT Nawa Darsana Teknologi",
  "Publisher": "Microsoft",
  "Publisher Customer ID": "346fa229-7c19-44ef-85c6-29e00edf66cf",
  "Unit Price": "7676.24",
  "ERP": "425.498126625",
  "BenefitType": "Charge",
  "Billing": "Loyalty",
  "BillingOriginProduct": "PREDICTIVE_OPTIMIZATION",
  "ClusterId": "0501-202717-bwxix35q-v2n",
  "ClusterName": "job-894640926867521-run-690144568821013-Predictive-Optimization",
  "Creator": "a25b9e47-2518-438d-90ee-1cd792b5b46d",
  "JobId": "894640926867521.0",
  "Predictive Optimization": "True",
  "RunName": "Predictive Optimization Job-ba73f496-c708-4356-9e8e-01c3937a2915",
  "Vendor": "Databricks"
}</t>
  </si>
  <si>
    <t>Organization Name=PT Nawa Darsana Teknologi; Publisher=Microsoft; Publisher Customer ID=346fa229-7c19-44ef-85c6-29e00edf66cf; Unit Price=7676.24; ERP=425.498126625; BenefitType=Charge; Billing=Loyalty; BillingOriginProduct=PREDICTIVE_OPTIMIZATION; ClusterId=0501-202717-bwxix35q-v2n; ClusterName=job-894640926867521-run-690144568821013-Predictive-Optimization; Creator=a25b9e47-2518-438d-90ee-1cd792b5b46d; JobId=894640926867521.0; Predictive Optimization=True; RunName=Predictive Optimization Job-ba73f496-c708-4356-9e8e-01c3937a2915; Vendor=Databricks</t>
  </si>
  <si>
    <t>{
  "Organization Name": "PT Nawa Darsana Teknologi",
  "Publisher": "Microsoft",
  "Publisher Customer ID": "346fa229-7c19-44ef-85c6-29e00edf66cf",
  "Unit Price": "7676.24",
  "ERP": "386.83931715",
  "BenefitType": "Charge",
  "Billing": "Loyalty",
  "BillingOriginProduct": "PREDICTIVE_OPTIMIZATION",
  "ClusterId": "0506-000123-ud7l13ql-v2n",
  "ClusterName": "job-534849875485636-run-391339103081032-Predictive-Optimization",
  "Creator": "a25b9e47-2518-438d-90ee-1cd792b5b46d",
  "JobId": "534849875485636.0",
  "Predictive Optimization": "True",
  "RunName": "Predictive Optimization Job-8dbc3a6d-b6ff-4506-8f3a-29beb47fcd1b",
  "Vendor": "Databricks"
}</t>
  </si>
  <si>
    <t>Organization Name=PT Nawa Darsana Teknologi; Publisher=Microsoft; Publisher Customer ID=346fa229-7c19-44ef-85c6-29e00edf66cf; Unit Price=7676.24; ERP=386.83931715; BenefitType=Charge; Billing=Loyalty; BillingOriginProduct=PREDICTIVE_OPTIMIZATION; ClusterId=0506-000123-ud7l13ql-v2n; ClusterName=job-534849875485636-run-391339103081032-Predictive-Optimization; Creator=a25b9e47-2518-438d-90ee-1cd792b5b46d; JobId=534849875485636.0; Predictive Optimization=True; RunName=Predictive Optimization Job-8dbc3a6d-b6ff-4506-8f3a-29beb47fcd1b; Vendor=Databricks</t>
  </si>
  <si>
    <t>{
  "Organization Name": "PT Nawa Darsana Teknologi",
  "Publisher": "Microsoft",
  "Publisher Customer ID": "346fa229-7c19-44ef-85c6-29e00edf66cf",
  "Unit Price": "7676.24",
  "ERP": "587.3658219",
  "BenefitType": "Charge",
  "Billing": "Loyalty",
  "BillingOriginProduct": "PREDICTIVE_OPTIMIZATION",
  "ClusterId": "0507-162625-susxv6wp-v2n",
  "ClusterName": "job-316731109833281-run-245033472132746-Predictive-Optimization",
  "Creator": "a25b9e47-2518-438d-90ee-1cd792b5b46d",
  "JobId": "316731109833281.0",
  "Predictive Optimization": "True",
  "RunName": "Predictive Optimization Job-900b2470-124d-4269-9285-8d5c997e9b35",
  "Vendor": "Databricks"
}</t>
  </si>
  <si>
    <t>Organization Name=PT Nawa Darsana Teknologi; Publisher=Microsoft; Publisher Customer ID=346fa229-7c19-44ef-85c6-29e00edf66cf; Unit Price=7676.24; ERP=587.3658219; BenefitType=Charge; Billing=Loyalty; BillingOriginProduct=PREDICTIVE_OPTIMIZATION; ClusterId=0507-162625-susxv6wp-v2n; ClusterName=job-316731109833281-run-245033472132746-Predictive-Optimization; Creator=a25b9e47-2518-438d-90ee-1cd792b5b46d; JobId=316731109833281.0; Predictive Optimization=True; RunName=Predictive Optimization Job-900b2470-124d-4269-9285-8d5c997e9b35; Vendor=Databricks</t>
  </si>
  <si>
    <t>{
  "Organization Name": "PT Nawa Darsana Teknologi",
  "Publisher": "Microsoft",
  "Publisher Customer ID": "346fa229-7c19-44ef-85c6-29e00edf66cf",
  "Unit Price": "7676.24",
  "ERP": "592.035461875",
  "BenefitType": "Charge",
  "Billing": "Loyalty",
  "BillingOriginProduct": "PREDICTIVE_OPTIMIZATION",
  "ClusterId": "0522-104001-ghi5rjy5-v2n",
  "ClusterName": "job-60314101284241-run-296928306106277-Predictive-Optimization",
  "Creator": "a25b9e47-2518-438d-90ee-1cd792b5b46d",
  "JobId": "60314101284241.0",
  "Predictive Optimization": "True",
  "RunName": "Predictive Optimization Job-6120d555-32e1-4971-8c05-2f5ade332006",
  "Vendor": "Databricks"
}</t>
  </si>
  <si>
    <t>Organization Name=PT Nawa Darsana Teknologi; Publisher=Microsoft; Publisher Customer ID=346fa229-7c19-44ef-85c6-29e00edf66cf; Unit Price=7676.24; ERP=592.035461875; BenefitType=Charge; Billing=Loyalty; BillingOriginProduct=PREDICTIVE_OPTIMIZATION; ClusterId=0522-104001-ghi5rjy5-v2n; ClusterName=job-60314101284241-run-296928306106277-Predictive-Optimization; Creator=a25b9e47-2518-438d-90ee-1cd792b5b46d; JobId=60314101284241.0; Predictive Optimization=True; RunName=Predictive Optimization Job-6120d555-32e1-4971-8c05-2f5ade332006; Vendor=Databricks</t>
  </si>
  <si>
    <t>{
  "Organization Name": "PT Nawa Darsana Teknologi",
  "Publisher": "Microsoft",
  "Publisher Customer ID": "346fa229-7c19-44ef-85c6-29e00edf66cf",
  "Unit Price": "7676.24",
  "ERP": "1943.1708186176",
  "BenefitType": "Charge",
  "Billing": "Loyalty",
  "BillingOriginProduct": "PREDICTIVE_OPTIMIZATION",
  "Creator": "a25b9e47-2518-438d-90ee-1cd792b5b46d",
  "JobId": "318084985277759.0",
  "Predictive Optimization": "True",
  "Vendor": "Databricks"
}</t>
  </si>
  <si>
    <t>Organization Name=PT Nawa Darsana Teknologi; Publisher=Microsoft; Publisher Customer ID=346fa229-7c19-44ef-85c6-29e00edf66cf; Unit Price=7676.24; ERP=1943.1708186176; BenefitType=Charge; Billing=Loyalty; BillingOriginProduct=PREDICTIVE_OPTIMIZATION; Creator=a25b9e47-2518-438d-90ee-1cd792b5b46d; JobId=318084985277759.0; Predictive Optimization=True; Vendor=Databricks</t>
  </si>
  <si>
    <t>aks-monitoring-70266aks-monitoring-702666OS__1_df8c0eacd0be49a289b4abd53eec4b88</t>
  </si>
  <si>
    <t>{
  "Organization Name": "PT Nawa Darsana Teknologi",
  "Publisher": "Microsoft",
  "Publisher Customer ID": "346fa229-7c19-44ef-85c6-29e00edf66cf",
  "Unit Price": "302597.3808",
  "ERP": "62.58264012",
  "BenefitType": "Charge",
  "aks-managed-consolidated-additional-properties": "73336d53-4c0c-11f1-8bd6-5ec9d1cd8e46",
  "aks-managed-creationSource": "vmssclient-aks-monitoring-70266679-vmss",
  "aks-managed-enable-imds-restriction": "False",
  "aks-managed-kubeletIdentityClientID": "d31d2c4f-e3b8-4665-b69b-b18c5ed27c30",
  "aks-managed-operationID": "47e3b138-8324-4703-af11-b999d06876ce",
  "aks-managed-orchestrator": "Kubernetes:1.33.10",
  "aks-managed-poolName": "monitoring",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</si>
  <si>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Price=302597.3808; ERP=62.58264012;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</t>
  </si>
  <si>
    <t>aks-monitoring-70266aks-monitoring-702666OS__1_612a38a6e75d488db97145390da6bc09</t>
  </si>
  <si>
    <t>{
  "Organization Name": "PT Nawa Darsana Teknologi",
  "Publisher": "Microsoft",
  "Publisher Customer ID": "346fa229-7c19-44ef-85c6-29e00edf66cf",
  "Unit Price": "302597.3807999999",
  "ERP": "100286.27376768",
  "BenefitType": "Charge",
  "aks-managed-consolidated-additional-properties": "87926557-3b8a-11f1-95e3-2e4ba821b3e8",
  "aks-managed-creationSource": "vmssclient-aks-monitoring-70266679-vmss",
  "aks-managed-enable-imds-restriction": "False",
  "aks-managed-kubeletIdentityClientID": "d31d2c4f-e3b8-4665-b69b-b18c5ed27c30",
  "aks-managed-operationID": "2f321416-f628-4de1-b867-706e0a18a60d",
  "aks-managed-orchestrator": "Kubernetes:1.33.8",
  "aks-managed-poolName": "monitoring",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</si>
  <si>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Price=302597.3807999999; ERP=100286.27376768; BenefitType=Charge; aks-managed-consolidated-additional-properties=87926557-3b8a-11f1-95e3-2e4ba821b3e8; aks-managed-creationSource=vmssclient-aks-monitoring-70266679-vmss; aks-managed-enable-imds-restriction=False; aks-managed-kubeletIdentityClientID=d31d2c4f-e3b8-4665-b69b-b18c5ed27c30; aks-managed-operationID=2f321416-f628-4de1-b867-706e0a18a60d; aks-managed-orchestrator=Kubernetes:1.33.8; aks-managed-poolName=monitoring;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</si>
  <si>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"7676.24",
  "ERP": "335.84116995",
  "BenefitType": "Charge",
  "Billing": "Loyalty",
  "BillingOriginProduct": "PREDICTIVE_OPTIMIZATION",
  "ClusterId": "0512-014216-okoxksvt-v2n",
  "ClusterName": "job-630206508016888-run-447428941228440-Predictive-Optimization",
  "Creator": "a25b9e47-2518-438d-90ee-1cd792b5b46d",
  "JobId": "630206508016888.0",
  "Predictive Optimization": "True",
  "RunName": "Predictive Optimization Job-6bfa8f89-86be-470a-8fdc-486d6444e3e9",
  "Vendor": "Databricks"
}</t>
  </si>
  <si>
    <t>Organization Name=PT Nawa Darsana Teknologi; Publisher=Microsoft; Publisher Customer ID=346fa229-7c19-44ef-85c6-29e00edf66cf; Unit Price=7676.24; ERP=335.84116995; BenefitType=Charge; Billing=Loyalty; BillingOriginProduct=PREDICTIVE_OPTIMIZATION; ClusterId=0512-014216-okoxksvt-v2n; ClusterName=job-630206508016888-run-447428941228440-Predictive-Optimization; Creator=a25b9e47-2518-438d-90ee-1cd792b5b46d; JobId=630206508016888.0; Predictive Optimization=True; RunName=Predictive Optimization Job-6bfa8f89-86be-470a-8fdc-486d6444e3e9; Vendor=Databricks</t>
  </si>
  <si>
    <t>curl-api-report</t>
  </si>
  <si>
    <t>{
  "Organization Name": "PT Nawa Darsana Teknologi",
  "Publisher": "Microsoft",
  "Publisher Customer ID": "346fa229-7c19-44ef-85c6-29e00edf66cf",
  "Unit Price": "1842.2976",
  "ERP": "0.02721576",
  "BenefitType": "Charge"
}</t>
  </si>
  <si>
    <t>Organization Name=PT Nawa Darsana Teknologi; Publisher=Microsoft; Publisher Customer ID=346fa229-7c19-44ef-85c6-29e00edf66cf; Unit Price=1842.2976; ERP=0.02721576; BenefitType=Charge</t>
  </si>
  <si>
    <t>{
  "Organization Name": "PT Nawa Darsana Teknologi",
  "Publisher": "Microsoft",
  "Publisher Customer ID": "346fa229-7c19-44ef-85c6-29e00edf66cf",
  "Unit Price": "153.524799484",
  "ERP": "0.013293852",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</si>
  <si>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Price=153.524799484; ERP=0.013293852;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</si>
  <si>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"153.5247999611",
  "ERP": "6.3612669406",
  "BenefitType": "Charge",
  "Loyalty": "Loyalty"
}</t>
  </si>
  <si>
    <t>Organization Name=PT Nawa Darsana Teknologi; Publisher=Microsoft; Publisher Customer ID=346fa229-7c19-44ef-85c6-29e00edf66cf; Unit Price=153.5247999611; ERP=6.3612669406; BenefitType=Charge; Loyalty=Loyalty</t>
  </si>
  <si>
    <t>{
  "Organization Name": "PT Nawa Darsana Teknologi",
  "Publisher": "Microsoft",
  "Publisher Customer ID": "346fa229-7c19-44ef-85c6-29e00edf66cf",
  "Unit Price": "153.5247999783",
  "ERP": "19.7388300824",
  "BenefitType": "Charge",
  "Loyalty": "Loyalty"
}</t>
  </si>
  <si>
    <t>Organization Name=PT Nawa Darsana Teknologi; Publisher=Microsoft; Publisher Customer ID=346fa229-7c19-44ef-85c6-29e00edf66cf; Unit Price=153.5247999783; ERP=19.7388300824; BenefitType=Charge; Loyalty=Loyalty</t>
  </si>
  <si>
    <t>{
  "Organization Name": "PT Nawa Darsana Teknologi",
  "Publisher": "Microsoft",
  "Publisher Customer ID": "346fa229-7c19-44ef-85c6-29e00edf66cf",
  "Unit Price": "1228.1983992495",
  "ERP": "3.131879751",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</si>
  <si>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Price=1228.1983992495; ERP=3.131879751;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</si>
  <si>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"7676.2399999997",
  "ERP": "3212.0557505036",
  "BenefitType": "Charge",
  "Billing": "Loyalty",
  "BillingOriginProduct": "JOBS",
  "ClusterId": "0513-181854-1fruo56a-v2n",
  "ClusterName": "job-866641465762645-run-270437857160952-X_Databricks_Computeles",
  "Creator": "deo.haganta@divisiinovasi.onmicrosoft.com",
  "JobId": "866641465762645.0",
  "RunName": "Job Daily DWH Production",
  "Vendor": "Databricks"
}</t>
  </si>
  <si>
    <t>Organization Name=PT Nawa Darsana Teknologi; Publisher=Microsoft; Publisher Customer ID=346fa229-7c19-44ef-85c6-29e00edf66cf; Unit Price=7676.2399999997; ERP=3212.0557505036; BenefitType=Charge; Billing=Loyalty; BillingOriginProduct=JOBS; ClusterId=0513-181854-1fruo56a-v2n; ClusterName=job-866641465762645-run-270437857160952-X_Databricks_Computeles; Creator=deo.haganta@divisiinovasi.onmicrosoft.com; JobId=866641465762645.0; RunName=Job Daily DWH Production; Vendor=Databricks</t>
  </si>
  <si>
    <t>{
  "Organization Name": "PT Nawa Darsana Teknologi",
  "Publisher": "Microsoft",
  "Publisher Customer ID": "346fa229-7c19-44ef-85c6-29e00edf66cf",
  "Unit Price": "7676.24",
  "ERP": "560.349600525",
  "BenefitType": "Charge",
  "Billing": "Loyalty",
  "BillingOriginProduct": "PREDICTIVE_OPTIMIZATION",
  "ClusterId": "0513-192049-bfpu8yik-v2n",
  "ClusterName": "job-951142286848050-run-598509601294368-Predictive-Optimization",
  "Creator": "a25b9e47-2518-438d-90ee-1cd792b5b46d",
  "JobId": "951142286848050.0",
  "Predictive Optimization": "True",
  "RunName": "Predictive Optimization Job-d2af3a36-c1d3-4f5f-8d72-d5b7f7018d37",
  "Vendor": "Databricks"
}</t>
  </si>
  <si>
    <t>Organization Name=PT Nawa Darsana Teknologi; Publisher=Microsoft; Publisher Customer ID=346fa229-7c19-44ef-85c6-29e00edf66cf; Unit Price=7676.24; ERP=560.349600525; BenefitType=Charge; Billing=Loyalty; BillingOriginProduct=PREDICTIVE_OPTIMIZATION; ClusterId=0513-192049-bfpu8yik-v2n; ClusterName=job-951142286848050-run-598509601294368-Predictive-Optimization; Creator=a25b9e47-2518-438d-90ee-1cd792b5b46d; JobId=951142286848050.0; Predictive Optimization=True; RunName=Predictive Optimization Job-d2af3a36-c1d3-4f5f-8d72-d5b7f7018d37; Vendor=Databricks</t>
  </si>
  <si>
    <t>{
  "Organization Name": "PT Nawa Darsana Teknologi",
  "Publisher": "Microsoft",
  "Publisher Customer ID": "346fa229-7c19-44ef-85c6-29e00edf66cf",
  "Unit Price": "7676.24",
  "ERP": "554.3850312",
  "BenefitType": "Charge",
  "Billing": "Loyalty",
  "BillingOriginProduct": "PREDICTIVE_OPTIMIZATION",
  "ClusterId": "0513-181856-im61t4ms-v2n",
  "ClusterName": "job-807197459561084-run-115261522753369-Predictive-Optimization",
  "Creator": "a25b9e47-2518-438d-90ee-1cd792b5b46d",
  "JobId": "807197459561084.0",
  "Predictive Optimization": "True",
  "RunName": "Predictive Optimization Job-d3bd7d92-3a14-4118-85cb-006e18c12b73",
  "Vendor": "Databricks"
}</t>
  </si>
  <si>
    <t>Organization Name=PT Nawa Darsana Teknologi; Publisher=Microsoft; Publisher Customer ID=346fa229-7c19-44ef-85c6-29e00edf66cf; Unit Price=7676.24; ERP=554.3850312; BenefitType=Charge; Billing=Loyalty; BillingOriginProduct=PREDICTIVE_OPTIMIZATION; ClusterId=0513-181856-im61t4ms-v2n; ClusterName=job-807197459561084-run-115261522753369-Predictive-Optimization; Creator=a25b9e47-2518-438d-90ee-1cd792b5b46d; JobId=807197459561084.0; Predictive Optimization=True; RunName=Predictive Optimization Job-d3bd7d92-3a14-4118-85cb-006e18c12b73; Vendor=Databricks</t>
  </si>
  <si>
    <t>{
  "Organization Name": "PT Nawa Darsana Teknologi",
  "Publisher": "Microsoft",
  "Publisher Customer ID": "346fa229-7c19-44ef-85c6-29e00edf66cf",
  "Unit Price": "153.5247999825",
  "ERP": "11.1870869968",
  "BenefitType": "Charge",
  "aks-managed-consolidated-additional-properties": "7fbc0e22-3b8a-11f1-ad93-229365f5b931",
  "aks-managed-creationSource": "vmssclient-aks-monitoring-17595035-vmss",
  "aks-managed-enable-imds-restriction": "False",
  "aks-managed-kubeletIdentityClientID": "f876420b-ca69-40d9-b52b-83d95239c056",
  "aks-managed-operationID": "efdc0013-0c43-4a2e-82d7-dcc18b8419e2",
  "aks-managed-orchestrator": "Kubernetes:1.33.8",
  "aks-managed-poolName": "monitoring",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</si>
  <si>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Price=153.5247999825; ERP=11.1870869968; BenefitType=Charge; aks-managed-consolidated-additional-properties=7fbc0e22-3b8a-11f1-ad93-229365f5b931; aks-managed-creationSource=vmssclient-aks-monitoring-17595035-vmss; aks-managed-enable-imds-restriction=False; aks-managed-kubeletIdentityClientID=f876420b-ca69-40d9-b52b-83d95239c056; aks-managed-operationID=efdc0013-0c43-4a2e-82d7-dcc18b8419e2; aks-managed-orchestrator=Kubernetes:1.33.8; aks-managed-poolName=monitoring;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</si>
  <si>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"153.5247999998",
  "ERP": "556.8876703676",
  "BenefitType": "Charge",
  "aks-managed-consolidated-additional-properties": "de1ef251-3b84-11f1-95e3-2e4ba821b3e8",
  "aks-managed-creationSource": "vmssclient-aks-usereph-29326849-vmss",
  "aks-managed-enable-imds-restriction": "False",
  "aks-managed-kubeletIdentityClientID": "b2aa22d3-2063-4e90-a9df-47ffb8a7aae1",
  "aks-managed-operationID": "583623f0-ca12-4a44-a1c9-b965876cced6",
  "aks-managed-orchestrator": "Kubernetes:1.33.8",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</si>
  <si>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Price=153.5247999998; ERP=556.8876703676;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</si>
  <si>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"7676.24",
  "ERP": "609.946397775",
  "BenefitType": "Charge",
  "Billing": "Loyalty",
  "BillingOriginProduct": "PREDICTIVE_OPTIMIZATION",
  "ClusterId": "0518-171434-ynvgnmsi-v2n",
  "ClusterName": "job-16025540782636-run-732479026849787-Predictive-Optimization",
  "Creator": "a25b9e47-2518-438d-90ee-1cd792b5b46d",
  "JobId": "16025540782636.0",
  "Predictive Optimization": "True",
  "RunName": "Predictive Optimization Job-18c6ee98-dd1f-41e7-be9f-9a24a2515fd3",
  "Vendor": "Databricks"
}</t>
  </si>
  <si>
    <t>Organization Name=PT Nawa Darsana Teknologi; Publisher=Microsoft; Publisher Customer ID=346fa229-7c19-44ef-85c6-29e00edf66cf; Unit Price=7676.24; ERP=609.946397775; BenefitType=Charge; Billing=Loyalty; BillingOriginProduct=PREDICTIVE_OPTIMIZATION; ClusterId=0518-171434-ynvgnmsi-v2n; ClusterName=job-16025540782636-run-732479026849787-Predictive-Optimization; Creator=a25b9e47-2518-438d-90ee-1cd792b5b46d; JobId=16025540782636.0; Predictive Optimization=True; RunName=Predictive Optimization Job-18c6ee98-dd1f-41e7-be9f-9a24a2515fd3; Vendor=Databricks</t>
  </si>
  <si>
    <t>{
  "Organization Name": "PT Nawa Darsana Teknologi",
  "Publisher": "Microsoft",
  "Publisher Customer ID": "346fa229-7c19-44ef-85c6-29e00edf66cf",
  "Unit Price": "7676.24",
  "ERP": "541.5892625",
  "BenefitType": "Charge",
  "Billing": "Loyalty",
  "BillingOriginProduct": "PREDICTIVE_OPTIMIZATION",
  "ClusterId": "0526-185352-tsi6ikh1-v2n",
  "ClusterName": "job-203778139190629-run-68014754892791-Predictive-Optimization",
  "Creator": "a25b9e47-2518-438d-90ee-1cd792b5b46d",
  "JobId": "203778139190629.0",
  "Predictive Optimization": "True",
  "RunName": "Predictive Optimization Job-70603a36-7351-4d40-89b0-c07876053734",
  "Vendor": "Databricks"
}</t>
  </si>
  <si>
    <t>Organization Name=PT Nawa Darsana Teknologi; Publisher=Microsoft; Publisher Customer ID=346fa229-7c19-44ef-85c6-29e00edf66cf; Unit Price=7676.24; ERP=541.5892625; BenefitType=Charge; Billing=Loyalty; BillingOriginProduct=PREDICTIVE_OPTIMIZATION; ClusterId=0526-185352-tsi6ikh1-v2n; ClusterName=job-203778139190629-run-68014754892791-Predictive-Optimization; Creator=a25b9e47-2518-438d-90ee-1cd792b5b46d; JobId=203778139190629.0; Predictive Optimization=True; RunName=Predictive Optimization Job-70603a36-7351-4d40-89b0-c07876053734; Vendor=Databricks</t>
  </si>
  <si>
    <t>{
  "Organization Name": "PT Nawa Darsana Teknologi",
  "Publisher": "Microsoft",
  "Publisher Customer ID": "346fa229-7c19-44ef-85c6-29e00edf66cf",
  "Unit Price": "153.5248",
  "ERP": "1937.2537896426",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</si>
  <si>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ERP=1937.2537896426;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</si>
  <si>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"7676.24",
  "ERP": "1927.8134746728",
  "BenefitType": "Charge",
  "Billing": "Loyalty",
  "BillingOriginProduct": "PREDICTIVE_OPTIMIZATION",
  "Creator": "a25b9e47-2518-438d-90ee-1cd792b5b46d",
  "JobId": "630206508016888.0",
  "Predictive Optimization": "True",
  "Vendor": "Databricks"
}</t>
  </si>
  <si>
    <t>Organization Name=PT Nawa Darsana Teknologi; Publisher=Microsoft; Publisher Customer ID=346fa229-7c19-44ef-85c6-29e00edf66cf; Unit Price=7676.24; ERP=1927.8134746728; BenefitType=Charge; Billing=Loyalty; BillingOriginProduct=PREDICTIVE_OPTIMIZATION; Creator=a25b9e47-2518-438d-90ee-1cd792b5b46d; JobId=630206508016888.0; Predictive Optimization=True; Vendor=Databricks</t>
  </si>
  <si>
    <t>{
  "Organization Name": "PT Nawa Darsana Teknologi",
  "Publisher": "Microsoft",
  "Publisher Customer ID": "346fa229-7c19-44ef-85c6-29e00edf66cf",
  "Unit Price": "7676.2399999998",
  "ERP": "1906.637235503",
  "BenefitType": "Charge",
  "Billing": "Loyalty",
  "BillingOriginProduct": "PREDICTIVE_OPTIMIZATION",
  "Creator": "a25b9e47-2518-438d-90ee-1cd792b5b46d",
  "JobId": "588249423711559.0",
  "Predictive Optimization": "True",
  "Vendor": "Databricks"
}</t>
  </si>
  <si>
    <t>Organization Name=PT Nawa Darsana Teknologi; Publisher=Microsoft; Publisher Customer ID=346fa229-7c19-44ef-85c6-29e00edf66cf; Unit Price=7676.2399999998; ERP=1906.637235503; BenefitType=Charge; Billing=Loyalty; BillingOriginProduct=PREDICTIVE_OPTIMIZATION; Creator=a25b9e47-2518-438d-90ee-1cd792b5b46d; JobId=588249423711559.0; Predictive Optimization=True; Vendor=Databricks</t>
  </si>
  <si>
    <t>{
  "Organization Name": "PT Nawa Darsana Teknologi",
  "Publisher": "Microsoft",
  "Publisher Customer ID": "346fa229-7c19-44ef-85c6-29e00edf66cf",
  "Unit Price": "7676.2399999996",
  "ERP": "980.068181378",
  "BenefitType": "Charge",
  "Billing": "Loyalty",
  "BillingOriginProduct": "PREDICTIVE_OPTIMIZATION",
  "Creator": "a25b9e47-2518-438d-90ee-1cd792b5b46d",
  "JobId": "694840343286019.0",
  "Predictive Optimization": "True",
  "Vendor": "Databricks"
}</t>
  </si>
  <si>
    <t>Organization Name=PT Nawa Darsana Teknologi; Publisher=Microsoft; Publisher Customer ID=346fa229-7c19-44ef-85c6-29e00edf66cf; Unit Price=7676.2399999996; ERP=980.068181378; BenefitType=Charge; Billing=Loyalty; BillingOriginProduct=PREDICTIVE_OPTIMIZATION; Creator=a25b9e47-2518-438d-90ee-1cd792b5b46d; JobId=694840343286019.0; Predictive Optimization=True; Vendor=Databricks</t>
  </si>
  <si>
    <t>{
  "Organization Name": "PT Nawa Darsana Teknologi",
  "Publisher": "Microsoft",
  "Publisher Customer ID": "346fa229-7c19-44ef-85c6-29e00edf66cf",
  "Unit Price": "153.5248",
  "ERP": "34.4404329698",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</si>
  <si>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ERP=34.4404329698;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</si>
  <si>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"1228.1983968376",
  "ERP": "0.0169732134",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</si>
  <si>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Price=1228.1983968376; ERP=0.0169732134;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</si>
  <si>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"1228.1983495108",
  "ERP": "0.0046179562",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</si>
  <si>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Price=1228.1983495108; ERP=0.0046179562;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</si>
  <si>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"7676.2399999994",
  "ERP": "864.7146240018",
  "BenefitType": "Charge",
  "Billing": "Loyalty",
  "BillingOriginProduct": "PREDICTIVE_OPTIMIZATION",
  "Creator": "a25b9e47-2518-438d-90ee-1cd792b5b46d",
  "JobId": "379185402854855.0",
  "Predictive Optimization": "True",
  "Vendor": "Databricks"
}</t>
  </si>
  <si>
    <t>Organization Name=PT Nawa Darsana Teknologi; Publisher=Microsoft; Publisher Customer ID=346fa229-7c19-44ef-85c6-29e00edf66cf; Unit Price=7676.2399999994; ERP=864.7146240018; BenefitType=Charge; Billing=Loyalty; BillingOriginProduct=PREDICTIVE_OPTIMIZATION; Creator=a25b9e47-2518-438d-90ee-1cd792b5b46d; JobId=379185402854855.0; Predictive Optimization=True; Vendor=Databricks</t>
  </si>
  <si>
    <t>{
  "Organization Name": "PT Nawa Darsana Teknologi",
  "Publisher": "Microsoft",
  "Publisher Customer ID": "346fa229-7c19-44ef-85c6-29e00edf66cf",
  "Unit Price": "7676.24",
  "ERP": "2557.6230157478",
  "BenefitType": "Charge",
  "Billing": "Loyalty",
  "BillingOriginProduct": "PREDICTIVE_OPTIMIZATION",
  "Creator": "a25b9e47-2518-438d-90ee-1cd792b5b46d",
  "JobId": "296748725341021.0",
  "Predictive Optimization": "True",
  "Vendor": "Databricks"
}</t>
  </si>
  <si>
    <t>Organization Name=PT Nawa Darsana Teknologi; Publisher=Microsoft; Publisher Customer ID=346fa229-7c19-44ef-85c6-29e00edf66cf; Unit Price=7676.24; ERP=2557.6230157478; BenefitType=Charge; Billing=Loyalty; BillingOriginProduct=PREDICTIVE_OPTIMIZATION; Creator=a25b9e47-2518-438d-90ee-1cd792b5b46d; JobId=296748725341021.0; Predictive Optimization=True; Vendor=Databricks</t>
  </si>
  <si>
    <t>{
  "Organization Name": "PT Nawa Darsana Teknologi",
  "Publisher": "Microsoft",
  "Publisher Customer ID": "346fa229-7c19-44ef-85c6-29e00edf66cf",
  "Unit Price": "7676.2399999985",
  "ERP": "821.9411510024",
  "BenefitType": "Charge",
  "Billing": "Loyalty",
  "BillingOriginProduct": "PREDICTIVE_OPTIMIZATION",
  "Creator": "a25b9e47-2518-438d-90ee-1cd792b5b46d",
  "JobId": "217125118376430.0",
  "Predictive Optimization": "True",
  "Vendor": "Databricks"
}</t>
  </si>
  <si>
    <t>Organization Name=PT Nawa Darsana Teknologi; Publisher=Microsoft; Publisher Customer ID=346fa229-7c19-44ef-85c6-29e00edf66cf; Unit Price=7676.2399999985; ERP=821.9411510024; BenefitType=Charge; Billing=Loyalty; BillingOriginProduct=PREDICTIVE_OPTIMIZATION; Creator=a25b9e47-2518-438d-90ee-1cd792b5b46d; JobId=217125118376430.0; Predictive Optimization=True; Vendor=Databricks</t>
  </si>
  <si>
    <t>{
  "Organization Name": "PT Nawa Darsana Teknologi",
  "Publisher": "Microsoft",
  "Publisher Customer ID": "346fa229-7c19-44ef-85c6-29e00edf66cf",
  "Unit Price": "7676.2399999995",
  "ERP": "2635.8022560012",
  "BenefitType": "Charge",
  "Billing": "Loyalty",
  "BillingOriginProduct": "PREDICTIVE_OPTIMIZATION",
  "Creator": "a25b9e47-2518-438d-90ee-1cd792b5b46d",
  "JobId": "185550734746027.0",
  "Predictive Optimization": "True",
  "Vendor": "Databricks"
}</t>
  </si>
  <si>
    <t>Organization Name=PT Nawa Darsana Teknologi; Publisher=Microsoft; Publisher Customer ID=346fa229-7c19-44ef-85c6-29e00edf66cf; Unit Price=7676.2399999995; ERP=2635.8022560012; BenefitType=Charge; Billing=Loyalty; BillingOriginProduct=PREDICTIVE_OPTIMIZATION; Creator=a25b9e47-2518-438d-90ee-1cd792b5b46d; JobId=185550734746027.0; Predictive Optimization=True; Vendor=Databricks</t>
  </si>
  <si>
    <t>{
  "Organization Name": "PT Nawa Darsana Teknologi",
  "Publisher": "Microsoft",
  "Publisher Customer ID": "346fa229-7c19-44ef-85c6-29e00edf66cf",
  "Unit Price": "1842.2975999795",
  "ERP": "3.1647427812",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</si>
  <si>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Price=1842.2975999795; ERP=3.1647427812;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</si>
  <si>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"1842.2975989368001",
  "ERP": "0.343651308",
  "BenefitType": "Charge",
  "aks-managed-consolidated-additional-properties": "311ee467-57da-11f1-a161-cad1f54d4175",
  "aks-managed-creationSource": "vmssclient-aks-usereph-29326849-vmss",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</si>
  <si>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Price=1842.2975989368001; ERP=0.343651308;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</si>
  <si>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"1842.2975999755",
  "ERP": "24.0931824562",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</si>
  <si>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Price=1842.2975999755; ERP=24.0931824562;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</si>
  <si>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"1842.2975999759",
  "ERP": "29.3824328226",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</si>
  <si>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Price=1842.2975999759; ERP=29.3824328226;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</si>
  <si>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"1842.2975918712",
  "ERP": "0.021528364",
  "BenefitType": "Charge",
  "aks-managed-consolidated-additional-properties": "10b49e4b-4c06-11f1-8bd6-5ec9d1cd8e46",
  "aks-managed-creationSource": "vmssclient-aks-newuserpool-25919024-vmss",
  "aks-managed-enable-imds-restriction": "False",
  "aks-managed-kubeletIdentityClientID": "d31d2c4f-e3b8-4665-b69b-b18c5ed27c30",
  "aks-managed-operationID": "83e7f825-8218-4a0f-ba20-b087a41e559b",
  "aks-managed-orchestrator": "Kubernetes:1.33.10",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</si>
  <si>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Price=1842.2975918712; ERP=0.021528364;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</t>
  </si>
  <si>
    <t>loyalty_RST_2026_05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</si>
  <si>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"10b49e4b-4c06-11f1-8bd6-5ec9d1cd8e46",
  "aks-managed-creationSource": "vmssclient-aks-newuserpool-25919024-vmss",
  "aks-managed-enable-imds-restriction": "False",
  "aks-managed-kubeletIdentityClientID": "d31d2c4f-e3b8-4665-b69b-b18c5ed27c30",
  "aks-managed-operationID": "83e7f825-8218-4a0f-ba20-b087a41e559b",
  "aks-managed-orchestrator": "Kubernetes:1.33.10",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</si>
  <si>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</t>
  </si>
  <si>
    <t>asp-rgloyaltyprod-bc49</t>
  </si>
  <si>
    <t>{
  "Organization Name": "PT Nawa Darsana Teknologi",
  "Publisher": "Microsoft",
  "Publisher Customer ID": "346fa229-7c19-44ef-85c6-29e00edf66cf",
  "Unit Price": "222.61096",
  "ERP": "63.469673267",
  "BenefitType": "Charge",
  "Environment": "Production",
  "Name": "Curl-api-report"
}</t>
  </si>
  <si>
    <t>Organization Name=PT Nawa Darsana Teknologi; Publisher=Microsoft; Publisher Customer ID=346fa229-7c19-44ef-85c6-29e00edf66cf; Unit Price=222.61096; ERP=63.469673267; BenefitType=Charge; Environment=Production; Name=Curl-api-report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</si>
  <si>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"311cf8b6-57da-11f1-a161-cad1f54d4175",
  "aks-managed-creationSource": "vmssclient-aks-udbziumeph-39962470-vmss",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</si>
  <si>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</si>
  <si>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"19870c8d-3b89-11f1-a232-aa2dec2b26a1",
  "aks-managed-creationSource": "vmssclient-aks-systemeph-33281046-vmss",
  "aks-managed-enable-imds-restriction": "False",
  "aks-managed-kubeletIdentityClientID": "b2aa22d3-2063-4e90-a9df-47ffb8a7aae1",
  "aks-managed-operationID": "9e84d395-fd42-4464-9926-826e4ae94f75",
  "aks-managed-orchestrator": "Kubernetes:1.33.8",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</si>
  <si>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aks-managed-consolidated-additional-properties=19870c8d-3b89-11f1-a232-aa2dec2b26a1; aks-managed-creationSource=vmssclient-aks-systemeph-33281046-vmss; aks-managed-enable-imds-restriction=False; aks-managed-kubeletIdentityClientID=b2aa22d3-2063-4e90-a9df-47ffb8a7aae1; aks-managed-operationID=9e84d395-fd42-4464-9926-826e4ae94f75; aks-managed-orchestrator=Kubernetes:1.33.8; aks-managed-poolName=systemeph;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</si>
  <si>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"153.5247999543",
  "ERP": "3.308136689",
  "BenefitType": "Charge",
  "aks-managed-consolidated-additional-properties": "15045eb0-3b89-11f1-a6a3-86db6cef6fbe",
  "aks-managed-creationSource": "vmssclient-aks-systemeph-24765003-vmss",
  "aks-managed-enable-imds-restriction": "False",
  "aks-managed-kubeletIdentityClientID": "f876420b-ca69-40d9-b52b-83d95239c056",
  "aks-managed-operationID": "38fa9548-8e62-44fd-b77d-ad28dae20f6a",
  "aks-managed-orchestrator": "Kubernetes:1.33.8",
  "aks-managed-poolName": "systemeph",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</si>
  <si>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Price=153.5247999543; ERP=3.308136689; BenefitType=Charge; aks-managed-consolidated-additional-properties=15045eb0-3b89-11f1-a6a3-86db6cef6fbe; aks-managed-creationSource=vmssclient-aks-systemeph-24765003-vmss; aks-managed-enable-imds-restriction=False; aks-managed-kubeletIdentityClientID=f876420b-ca69-40d9-b52b-83d95239c056; aks-managed-operationID=38fa9548-8e62-44fd-b77d-ad28dae20f6a; aks-managed-orchestrator=Kubernetes:1.33.8; aks-managed-poolName=systemeph;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</si>
  <si>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"153.5247999763",
  "ERP": "3.3993757798",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</si>
  <si>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Price=153.5247999763; ERP=3.3993757798;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</si>
  <si>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"7676.2399999989",
  "ERP": "486.6489002518",
  "BenefitType": "Charge",
  "Billing": "Loyalty",
  "BillingOriginProduct": "PREDICTIVE_OPTIMIZATION",
  "ClusterId": "0524-215120-ahxgh6nz-v2n",
  "ClusterName": "job-255608475467687-run-558392318718092-Predictive-Optimization",
  "Creator": "a25b9e47-2518-438d-90ee-1cd792b5b46d",
  "JobId": "255608475467687.0",
  "Predictive Optimization": "True",
  "RunName": "Predictive Optimization Job-f398cf70-b5e9-425f-bd3e-9a584a9393bc",
  "Vendor": "Databricks"
}</t>
  </si>
  <si>
    <t>Organization Name=PT Nawa Darsana Teknologi; Publisher=Microsoft; Publisher Customer ID=346fa229-7c19-44ef-85c6-29e00edf66cf; Unit Price=7676.2399999989; ERP=486.6489002518; BenefitType=Charge; Billing=Loyalty; BillingOriginProduct=PREDICTIVE_OPTIMIZATION; ClusterId=0524-215120-ahxgh6nz-v2n; ClusterName=job-255608475467687-run-558392318718092-Predictive-Optimization; Creator=a25b9e47-2518-438d-90ee-1cd792b5b46d; JobId=255608475467687.0; Predictive Optimization=True; RunName=Predictive Optimization Job-f398cf70-b5e9-425f-bd3e-9a584a9393bc; Vendor=Databricks</t>
  </si>
  <si>
    <t>{
  "Organization Name": "PT Nawa Darsana Teknologi",
  "Publisher": "Microsoft",
  "Publisher Customer ID": "346fa229-7c19-44ef-85c6-29e00edf66cf",
  "Unit Price": "7676.2399999968",
  "ERP": "493.6454720054",
  "BenefitType": "Charge",
  "Billing": "Loyalty",
  "BillingOriginProduct": "PREDICTIVE_OPTIMIZATION",
  "ClusterId": "0524-184931-g8hcm7g5-v2n",
  "ClusterName": "job-885138598142531-run-183374124254221-Predictive-Optimization",
  "Creator": "a25b9e47-2518-438d-90ee-1cd792b5b46d",
  "JobId": "885138598142531.0",
  "Predictive Optimization": "True",
  "RunName": "Predictive Optimization Job-865ddf18-5451-4059-b7fd-5b830d661268",
  "Vendor": "Databricks"
}</t>
  </si>
  <si>
    <t>Organization Name=PT Nawa Darsana Teknologi; Publisher=Microsoft; Publisher Customer ID=346fa229-7c19-44ef-85c6-29e00edf66cf; Unit Price=7676.2399999968; ERP=493.6454720054; BenefitType=Charge; Billing=Loyalty; BillingOriginProduct=PREDICTIVE_OPTIMIZATION; ClusterId=0524-184931-g8hcm7g5-v2n; ClusterName=job-885138598142531-run-183374124254221-Predictive-Optimization; Creator=a25b9e47-2518-438d-90ee-1cd792b5b46d; JobId=885138598142531.0; Predictive Optimization=True; RunName=Predictive Optimization Job-865ddf18-5451-4059-b7fd-5b830d661268; Vendor=Databricks</t>
  </si>
  <si>
    <t>{
  "Organization Name": "PT Nawa Darsana Teknologi",
  "Publisher": "Microsoft",
  "Publisher Customer ID": "346fa229-7c19-44ef-85c6-29e00edf66cf",
  "Unit Price": "7676.24",
  "ERP": "895.00727745",
  "BenefitType": "Charge",
  "Billing": "Loyalty",
  "BillingOriginProduct": "PREDICTIVE_OPTIMIZATION",
  "ClusterId": "0509-135330-5dvft8e4-v2n",
  "ClusterName": "job-609332099796807-run-176901246366591-Predictive-Optimization",
  "Creator": "a25b9e47-2518-438d-90ee-1cd792b5b46d",
  "JobId": "609332099796807.0",
  "Predictive Optimization": "True",
  "RunName": "Predictive Optimization Job-68f13c86-164c-47a3-86ff-482b95ee9fb0",
  "Vendor": "Databricks"
}</t>
  </si>
  <si>
    <t>Organization Name=PT Nawa Darsana Teknologi; Publisher=Microsoft; Publisher Customer ID=346fa229-7c19-44ef-85c6-29e00edf66cf; Unit Price=7676.24; ERP=895.00727745; BenefitType=Charge; Billing=Loyalty; BillingOriginProduct=PREDICTIVE_OPTIMIZATION; ClusterId=0509-135330-5dvft8e4-v2n; ClusterName=job-609332099796807-run-176901246366591-Predictive-Optimization; Creator=a25b9e47-2518-438d-90ee-1cd792b5b46d; JobId=609332099796807.0; Predictive Optimization=True; RunName=Predictive Optimization Job-68f13c86-164c-47a3-86ff-482b95ee9fb0; Vendor=Databricks</t>
  </si>
  <si>
    <t>{
  "Organization Name": "PT Nawa Darsana Teknologi",
  "Publisher": "Microsoft",
  "Publisher Customer ID": "346fa229-7c19-44ef-85c6-29e00edf66cf",
  "Unit Price": "7676.24",
  "ERP": "505.339745625",
  "BenefitType": "Charge",
  "Billing": "Loyalty",
  "BillingOriginProduct": "PREDICTIVE_OPTIMIZATION",
  "ClusterId": "0507-193119-ph9fpwgy-v2n",
  "ClusterName": "job-176275866601631-run-78645982055277-Predictive-Optimization",
  "Creator": "a25b9e47-2518-438d-90ee-1cd792b5b46d",
  "JobId": "176275866601631.0",
  "Predictive Optimization": "True",
  "RunName": "Predictive Optimization Job-8d17d7dd-24fe-44a4-923f-beee726f2ad2",
  "Vendor": "Databricks"
}</t>
  </si>
  <si>
    <t>Organization Name=PT Nawa Darsana Teknologi; Publisher=Microsoft; Publisher Customer ID=346fa229-7c19-44ef-85c6-29e00edf66cf; Unit Price=7676.24; ERP=505.339745625; BenefitType=Charge; Billing=Loyalty; BillingOriginProduct=PREDICTIVE_OPTIMIZATION; ClusterId=0507-193119-ph9fpwgy-v2n; ClusterName=job-176275866601631-run-78645982055277-Predictive-Optimization; Creator=a25b9e47-2518-438d-90ee-1cd792b5b46d; JobId=176275866601631.0; Predictive Optimization=True; RunName=Predictive Optimization Job-8d17d7dd-24fe-44a4-923f-beee726f2ad2; Vendor=Databricks</t>
  </si>
  <si>
    <t>{
  "Organization Name": "PT Nawa Darsana Teknologi",
  "Publisher": "Microsoft",
  "Publisher Customer ID": "346fa229-7c19-44ef-85c6-29e00edf66cf",
  "Unit Price": "7676.24",
  "ERP": "1638.8396543376",
  "BenefitType": "Charge",
  "Billing": "Loyalty",
  "BillingOriginProduct": "PREDICTIVE_OPTIMIZATION",
  "Creator": "a25b9e47-2518-438d-90ee-1cd792b5b46d",
  "JobId": "1030500060096279.0",
  "Predictive Optimization": "True",
  "Vendor": "Databricks"
}</t>
  </si>
  <si>
    <t>Organization Name=PT Nawa Darsana Teknologi; Publisher=Microsoft; Publisher Customer ID=346fa229-7c19-44ef-85c6-29e00edf66cf; Unit Price=7676.24; ERP=1638.8396543376; BenefitType=Charge; Billing=Loyalty; BillingOriginProduct=PREDICTIVE_OPTIMIZATION; Creator=a25b9e47-2518-438d-90ee-1cd792b5b46d; JobId=1030500060096279.0; Predictive Optimization=True; Vendor=Databricks</t>
  </si>
  <si>
    <t>{
  "Organization Name": "PT Nawa Darsana Teknologi",
  "Publisher": "Microsoft",
  "Publisher Customer ID": "346fa229-7c19-44ef-85c6-29e00edf66cf",
  "Unit Price": "7676.2399999994",
  "ERP": "837.7737152642",
  "BenefitType": "Charge",
  "Billing": "Loyalty",
  "BillingOriginProduct": "PREDICTIVE_OPTIMIZATION",
  "Creator": "a25b9e47-2518-438d-90ee-1cd792b5b46d",
  "JobId": "107765286918661.0",
  "Predictive Optimization": "True",
  "Vendor": "Databricks"
}</t>
  </si>
  <si>
    <t>Organization Name=PT Nawa Darsana Teknologi; Publisher=Microsoft; Publisher Customer ID=346fa229-7c19-44ef-85c6-29e00edf66cf; Unit Price=7676.2399999994; ERP=837.7737152642; BenefitType=Charge; Billing=Loyalty; BillingOriginProduct=PREDICTIVE_OPTIMIZATION; Creator=a25b9e47-2518-438d-90ee-1cd792b5b46d; JobId=107765286918661.0; Predictive Optimization=True; Vendor=Databricks</t>
  </si>
  <si>
    <t>{
  "Organization Name": "PT Nawa Darsana Teknologi",
  "Publisher": "Microsoft",
  "Publisher Customer ID": "346fa229-7c19-44ef-85c6-29e00edf66cf",
  "Unit Price": "7676.2399999996",
  "ERP": "2023.0035087548",
  "BenefitType": "Charge",
  "Billing": "Loyalty",
  "BillingOriginProduct": "PREDICTIVE_OPTIMIZATION",
  "Creator": "a25b9e47-2518-438d-90ee-1cd792b5b46d",
  "JobId": "349534383663587.0",
  "Predictive Optimization": "True",
  "Vendor": "Databricks"
}</t>
  </si>
  <si>
    <t>Organization Name=PT Nawa Darsana Teknologi; Publisher=Microsoft; Publisher Customer ID=346fa229-7c19-44ef-85c6-29e00edf66cf; Unit Price=7676.2399999996; ERP=2023.0035087548; BenefitType=Charge; Billing=Loyalty; BillingOriginProduct=PREDICTIVE_OPTIMIZATION; Creator=a25b9e47-2518-438d-90ee-1cd792b5b46d; JobId=349534383663587.0; Predictive Optimization=True; Vendor=Databricks</t>
  </si>
  <si>
    <t>{
  "Organization Name": "PT Nawa Darsana Teknologi",
  "Publisher": "Microsoft",
  "Publisher Customer ID": "346fa229-7c19-44ef-85c6-29e00edf66cf",
  "Unit Price": "7676.2399999993",
  "ERP": "950.8143901256",
  "BenefitType": "Charge",
  "Billing": "Loyalty",
  "BillingOriginProduct": "PREDICTIVE_OPTIMIZATION",
  "Creator": "a25b9e47-2518-438d-90ee-1cd792b5b46d",
  "JobId": "484399683705235.0",
  "Predictive Optimization": "True",
  "Vendor": "Databricks"
}</t>
  </si>
  <si>
    <t>Organization Name=PT Nawa Darsana Teknologi; Publisher=Microsoft; Publisher Customer ID=346fa229-7c19-44ef-85c6-29e00edf66cf; Unit Price=7676.2399999993; ERP=950.8143901256; BenefitType=Charge; Billing=Loyalty; BillingOriginProduct=PREDICTIVE_OPTIMIZATION; Creator=a25b9e47-2518-438d-90ee-1cd792b5b46d; JobId=484399683705235.0; Predictive Optimization=True; Vendor=Databricks</t>
  </si>
  <si>
    <t>{
  "Organization Name": "PT Nawa Darsana Teknologi",
  "Publisher": "Microsoft",
  "Publisher Customer ID": "346fa229-7c19-44ef-85c6-29e00edf66cf",
  "Unit Price": "7676.2399999994",
  "ERP": "1986.1945091274",
  "BenefitType": "Charge",
  "Billing": "Loyalty",
  "BillingOriginProduct": "PREDICTIVE_OPTIMIZATION",
  "Creator": "a25b9e47-2518-438d-90ee-1cd792b5b46d",
  "JobId": "538745395229081.0",
  "Predictive Optimization": "True",
  "Vendor": "Databricks"
}</t>
  </si>
  <si>
    <t>Organization Name=PT Nawa Darsana Teknologi; Publisher=Microsoft; Publisher Customer ID=346fa229-7c19-44ef-85c6-29e00edf66cf; Unit Price=7676.2399999994; ERP=1986.1945091274; BenefitType=Charge; Billing=Loyalty; BillingOriginProduct=PREDICTIVE_OPTIMIZATION; Creator=a25b9e47-2518-438d-90ee-1cd792b5b46d; JobId=538745395229081.0; Predictive Optimization=True; Vendor=Databricks</t>
  </si>
  <si>
    <t>{
  "Organization Name": "PT Nawa Darsana Teknologi",
  "Publisher": "Microsoft",
  "Publisher Customer ID": "346fa229-7c19-44ef-85c6-29e00edf66cf",
  "Unit Price": "7676.2399999998",
  "ERP": "2129.9594305418",
  "BenefitType": "Charge",
  "Billing": "Loyalty",
  "BillingOriginProduct": "PREDICTIVE_OPTIMIZATION",
  "Creator": "a25b9e47-2518-438d-90ee-1cd792b5b46d",
  "JobId": "565492126279021.0",
  "Predictive Optimization": "True",
  "Vendor": "Databricks"
}</t>
  </si>
  <si>
    <t>Organization Name=PT Nawa Darsana Teknologi; Publisher=Microsoft; Publisher Customer ID=346fa229-7c19-44ef-85c6-29e00edf66cf; Unit Price=7676.2399999998; ERP=2129.9594305418; BenefitType=Charge; Billing=Loyalty; BillingOriginProduct=PREDICTIVE_OPTIMIZATION; Creator=a25b9e47-2518-438d-90ee-1cd792b5b46d; JobId=565492126279021.0; Predictive Optimization=True; Vendor=Databricks</t>
  </si>
  <si>
    <t>{
  "Organization Name": "PT Nawa Darsana Teknologi",
  "Publisher": "Microsoft",
  "Publisher Customer ID": "346fa229-7c19-44ef-85c6-29e00edf66cf",
  "Unit Price": "7676.2399999997",
  "ERP": "1795.004014947",
  "BenefitType": "Charge",
  "Billing": "Loyalty",
  "BillingOriginProduct": "PREDICTIVE_OPTIMIZATION",
  "Creator": "a25b9e47-2518-438d-90ee-1cd792b5b46d",
  "JobId": "589901762354495.0",
  "Predictive Optimization": "True",
  "Vendor": "Databricks"
}</t>
  </si>
  <si>
    <t>Organization Name=PT Nawa Darsana Teknologi; Publisher=Microsoft; Publisher Customer ID=346fa229-7c19-44ef-85c6-29e00edf66cf; Unit Price=7676.2399999997; ERP=1795.004014947; BenefitType=Charge; Billing=Loyalty; BillingOriginProduct=PREDICTIVE_OPTIMIZATION; Creator=a25b9e47-2518-438d-90ee-1cd792b5b46d; JobId=589901762354495.0; Predictive Optimization=True; Vendor=Databricks</t>
  </si>
  <si>
    <t>{
  "Organization Name": "PT Nawa Darsana Teknologi",
  "Publisher": "Microsoft",
  "Publisher Customer ID": "346fa229-7c19-44ef-85c6-29e00edf66cf",
  "Unit Price": "7676.24",
  "ERP": "571.890129525",
  "BenefitType": "Charge",
  "Billing": "Loyalty",
  "BillingOriginProduct": "PREDICTIVE_OPTIMIZATION",
  "ClusterId": "0503-210632-pvm95ujj-v2n",
  "ClusterName": "job-799086360095856-run-1084015308511422-Predictive-Optimizatio",
  "Creator": "a25b9e47-2518-438d-90ee-1cd792b5b46d",
  "JobId": "799086360095856.0",
  "Predictive Optimization": "True",
  "RunName": "Predictive Optimization Job-623485be-6ba4-4873-acc0-f215e62f7398",
  "Vendor": "Databricks"
}</t>
  </si>
  <si>
    <t>Organization Name=PT Nawa Darsana Teknologi; Publisher=Microsoft; Publisher Customer ID=346fa229-7c19-44ef-85c6-29e00edf66cf; Unit Price=7676.24; ERP=571.890129525; BenefitType=Charge; Billing=Loyalty; BillingOriginProduct=PREDICTIVE_OPTIMIZATION; ClusterId=0503-210632-pvm95ujj-v2n; ClusterName=job-799086360095856-run-1084015308511422-Predictive-Optimizatio; Creator=a25b9e47-2518-438d-90ee-1cd792b5b46d; JobId=799086360095856.0; Predictive Optimization=True; RunName=Predictive Optimization Job-623485be-6ba4-4873-acc0-f215e62f7398; Vendor=Databricks</t>
  </si>
  <si>
    <t>{
  "Organization Name": "PT Nawa Darsana Teknologi",
  "Publisher": "Microsoft",
  "Publisher Customer ID": "346fa229-7c19-44ef-85c6-29e00edf66cf",
  "Unit Price": "7676.24",
  "ERP": "468.794737125",
  "BenefitType": "Charge",
  "Billing": "Loyalty",
  "BillingOriginProduct": "PREDICTIVE_OPTIMIZATION",
  "ClusterId": "0501-220228-wnfq1zx4-v2n",
  "ClusterName": "job-596778738350987-run-794547388817783-Predictive-Optimization",
  "Creator": "a25b9e47-2518-438d-90ee-1cd792b5b46d",
  "JobId": "596778738350987.0",
  "Predictive Optimization": "True",
  "RunName": "Predictive Optimization Job-c6e0e4ea-39da-4b6b-a72f-2a9baf2a1355",
  "Vendor": "Databricks"
}</t>
  </si>
  <si>
    <t>Organization Name=PT Nawa Darsana Teknologi; Publisher=Microsoft; Publisher Customer ID=346fa229-7c19-44ef-85c6-29e00edf66cf; Unit Price=7676.24; ERP=468.794737125; BenefitType=Charge; Billing=Loyalty; BillingOriginProduct=PREDICTIVE_OPTIMIZATION; ClusterId=0501-220228-wnfq1zx4-v2n; ClusterName=job-596778738350987-run-794547388817783-Predictive-Optimization; Creator=a25b9e47-2518-438d-90ee-1cd792b5b46d; JobId=596778738350987.0; Predictive Optimization=True; RunName=Predictive Optimization Job-c6e0e4ea-39da-4b6b-a72f-2a9baf2a1355; Vendor=Databricks</t>
  </si>
  <si>
    <t>{
  "Organization Name": "PT Nawa Darsana Teknologi",
  "Publisher": "Microsoft",
  "Publisher Customer ID": "346fa229-7c19-44ef-85c6-29e00edf66cf",
  "Unit Price": "7676.2399999998",
  "ERP": "4454.1319428034",
  "BenefitType": "Charge",
  "Billing": "Loyalty",
  "BillingOriginProduct": "PREDICTIVE_OPTIMIZATION",
  "Creator": "a25b9e47-2518-438d-90ee-1cd792b5b46d",
  "JobId": "419569603264634.0",
  "Predictive Optimization": "True",
  "Vendor": "Databricks"
}</t>
  </si>
  <si>
    <t>Organization Name=PT Nawa Darsana Teknologi; Publisher=Microsoft; Publisher Customer ID=346fa229-7c19-44ef-85c6-29e00edf66cf; Unit Price=7676.2399999998; ERP=4454.1319428034; BenefitType=Charge; Billing=Loyalty; BillingOriginProduct=PREDICTIVE_OPTIMIZATION; Creator=a25b9e47-2518-438d-90ee-1cd792b5b46d; JobId=419569603264634.0; Predictive Optimization=True; Vendor=Databricks</t>
  </si>
  <si>
    <t>{
  "Organization Name": "PT Nawa Darsana Teknologi",
  "Publisher": "Microsoft",
  "Publisher Customer ID": "346fa229-7c19-44ef-85c6-29e00edf66cf",
  "Unit Price": "7676.24",
  "ERP": "2261.0147490502",
  "BenefitType": "Charge",
  "Billing": "Loyalty",
  "BillingOriginProduct": "PREDICTIVE_OPTIMIZATION",
  "Creator": "a25b9e47-2518-438d-90ee-1cd792b5b46d",
  "JobId": "383266173904234.0",
  "Predictive Optimization": "True",
  "Vendor": "Databricks"
}</t>
  </si>
  <si>
    <t>Organization Name=PT Nawa Darsana Teknologi; Publisher=Microsoft; Publisher Customer ID=346fa229-7c19-44ef-85c6-29e00edf66cf; Unit Price=7676.24; ERP=2261.0147490502; BenefitType=Charge; Billing=Loyalty; BillingOriginProduct=PREDICTIVE_OPTIMIZATION; Creator=a25b9e47-2518-438d-90ee-1cd792b5b46d; JobId=383266173904234.0; Predictive Optimization=True; Vendor=Databricks</t>
  </si>
  <si>
    <t>{
  "Organization Name": "PT Nawa Darsana Teknologi",
  "Publisher": "Microsoft",
  "Publisher Customer ID": "346fa229-7c19-44ef-85c6-29e00edf66cf",
  "Unit Price": "7676.2399999989",
  "ERP": "921.988537041",
  "BenefitType": "Charge",
  "Billing": "Loyalty",
  "BillingOriginProduct": "PREDICTIVE_OPTIMIZATION",
  "Creator": "a25b9e47-2518-438d-90ee-1cd792b5b46d",
  "JobId": "469709686903955.0",
  "Predictive Optimization": "True",
  "Vendor": "Databricks"
}</t>
  </si>
  <si>
    <t>Organization Name=PT Nawa Darsana Teknologi; Publisher=Microsoft; Publisher Customer ID=346fa229-7c19-44ef-85c6-29e00edf66cf; Unit Price=7676.2399999989; ERP=921.988537041; BenefitType=Charge; Billing=Loyalty; BillingOriginProduct=PREDICTIVE_OPTIMIZATION; Creator=a25b9e47-2518-438d-90ee-1cd792b5b46d; JobId=469709686903955.0; Predictive Optimization=True; Vendor=Databricks</t>
  </si>
  <si>
    <t>{
  "Organization Name": "PT Nawa Darsana Teknologi",
  "Publisher": "Microsoft",
  "Publisher Customer ID": "346fa229-7c19-44ef-85c6-29e00edf66cf",
  "Unit Price": "7676.2399999993",
  "ERP": "2124.2310172512",
  "BenefitType": "Charge",
  "Billing": "Loyalty",
  "BillingOriginProduct": "PREDICTIVE_OPTIMIZATION",
  "Creator": "a25b9e47-2518-438d-90ee-1cd792b5b46d",
  "JobId": "484789517833266.0",
  "Predictive Optimization": "True",
  "Vendor": "Databricks"
}</t>
  </si>
  <si>
    <t>Organization Name=PT Nawa Darsana Teknologi; Publisher=Microsoft; Publisher Customer ID=346fa229-7c19-44ef-85c6-29e00edf66cf; Unit Price=7676.2399999993; ERP=2124.2310172512; BenefitType=Charge; Billing=Loyalty; BillingOriginProduct=PREDICTIVE_OPTIMIZATION; Creator=a25b9e47-2518-438d-90ee-1cd792b5b46d; JobId=484789517833266.0; Predictive Optimization=True; Vendor=Databricks</t>
  </si>
  <si>
    <t>{
  "Organization Name": "PT Nawa Darsana Teknologi",
  "Publisher": "Microsoft",
  "Publisher Customer ID": "346fa229-7c19-44ef-85c6-29e00edf66cf",
  "Unit Price": "7676.2399999994",
  "ERP": "878.953285067",
  "BenefitType": "Charge",
  "Billing": "Loyalty",
  "BillingOriginProduct": "PREDICTIVE_OPTIMIZATION",
  "Creator": "a25b9e47-2518-438d-90ee-1cd792b5b46d",
  "JobId": "259807318084701.0",
  "Predictive Optimization": "True",
  "Vendor": "Databricks"
}</t>
  </si>
  <si>
    <t>Organization Name=PT Nawa Darsana Teknologi; Publisher=Microsoft; Publisher Customer ID=346fa229-7c19-44ef-85c6-29e00edf66cf; Unit Price=7676.2399999994; ERP=878.953285067; BenefitType=Charge; Billing=Loyalty; BillingOriginProduct=PREDICTIVE_OPTIMIZATION; Creator=a25b9e47-2518-438d-90ee-1cd792b5b46d; JobId=259807318084701.0; Predictive Optimization=True; Vendor=Databricks</t>
  </si>
  <si>
    <t>{
  "Organization Name": "PT Nawa Darsana Teknologi",
  "Publisher": "Microsoft",
  "Publisher Customer ID": "346fa229-7c19-44ef-85c6-29e00edf66cf",
  "Unit Price": "7676.2399999995",
  "ERP": "2320.0340611162",
  "BenefitType": "Charge",
  "Billing": "Loyalty",
  "BillingOriginProduct": "PREDICTIVE_OPTIMIZATION",
  "Creator": "a25b9e47-2518-438d-90ee-1cd792b5b46d",
  "JobId": "237695071456746.0",
  "Predictive Optimization": "True",
  "Vendor": "Databricks"
}</t>
  </si>
  <si>
    <t>Organization Name=PT Nawa Darsana Teknologi; Publisher=Microsoft; Publisher Customer ID=346fa229-7c19-44ef-85c6-29e00edf66cf; Unit Price=7676.2399999995; ERP=2320.0340611162; BenefitType=Charge; Billing=Loyalty; BillingOriginProduct=PREDICTIVE_OPTIMIZATION; Creator=a25b9e47-2518-438d-90ee-1cd792b5b46d; JobId=237695071456746.0; Predictive Optimization=True; Vendor=Databricks</t>
  </si>
  <si>
    <t>{
  "Organization Name": "PT Nawa Darsana Teknologi",
  "Publisher": "Microsoft",
  "Publisher Customer ID": "346fa229-7c19-44ef-85c6-29e00edf66cf",
  "Unit Price": "7676.24",
  "ERP": "1941.230420415",
  "BenefitType": "Charge",
  "Billing": "Loyalty",
  "BillingOriginProduct": "PREDICTIVE_OPTIMIZATION",
  "Creator": "a25b9e47-2518-438d-90ee-1cd792b5b46d",
  "JobId": "921772859891158.0",
  "Predictive Optimization": "True",
  "Vendor": "Databricks"
}</t>
  </si>
  <si>
    <t>Organization Name=PT Nawa Darsana Teknologi; Publisher=Microsoft; Publisher Customer ID=346fa229-7c19-44ef-85c6-29e00edf66cf; Unit Price=7676.24; ERP=1941.230420415; BenefitType=Charge; Billing=Loyalty; BillingOriginProduct=PREDICTIVE_OPTIMIZATION; Creator=a25b9e47-2518-438d-90ee-1cd792b5b46d; JobId=921772859891158.0; Predictive Optimization=True; Vendor=Databricks</t>
  </si>
  <si>
    <t>{
  "Organization Name": "PT Nawa Darsana Teknologi",
  "Publisher": "Microsoft",
  "Publisher Customer ID": "346fa229-7c19-44ef-85c6-29e00edf66cf",
  "Unit Price": "7676.2399999995",
  "ERP": "2216.2012594436",
  "BenefitType": "Charge",
  "Billing": "Loyalty",
  "BillingOriginProduct": "PREDICTIVE_OPTIMIZATION",
  "Creator": "a25b9e47-2518-438d-90ee-1cd792b5b46d",
  "JobId": "891356624583584.0",
  "Predictive Optimization": "True",
  "Vendor": "Databricks"
}</t>
  </si>
  <si>
    <t>Organization Name=PT Nawa Darsana Teknologi; Publisher=Microsoft; Publisher Customer ID=346fa229-7c19-44ef-85c6-29e00edf66cf; Unit Price=7676.2399999995; ERP=2216.2012594436; BenefitType=Charge; Billing=Loyalty; BillingOriginProduct=PREDICTIVE_OPTIMIZATION; Creator=a25b9e47-2518-438d-90ee-1cd792b5b46d; JobId=891356624583584.0; Predictive Optimization=True; Vendor=Databricks</t>
  </si>
  <si>
    <t>lilac-to-salacca</t>
  </si>
  <si>
    <t>{
  "Organization Name": "PT Nawa Darsana Teknologi",
  "Publisher": "Microsoft",
  "Publisher Customer ID": "346fa229-7c19-44ef-85c6-29e00edf66cf",
  "Unit Price": "153.5245551883",
  "ERP": "0.0001064206",
  "BenefitType": "Charge"
}</t>
  </si>
  <si>
    <t>Organization Name=PT Nawa Darsana Teknologi; Publisher=Microsoft; Publisher Customer ID=346fa229-7c19-44ef-85c6-29e00edf66cf; Unit Price=153.5245551883; ERP=0.0001064206; BenefitType=Charge</t>
  </si>
  <si>
    <t>vpn-sa-private-endpoint</t>
  </si>
  <si>
    <t>{
  "Organization Name": "PT Nawa Darsana Teknologi",
  "Publisher": "Microsoft",
  "Publisher Customer ID": "346fa229-7c19-44ef-85c6-29e00edf66cf",
  "Unit Price": "153.5247999184",
  "ERP": "0.8859043908",
  "BenefitType": "Charge",
  "Billing": "Loyalty"
}</t>
  </si>
  <si>
    <t>Organization Name=PT Nawa Darsana Teknologi; Publisher=Microsoft; Publisher Customer ID=346fa229-7c19-44ef-85c6-29e00edf66cf; Unit Price=153.5247999184; ERP=0.8859043908; BenefitType=Charge; Billing=Loyalty</t>
  </si>
  <si>
    <t>loyalty-to-salacca</t>
  </si>
  <si>
    <t>{
  "Organization Name": "PT Nawa Darsana Teknologi",
  "Publisher": "Microsoft",
  "Publisher Customer ID": "346fa229-7c19-44ef-85c6-29e00edf66cf",
  "Unit Price": "153.5247999968",
  "ERP": "90.120243928",
  "BenefitType": "Charge"
}</t>
  </si>
  <si>
    <t>Organization Name=PT Nawa Darsana Teknologi; Publisher=Microsoft; Publisher Customer ID=346fa229-7c19-44ef-85c6-29e00edf66cf; Unit Price=153.5247999968; ERP=90.120243928; BenefitType=Charge</t>
  </si>
  <si>
    <t>lunatrade-access-to-vpn</t>
  </si>
  <si>
    <t>{
  "Organization Name": "PT Nawa Darsana Teknologi",
  "Publisher": "Microsoft",
  "Publisher Customer ID": "346fa229-7c19-44ef-85c6-29e00edf66cf",
  "Unit Price": "153.5247999786",
  "ERP": "3.4054312864",
  "BenefitType": "Charge",
  "Environment": "Loyalty"
}</t>
  </si>
  <si>
    <t>Organization Name=PT Nawa Darsana Teknologi; Publisher=Microsoft; Publisher Customer ID=346fa229-7c19-44ef-85c6-29e00edf66cf; Unit Price=153.5247999786; ERP=3.4054312864; BenefitType=Charge; Environment=Loyalty</t>
  </si>
  <si>
    <t>{
  "Organization Name": "PT Nawa Darsana Teknologi",
  "Publisher": "Microsoft",
  "Publisher Customer ID": "346fa229-7c19-44ef-85c6-29e00edf66cf",
  "Unit Price": "1228.1983987772",
  "ERP": "1.2302413266",
  "BenefitType": "Charge",
  "aks-managed-consolidated-additional-properties": "2a985bfc-3b84-11f1-95e3-2e4ba821b3e8",
  "aks-managed-creationSource": "vmssclient-aks-newuserpool-25919024-vmss",
  "aks-managed-enable-imds-restriction": "False",
  "aks-managed-kubeletIdentityClientID": "d31d2c4f-e3b8-4665-b69b-b18c5ed27c30",
  "aks-managed-operationID": "fc4a52d4-889b-4642-9d1f-4755ccdf8ad9",
  "aks-managed-orchestrator": "Kubernetes:1.33.8",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</si>
  <si>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Price=1228.1983987772; ERP=1.2302413266;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</si>
  <si>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"1228.1983989704",
  "ERP": "1.1656178534",
  "BenefitType": "Charge",
  "aks-managed-consolidated-additional-properties": "2a985bfc-3b84-11f1-95e3-2e4ba821b3e8",
  "aks-managed-creationSource": "vmssclient-aks-newuserpool-25919024-vmss",
  "aks-managed-enable-imds-restriction": "False",
  "aks-managed-kubeletIdentityClientID": "d31d2c4f-e3b8-4665-b69b-b18c5ed27c30",
  "aks-managed-operationID": "fc4a52d4-889b-4642-9d1f-4755ccdf8ad9",
  "aks-managed-orchestrator": "Kubernetes:1.33.8",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</si>
  <si>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Price=1228.1983989704; ERP=1.1656178534;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</si>
  <si>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"1673.42032",
  "ERP": "8.8852512892",
  "BenefitType": "Charge",
  "env": "Development-Loyalty"
}</t>
  </si>
  <si>
    <t>Organization Name=PT Nawa Darsana Teknologi; Publisher=Microsoft; Publisher Customer ID=346fa229-7c19-44ef-85c6-29e00edf66cf; Unit Price=1673.42032; ERP=8.8852512892; BenefitType=Charge; env=Development-Loyalty</t>
  </si>
  <si>
    <t>{
  "Organization Name": "PT Nawa Darsana Teknologi",
  "Publisher": "Microsoft",
  "Publisher Customer ID": "346fa229-7c19-44ef-85c6-29e00edf66cf",
  "Unit Price": "1228.198399289",
  "ERP": "0.2068903694",
  "BenefitType": "Charge",
  "aks-managed-consolidated-additional-properties": "311f4bef-57da-11f1-a161-cad1f54d4175",
  "aks-managed-creationSource": "vmssclient-aks-systemeph-33281046-vmss",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</si>
  <si>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Price=1228.198399289; ERP=0.2068903694;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</si>
  <si>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"1228.1983990748",
  "ERP": "3.0790305832",
  "BenefitType": "Charge",
  "aks-managed-consolidated-additional-properties": "73336d53-4c0c-11f1-8bd6-5ec9d1cd8e46",
  "aks-managed-creationSource": "vmssclient-aks-monitoring-70266679-vmss",
  "aks-managed-enable-imds-restriction": "False",
  "aks-managed-kubeletIdentityClientID": "d31d2c4f-e3b8-4665-b69b-b18c5ed27c30",
  "aks-managed-operationID": "47e3b138-8324-4703-af11-b999d06876ce",
  "aks-managed-orchestrator": "Kubernetes:1.33.10",
  "aks-managed-poolName": "monitoring",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</si>
  <si>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Price=1228.1983990748; ERP=3.0790305832;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</t>
  </si>
  <si>
    <t>aks-newagentpool-22031053-vmss</t>
  </si>
  <si>
    <t>{
  "Organization Name": "PT Nawa Darsana Teknologi",
  "Publisher": "Microsoft",
  "Publisher Customer ID": "346fa229-7c19-44ef-85c6-29e00edf66cf",
  "Unit Price": "1228.1983992019",
  "ERP": "1.314486316",
  "BenefitType": "Charge",
  "aks-managed-consolidated-additional-properties": "c05a7699-3b82-11f1-9f86-8e3cee5b163a",
  "aks-managed-creationSource": "vmssclient-aks-newagentpool-22031053-vmss",
  "aks-managed-enable-imds-restriction": "False",
  "aks-managed-kubeletIdentityClientID": "d31d2c4f-e3b8-4665-b69b-b18c5ed27c30",
  "aks-managed-operationID": "488a37be-07cd-41b9-bcf0-482ff6cb2ad0",
  "aks-managed-orchestrator": "Kubernetes:1.33.8",
  "aks-managed-poolName": "newagentpool",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</si>
  <si>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Price=1228.1983992019; ERP=1.314486316; BenefitType=Charge; aks-managed-consolidated-additional-properties=c05a7699-3b82-11f1-9f86-8e3cee5b163a; aks-managed-creationSource=vmssclient-aks-newagentpool-22031053-vmss; aks-managed-enable-imds-restriction=False; aks-managed-kubeletIdentityClientID=d31d2c4f-e3b8-4665-b69b-b18c5ed27c30; aks-managed-operationID=488a37be-07cd-41b9-bcf0-482ff6cb2ad0; aks-managed-orchestrator=Kubernetes:1.33.8; aks-managed-poolName=newagentpool;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</si>
  <si>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"153.5248",
  "ERP": "5527.5528240504",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</si>
  <si>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ERP=5527.5528240504;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</si>
  <si>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"1842.2976",
  "ERP": "61.25220816",
  "BenefitType": "Charge"
}</t>
  </si>
  <si>
    <t>Organization Name=PT Nawa Darsana Teknologi; Publisher=Microsoft; Publisher Customer ID=346fa229-7c19-44ef-85c6-29e00edf66cf; Unit Price=1842.2976; ERP=61.25220816; BenefitType=Charge</t>
  </si>
  <si>
    <t>{
  "Organization Name": "PT Nawa Darsana Teknologi",
  "Publisher": "Microsoft",
  "Publisher Customer ID": "346fa229-7c19-44ef-85c6-29e00edf66cf",
  "Unit Price": "153.5247999999",
  "ERP": "709.5341567314",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</si>
  <si>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Price=153.5247999999; ERP=709.5341567314;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</si>
  <si>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"332.9048476468",
  "BenefitType": "Charge",
  "aks-managed-consolidated-additional-properties": "311cf8b6-57da-11f1-a161-cad1f54d4175",
  "aks-managed-creationSource": "vmssclient-aks-udbziumeph-39962470-vmss",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</si>
  <si>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Price=153.5247999999; ERP=332.9048476468;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</si>
  <si>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"153.5248",
  "ERP": "5350.2438905058",
  "BenefitType": "Charge",
  "aks-managed-consolidated-additional-properties": "2a985bfc-3b84-11f1-95e3-2e4ba821b3e8",
  "aks-managed-creationSource": "vmssclient-aks-newuserpool-25919024-vmss",
  "aks-managed-enable-imds-restriction": "False",
  "aks-managed-kubeletIdentityClientID": "d31d2c4f-e3b8-4665-b69b-b18c5ed27c30",
  "aks-managed-operationID": "fc4a52d4-889b-4642-9d1f-4755ccdf8ad9",
  "aks-managed-orchestrator": "Kubernetes:1.33.8",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</si>
  <si>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Price=153.5248; ERP=5350.2438905058;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</si>
  <si>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"73336d53-4c0c-11f1-8bd6-5ec9d1cd8e46",
  "aks-managed-creationSource": "vmssclient-aks-monitoring-70266679-vmss",
  "aks-managed-enable-imds-restriction": "False",
  "aks-managed-kubeletIdentityClientID": "d31d2c4f-e3b8-4665-b69b-b18c5ed27c30",
  "aks-managed-operationID": "47e3b138-8324-4703-af11-b999d06876ce",
  "aks-managed-orchestrator": "Kubernetes:1.33.10",
  "aks-managed-poolName": "monitoring",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</si>
  <si>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</si>
  <si>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"4f38eb20-4c0a-11f1-8bd6-5ec9d1cd8e46",
  "aks-managed-creationSource": "vmssclient-aks-usereph-42924794-vmss",
  "aks-managed-enable-imds-restriction": "False",
  "aks-managed-kubeletIdentityClientID": "d31d2c4f-e3b8-4665-b69b-b18c5ed27c30",
  "aks-managed-operationID": "42aae2a1-8c14-4723-8a5e-5dcc01625a2f",
  "aks-managed-orchestrator": "Kubernetes:1.33.10",
  "aks-managed-poolName": "usereph",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</si>
  <si>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</t>
  </si>
  <si>
    <t>E4 LRS Disk Operations</t>
  </si>
  <si>
    <t>{
  "Organization Name": "PT Nawa Darsana Teknologi",
  "Publisher": "Microsoft",
  "Publisher Customer ID": "346fa229-7c19-44ef-85c6-29e00edf66cf",
  "Unit Price": "30.70496",
  "ERP": "10194.74456",
  "BenefitType": "Charge",
  "Loyalty": "Loyalty"
}</t>
  </si>
  <si>
    <t>Organization Name=PT Nawa Darsana Teknologi; Publisher=Microsoft; Publisher Customer ID=346fa229-7c19-44ef-85c6-29e00edf66cf; Unit Price=30.70496; ERP=10194.74456; BenefitType=Charge; Loyalty=Loyalty</t>
  </si>
  <si>
    <t>{
  "Organization Name": "PT Nawa Darsana Teknologi",
  "Publisher": "Microsoft",
  "Publisher Customer ID": "346fa229-7c19-44ef-85c6-29e00edf66cf",
  "Unit Price": "2425.69184",
  "ERP": "151330.2310216554",
  "BenefitType": "Charge",
  "aks-managed-consolidated-additional-properties": "73336d53-4c0c-11f1-8bd6-5ec9d1cd8e46",
  "aks-managed-creationSource": "vmssclient-aks-monitoring-70266679-vmss",
  "aks-managed-enable-imds-restriction": "False",
  "aks-managed-kubeletIdentityClientID": "d31d2c4f-e3b8-4665-b69b-b18c5ed27c30",
  "aks-managed-operationID": "47e3b138-8324-4703-af11-b999d06876ce",
  "aks-managed-orchestrator": "Kubernetes:1.33.10",
  "aks-managed-poolName": "monitoring",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</si>
  <si>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Price=2425.69184; ERP=151330.2310216554;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</si>
  <si>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"153.5247976317",
  "ERP": "0.009220211",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</si>
  <si>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Price=153.5247976317; ERP=0.009220211;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</si>
  <si>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"2a985bfc-3b84-11f1-95e3-2e4ba821b3e8",
  "aks-managed-creationSource": "vmssclient-aks-newuserpool-25919024-vmss",
  "aks-managed-enable-imds-restriction": "False",
  "aks-managed-kubeletIdentityClientID": "d31d2c4f-e3b8-4665-b69b-b18c5ed27c30",
  "aks-managed-operationID": "fc4a52d4-889b-4642-9d1f-4755ccdf8ad9",
  "aks-managed-orchestrator": "Kubernetes:1.33.8",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</si>
  <si>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</si>
  <si>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"153.5248",
  "ERP": "9226.455952714",
  "BenefitType": "Charge",
  "aks-managed-consolidated-additional-properties": "10b49e4b-4c06-11f1-8bd6-5ec9d1cd8e46",
  "aks-managed-creationSource": "vmssclient-aks-newuserpool-25919024-vmss",
  "aks-managed-enable-imds-restriction": "False",
  "aks-managed-kubeletIdentityClientID": "d31d2c4f-e3b8-4665-b69b-b18c5ed27c30",
  "aks-managed-operationID": "83e7f825-8218-4a0f-ba20-b087a41e559b",
  "aks-managed-orchestrator": "Kubernetes:1.33.10",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</si>
  <si>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Price=153.5248; ERP=9226.455952714;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</t>
  </si>
  <si>
    <t>aks-newagentpool-220aks-newagentpool-2203OS__1_5752567ef2b8452782507ab1b8e7add3</t>
  </si>
  <si>
    <t>{
  "Organization Name": "PT Nawa Darsana Teknologi",
  "Publisher": "Microsoft",
  "Publisher Customer ID": "346fa229-7c19-44ef-85c6-29e00edf66cf",
  "Unit Price": "302597.3808",
  "ERP": "71.52301728",
  "BenefitType": "Charge",
  "aks-managed-consolidated-additional-properties": "a432e131-4c04-11f1-8cae-6277d8c8ca4f",
  "aks-managed-creationSource": "vmssclient-aks-newagentpool-22031053-vmss",
  "aks-managed-enable-imds-restriction": "False",
  "aks-managed-kubeletIdentityClientID": "d31d2c4f-e3b8-4665-b69b-b18c5ed27c30",
  "aks-managed-operationID": "61c861c4-cc71-476c-bdc8-423df1ba9c46",
  "aks-managed-orchestrator": "Kubernetes:1.33.10",
  "aks-managed-poolName": "newagentpool",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</si>
  <si>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Price=302597.3808; ERP=71.52301728; BenefitType=Charge; aks-managed-consolidated-additional-properties=a432e131-4c04-11f1-8cae-6277d8c8ca4f; aks-managed-creationSource=vmssclient-aks-newagentpool-22031053-vmss; aks-managed-enable-imds-restriction=False; aks-managed-kubeletIdentityClientID=d31d2c4f-e3b8-4665-b69b-b18c5ed27c30; aks-managed-operationID=61c861c4-cc71-476c-bdc8-423df1ba9c46; aks-managed-orchestrator=Kubernetes:1.33.10; aks-managed-poolName=newagentpool; aks-managed-resourceNameSuffix=36864977.0; aks-managed-ssh-access=LocalUser; compute.aks.billing=linux</t>
  </si>
  <si>
    <t>aks-newagentpool-220aks-newagentpool-2203OS__1_020362f3d36a4c2b8436ef710394fea4</t>
  </si>
  <si>
    <t>{
  "Organization Name": "PT Nawa Darsana Teknologi",
  "Publisher": "Microsoft",
  "Publisher Customer ID": "346fa229-7c19-44ef-85c6-29e00edf66cf",
  "Unit Price": "302597.3808",
  "ERP": "44.01416448",
  "BenefitType": "Charge",
  "aks-managed-consolidated-additional-properties": "a432e131-4c04-11f1-8cae-6277d8c8ca4f",
  "aks-managed-creationSource": "vmssclient-aks-newagentpool-22031053-vmss",
  "aks-managed-enable-imds-restriction": "False",
  "aks-managed-kubeletIdentityClientID": "d31d2c4f-e3b8-4665-b69b-b18c5ed27c30",
  "aks-managed-operationID": "61c861c4-cc71-476c-bdc8-423df1ba9c46",
  "aks-managed-orchestrator": "Kubernetes:1.33.10",
  "aks-managed-poolName": "newagentpool",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</si>
  <si>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Price=302597.3808; ERP=44.01416448; BenefitType=Charge; aks-managed-consolidated-additional-properties=a432e131-4c04-11f1-8cae-6277d8c8ca4f; aks-managed-creationSource=vmssclient-aks-newagentpool-22031053-vmss; aks-managed-enable-imds-restriction=False; aks-managed-kubeletIdentityClientID=d31d2c4f-e3b8-4665-b69b-b18c5ed27c30; aks-managed-operationID=61c861c4-cc71-476c-bdc8-423df1ba9c46; aks-managed-orchestrator=Kubernetes:1.33.10; aks-managed-poolName=newagentpool;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</si>
  <si>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"1228.198043016",
  "ERP": "0.0001552694",
  "BenefitType": "Charge",
  "aks-managed-consolidated-additional-properties": "3252c8ac-59a1-11f1-be0b-d69bb301ee57",
  "aks-managed-creationSource": "vmssclient-aks-systemeph-33281046-vmss",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</si>
  <si>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Price=1228.198043016; ERP=0.0001552694; BenefitType=Charge; aks-managed-consolidated-additional-properties=3252c8ac-59a1-11f1-be0b-d69bb301ee57; aks-managed-creationSource=vmssclient-aks-systemeph-33281046-vmss; aks-managed-enable-imds-restriction=False; aks-managed-kubeletIdentityClientID=b2aa22d3-2063-4e90-a9df-47ffb8a7aae1; aks-managed-operationID=0f13bab3-0fbc-4d58-af43-368d156264e0; aks-managed-orchestrator=Kubernetes:1.33.10; aks-managed-poolName=systemeph;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</si>
  <si>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"153.5247999597",
  "ERP": "3.4299900206",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</si>
  <si>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Price=153.5247999597; ERP=3.4299900206;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</si>
  <si>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"1228.1983999515",
  "ERP": "0.2892791044",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</si>
  <si>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Price=1228.1983999515; ERP=0.2892791044;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</si>
  <si>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"1842.2975983836",
  "ERP": "0.0796113318",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</si>
  <si>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Price=1842.2975983836; ERP=0.0796113318;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</si>
  <si>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"153.5248",
  "ERP": "30519.2519374886",
  "BenefitType": "Charge",
  "aks-managed-consolidated-additional-properties": "10b49e4b-4c06-11f1-8bd6-5ec9d1cd8e46",
  "aks-managed-creationSource": "vmssclient-aks-newuserpool-25919024-vmss",
  "aks-managed-enable-imds-restriction": "False",
  "aks-managed-kubeletIdentityClientID": "d31d2c4f-e3b8-4665-b69b-b18c5ed27c30",
  "aks-managed-operationID": "83e7f825-8218-4a0f-ba20-b087a41e559b",
  "aks-managed-orchestrator": "Kubernetes:1.33.10",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</si>
  <si>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Price=153.5248; ERP=30519.2519374886;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</si>
  <si>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"13510.1823999999",
  "ERP": "28588.8765055036",
  "BenefitType": "Charge",
  "Billing": "Loyalty",
  "BillingOriginProduct": "SQL",
  "ClusterId": "0528-025039-u6r12ie2-v2n",
  "Creator": "deo.haganta@divisiinovasi.onmicrosoft.com",
  "databricks-cloud-priority": "high",
  "dbsql-channel": "CHANNEL_NAME_CURRENT",
  "SqlEndpointId": "91031cbec48bd645",
  "Vendor": "Databricks"
}</t>
  </si>
  <si>
    <t>Organization Name=PT Nawa Darsana Teknologi; Publisher=Microsoft; Publisher Customer ID=346fa229-7c19-44ef-85c6-29e00edf66cf; Unit Price=13510.1823999999; ERP=28588.8765055036; BenefitType=Charge; Billing=Loyalty; BillingOriginProduct=SQL; ClusterId=0528-025039-u6r12ie2-v2n; Creator=deo.haganta@divisiinovasi.onmicrosoft.com; databricks-cloud-priority=high; dbsql-channel=CHANNEL_NAME_CURRENT; SqlEndpointId=91031cbec48bd645; Vendor=Databricks</t>
  </si>
  <si>
    <t>{
  "Organization Name": "PT Nawa Darsana Teknologi",
  "Publisher": "Microsoft",
  "Publisher Customer ID": "346fa229-7c19-44ef-85c6-29e00edf66cf",
  "Unit Price": "13510.1824",
  "ERP": "51551.1202671036",
  "BenefitType": "Charge",
  "Billing": "Loyalty",
  "BillingOriginProduct": "SQL",
  "ClusterId": "0528-045356-8vpqnt4z-v2n",
  "Creator": "deo.haganta@divisiinovasi.onmicrosoft.com",
  "databricks-cloud-priority": "high",
  "dbsql-channel": "CHANNEL_NAME_CURRENT",
  "SqlEndpointId": "91031cbec48bd645",
  "Vendor": "Databricks"
}</t>
  </si>
  <si>
    <t>Organization Name=PT Nawa Darsana Teknologi; Publisher=Microsoft; Publisher Customer ID=346fa229-7c19-44ef-85c6-29e00edf66cf; Unit Price=13510.1824; ERP=51551.1202671036; BenefitType=Charge; Billing=Loyalty; BillingOriginProduct=SQL; ClusterId=0528-045356-8vpqnt4z-v2n; Creator=deo.haganta@divisiinovasi.onmicrosoft.com; databricks-cloud-priority=high; dbsql-channel=CHANNEL_NAME_CURRENT; SqlEndpointId=91031cbec48bd645; Vendor=Databricks</t>
  </si>
  <si>
    <t>{
  "Organization Name": "PT Nawa Darsana Teknologi",
  "Publisher": "Microsoft",
  "Publisher Customer ID": "346fa229-7c19-44ef-85c6-29e00edf66cf",
  "Unit Price": "13510.1824",
  "ERP": "55625.5149343036",
  "BenefitType": "Charge",
  "Billing": "Loyalty",
  "BillingOriginProduct": "SQL",
  "ClusterId": "0514-043744-2mvgoc56-v2n",
  "Creator": "deo.haganta@divisiinovasi.onmicrosoft.com",
  "databricks-cloud-priority": "high",
  "dbsql-channel": "CHANNEL_NAME_CURRENT",
  "SqlEndpointId": "91031cbec48bd645",
  "Vendor": "Databricks"
}</t>
  </si>
  <si>
    <t>Organization Name=PT Nawa Darsana Teknologi; Publisher=Microsoft; Publisher Customer ID=346fa229-7c19-44ef-85c6-29e00edf66cf; Unit Price=13510.1824; ERP=55625.5149343036; BenefitType=Charge; Billing=Loyalty; BillingOriginProduct=SQL; ClusterId=0514-043744-2mvgoc56-v2n; Creator=deo.haganta@divisiinovasi.onmicrosoft.com; databricks-cloud-priority=high; dbsql-channel=CHANNEL_NAME_CURRENT; SqlEndpointId=91031cbec48bd645; Vendor=Databricks</t>
  </si>
  <si>
    <t>Azure Redis Cache Basic</t>
  </si>
  <si>
    <t>C1 Cache</t>
  </si>
  <si>
    <t>livelydev</t>
  </si>
  <si>
    <t>{
  "Organization Name": "PT Nawa Darsana Teknologi",
  "Publisher": "Microsoft",
  "Publisher Customer ID": "346fa229-7c19-44ef-85c6-29e00edf66cf",
  "Unit Price": "844.3864",
  "ERP": "711011.73",
  "BenefitType": "Charge",
  "env": "Loyalty-Development"
}</t>
  </si>
  <si>
    <t>Organization Name=PT Nawa Darsana Teknologi; Publisher=Microsoft; Publisher Customer ID=346fa229-7c19-44ef-85c6-29e00edf66cf; Unit Price=844.3864; ERP=711011.73; BenefitType=Charge; env=Loyalty-Development</t>
  </si>
  <si>
    <t>{
  "Organization Name": "PT Nawa Darsana Teknologi",
  "Publisher": "Microsoft",
  "Publisher Customer ID": "346fa229-7c19-44ef-85c6-29e00edf66cf",
  "Unit Price": "1590.4779911712",
  "ERP": "140084.1337916878",
  "BenefitType": "Charge",
  "env": "Development-Loyalty"
}</t>
  </si>
  <si>
    <t>Organization Name=PT Nawa Darsana Teknologi; Publisher=Microsoft; Publisher Customer ID=346fa229-7c19-44ef-85c6-29e00edf66cf; Unit Price=1590.4779911712; ERP=140084.1337916878; BenefitType=Charge; env=Development-Loyalty</t>
  </si>
  <si>
    <t>{
  "Organization Name": "PT Nawa Darsana Teknologi",
  "Publisher": "Microsoft",
  "Publisher Customer ID": "346fa229-7c19-44ef-85c6-29e00edf66cf",
  "Unit Price": "3108.8772",
  "ERP": "253.25337609",
  "BenefitType": "Charge",
  "Environment": "Production",
  "Name": "Curl-api-report"
}</t>
  </si>
  <si>
    <t>Organization Name=PT Nawa Darsana Teknologi; Publisher=Microsoft; Publisher Customer ID=346fa229-7c19-44ef-85c6-29e00edf66cf; Unit Price=3108.8772; ERP=253.25337609; BenefitType=Charge; Environment=Production; Name=Curl-api-report</t>
  </si>
  <si>
    <t>{
  "Organization Name": "PT Nawa Darsana Teknologi",
  "Publisher": "Microsoft",
  "Publisher Customer ID": "346fa229-7c19-44ef-85c6-29e00edf66cf",
  "Unit Price": "7676.2399999987",
  "ERP": "944.6672187524",
  "BenefitType": "Charge",
  "Billing": "Loyalty",
  "BillingOriginProduct": "PREDICTIVE_OPTIMIZATION",
  "Creator": "a25b9e47-2518-438d-90ee-1cd792b5b46d",
  "JobId": "870633446407295.0",
  "Predictive Optimization": "True",
  "Vendor": "Databricks"
}</t>
  </si>
  <si>
    <t>Organization Name=PT Nawa Darsana Teknologi; Publisher=Microsoft; Publisher Customer ID=346fa229-7c19-44ef-85c6-29e00edf66cf; Unit Price=7676.2399999987; ERP=944.6672187524; BenefitType=Charge; Billing=Loyalty; BillingOriginProduct=PREDICTIVE_OPTIMIZATION; Creator=a25b9e47-2518-438d-90ee-1cd792b5b46d; JobId=870633446407295.0; Predictive Optimization=True; Vendor=Databricks</t>
  </si>
  <si>
    <t>{
  "Organization Name": "PT Nawa Darsana Teknologi",
  "Publisher": "Microsoft",
  "Publisher Customer ID": "346fa229-7c19-44ef-85c6-29e00edf66cf",
  "Unit Price": "7676.24",
  "ERP": "1501.1727013426",
  "BenefitType": "Charge",
  "Billing": "Loyalty",
  "BillingOriginProduct": "PREDICTIVE_OPTIMIZATION",
  "Creator": "a25b9e47-2518-438d-90ee-1cd792b5b46d",
  "JobId": "903542044357103.0",
  "Predictive Optimization": "True",
  "Vendor": "Databricks"
}</t>
  </si>
  <si>
    <t>Organization Name=PT Nawa Darsana Teknologi; Publisher=Microsoft; Publisher Customer ID=346fa229-7c19-44ef-85c6-29e00edf66cf; Unit Price=7676.24; ERP=1501.1727013426; BenefitType=Charge; Billing=Loyalty; BillingOriginProduct=PREDICTIVE_OPTIMIZATION; Creator=a25b9e47-2518-438d-90ee-1cd792b5b46d; JobId=903542044357103.0; Predictive Optimization=True; Vendor=Databricks</t>
  </si>
  <si>
    <t>{
  "Organization Name": "PT Nawa Darsana Teknologi",
  "Publisher": "Microsoft",
  "Publisher Customer ID": "346fa229-7c19-44ef-85c6-29e00edf66cf",
  "Unit Price": "1228.1983662434",
  "ERP": "0.0003890458",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</si>
  <si>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Price=1228.1983662434; ERP=0.0003890458;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</si>
  <si>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"153.5247997866",
  "ERP": "0.669088992",
  "BenefitType": "Charge",
  "Environment": "Production",
  "Name": "Jumpbox-prod-new"
}</t>
  </si>
  <si>
    <t>Organization Name=PT Nawa Darsana Teknologi; Publisher=Microsoft; Publisher Customer ID=346fa229-7c19-44ef-85c6-29e00edf66cf; Unit Price=153.5247997866; ERP=0.669088992; BenefitType=Charge; Environment=Production; Name=Jumpbox-prod-new</t>
  </si>
  <si>
    <t>{
  "Organization Name": "PT Nawa Darsana Teknologi",
  "Publisher": "Microsoft",
  "Publisher Customer ID": "346fa229-7c19-44ef-85c6-29e00edf66cf",
  "Unit Price": "153.5247999999",
  "ERP": "385.0868106228",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</si>
  <si>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Price=153.5247999999; ERP=385.0868106228;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</si>
  <si>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"153.5248",
  "ERP": "14418.4647907014",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</si>
  <si>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ERP=14418.4647907014;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</si>
  <si>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"1228.1983859023",
  "ERP": "0.0037613576",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</si>
  <si>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Price=1228.1983859023; ERP=0.0037613576;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</si>
  <si>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"1783.3275362474",
  "BenefitType": "Charge",
  "aks-managed-consolidated-additional-properties": "2a985bfc-3b84-11f1-95e3-2e4ba821b3e8",
  "aks-managed-creationSource": "vmssclient-aks-newuserpool-25919024-vmss",
  "aks-managed-enable-imds-restriction": "False",
  "aks-managed-kubeletIdentityClientID": "d31d2c4f-e3b8-4665-b69b-b18c5ed27c30",
  "aks-managed-operationID": "fc4a52d4-889b-4642-9d1f-4755ccdf8ad9",
  "aks-managed-orchestrator": "Kubernetes:1.33.8",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</si>
  <si>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Price=153.5247999999; ERP=1783.3275362474;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</si>
  <si>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"27.3277790214",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</si>
  <si>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Price=153.5247999999; ERP=27.3277790214;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</si>
  <si>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"153.5248",
  "ERP": "3537.4535023542",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</si>
  <si>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ERP=3537.4535023542;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</si>
  <si>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"153.5247999968",
  "ERP": "8.2202603626",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</si>
  <si>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Price=153.5247999968; ERP=8.2202603626;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</si>
  <si>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"153.5247999519",
  "ERP": "1.8408112008",
  "BenefitType": "Charge",
  "aks-managed-consolidated-additional-properties": "47dbf5f1-4c0a-11f1-ad6b-a26c3881ebea",
  "aks-managed-creationSource": "vmssclient-aks-systemeph-33281046-vmss",
  "aks-managed-enable-imds-restriction": "False",
  "aks-managed-kubeletIdentityClientID": "b2aa22d3-2063-4e90-a9df-47ffb8a7aae1",
  "aks-managed-operationID": "94fb6e4a-1533-4ef7-ab97-16965dda6ad7",
  "aks-managed-orchestrator": "Kubernetes:1.33.10",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</si>
  <si>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Price=153.5247999519; ERP=1.8408112008;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</si>
  <si>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"153.5247999998",
  "ERP": "1011.9097604902",
  "BenefitType": "Charge",
  "aks-managed-consolidated-additional-properties": "de1ef251-3b84-11f1-95e3-2e4ba821b3e8",
  "aks-managed-creationSource": "vmssclient-aks-usereph-29326849-vmss",
  "aks-managed-enable-imds-restriction": "False",
  "aks-managed-kubeletIdentityClientID": "b2aa22d3-2063-4e90-a9df-47ffb8a7aae1",
  "aks-managed-operationID": "583623f0-ca12-4a44-a1c9-b965876cced6",
  "aks-managed-orchestrator": "Kubernetes:1.33.8",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</si>
  <si>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Price=153.5247999998; ERP=1011.9097604902;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</si>
  <si>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"153.524799999",
  "ERP": "336.0242273388",
  "BenefitType": "Charge",
  "aks-managed-consolidated-additional-properties": "7ffa6c5b-4c0e-11f1-a2d8-ea197250a710",
  "aks-managed-creationSource": "vmssclient-aks-monitoring-17595035-vmss",
  "aks-managed-enable-imds-restriction": "False",
  "aks-managed-kubeletIdentityClientID": "f876420b-ca69-40d9-b52b-83d95239c056",
  "aks-managed-operationID": "8e4bb362-7dc0-4b0d-8d9f-785423206752",
  "aks-managed-orchestrator": "Kubernetes:1.33.10",
  "aks-managed-poolName": "monitoring",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</si>
  <si>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Price=153.524799999; ERP=336.0242273388; BenefitType=Charge; aks-managed-consolidated-additional-properties=7ffa6c5b-4c0e-11f1-a2d8-ea197250a710; aks-managed-creationSource=vmssclient-aks-monitoring-17595035-vmss; aks-managed-enable-imds-restriction=False; aks-managed-kubeletIdentityClientID=f876420b-ca69-40d9-b52b-83d95239c056; aks-managed-operationID=8e4bb362-7dc0-4b0d-8d9f-785423206752; aks-managed-orchestrator=Kubernetes:1.33.10; aks-managed-poolName=monitoring;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</si>
  <si>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"153.5248",
  "ERP": "85391.2306476372",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</si>
  <si>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ERP=85391.2306476372;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</si>
  <si>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"153.5247999974",
  "ERP": "11.9432193166",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</si>
  <si>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Price=153.5247999974; ERP=11.9432193166;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</si>
  <si>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"153.5248",
  "ERP": "29455.7929106584",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</si>
  <si>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ERP=29455.7929106584;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</si>
  <si>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"153.5247999987",
  "ERP": "159.884756746",
  "BenefitType": "Charge",
  "aks-managed-consolidated-additional-properties": "bfea8e67-3b82-11f1-95e3-2e4ba821b3e8",
  "aks-managed-creationSource": "vmssclient-aks-udbziumeph-39962470-vmss",
  "aks-managed-enable-imds-restriction": "False",
  "aks-managed-kubeletIdentityClientID": "b2aa22d3-2063-4e90-a9df-47ffb8a7aae1",
  "aks-managed-operationID": "009a74c2-0f20-4db9-a8a5-bbf8d086af00",
  "aks-managed-orchestrator": "Kubernetes:1.33.8",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</si>
  <si>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Price=153.5247999987; ERP=159.884756746; BenefitType=Charge; aks-managed-consolidated-additional-properties=bfea8e67-3b82-11f1-95e3-2e4ba821b3e8; aks-managed-creationSource=vmssclient-aks-udbziumeph-39962470-vmss; aks-managed-enable-imds-restriction=False; aks-managed-kubeletIdentityClientID=b2aa22d3-2063-4e90-a9df-47ffb8a7aae1; aks-managed-operationID=009a74c2-0f20-4db9-a8a5-bbf8d086af00; aks-managed-orchestrator=Kubernetes:1.33.8;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</si>
  <si>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"153.52471909",
  "ERP": "0.0003628768",
  "BenefitType": "Charge",
  "aks-managed-consolidated-additional-properties": "311f4bef-57da-11f1-a161-cad1f54d4175",
  "aks-managed-creationSource": "vmssclient-aks-systemeph-33281046-vmss",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</si>
  <si>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Price=153.52471909; ERP=0.0003628768;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</si>
  <si>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"153.5247999998",
  "ERP": "1399.2612730096",
  "BenefitType": "Charge",
  "aks-managed-consolidated-additional-properties": "ebfb66c7-4c03-11f1-ad6b-a26c3881ebea",
  "aks-managed-creationSource": "vmssclient-aks-udbziumeph-39962470-vmss",
  "aks-managed-enable-imds-restriction": "False",
  "aks-managed-kubeletIdentityClientID": "b2aa22d3-2063-4e90-a9df-47ffb8a7aae1",
  "aks-managed-operationID": "a8de8d52-26ef-400f-baca-26615e975193",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</si>
  <si>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Price=153.5247999998; ERP=1399.2612730096;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</t>
  </si>
  <si>
    <t>P4 LRS Disk</t>
  </si>
  <si>
    <t>Jumpbox-prod-new_OsDisk_1_f6de8f9d9d6f48229a814a0686178381</t>
  </si>
  <si>
    <t>{
  "Organization Name": "PT Nawa Darsana Teknologi",
  "Publisher": "Microsoft",
  "Publisher Customer ID": "346fa229-7c19-44ef-85c6-29e00edf66cf",
  "Unit Price": "81053.41816",
  "ERP": "92100.262205952",
  "BenefitType": "Charge",
  "Environment": "Production",
  "Name": "Jumpbox-prod-new"
}</t>
  </si>
  <si>
    <t>Organization Name=PT Nawa Darsana Teknologi; Publisher=Microsoft; Publisher Customer ID=346fa229-7c19-44ef-85c6-29e00edf66cf; Unit Price=81053.41816; ERP=92100.262205952; BenefitType=Charge; Environment=Production; Name=Jumpbox-prod-new</t>
  </si>
  <si>
    <t>{
  "Organization Name": "PT Nawa Darsana Teknologi",
  "Publisher": "Microsoft",
  "Publisher Customer ID": "346fa229-7c19-44ef-85c6-29e00edf66cf",
  "Unit Price": "153.5247999983",
  "ERP": "35.158618495",
  "BenefitType": "Charge",
  "aks-managed-consolidated-additional-properties": "311ee467-57da-11f1-a161-cad1f54d4175",
  "aks-managed-creationSource": "vmssclient-aks-usereph-29326849-vmss",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</si>
  <si>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Price=153.5247999983; ERP=35.158618495;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</si>
  <si>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"153.5247999692",
  "ERP": "0.0721078072",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</si>
  <si>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Price=153.5247999692; ERP=0.0721078072;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</si>
  <si>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privatelink.datafactory.azure.net</t>
  </si>
  <si>
    <t>{
  "Organization Name": "PT Nawa Darsana Teknologi",
  "Publisher": "Microsoft",
  "Publisher Customer ID": "346fa229-7c19-44ef-85c6-29e00edf66cf",
  "Unit Price": "2377.1581935474",
  "ERP": "8722.9999982554",
  "BenefitType": "Charge",
  "env": "Development-Loyalty"
}</t>
  </si>
  <si>
    <t>Organization Name=PT Nawa Darsana Teknologi; Publisher=Microsoft; Publisher Customer ID=346fa229-7c19-44ef-85c6-29e00edf66cf; Unit Price=2377.1581935474; ERP=8722.9999982554; BenefitType=Charge; env=Development-Loyalty</t>
  </si>
  <si>
    <t>lucario.private.postgres.database.azure.com</t>
  </si>
  <si>
    <t>Azure DB for PostgreSQL Flexible BS Compute</t>
  </si>
  <si>
    <t>Azure Database for PostgreSQL</t>
  </si>
  <si>
    <t>Azure Database for PostgreSQL Flexible Server Burstable BS Series Compute</t>
  </si>
  <si>
    <t>B1MS</t>
  </si>
  <si>
    <t>{
  "Organization Name": "PT Nawa Darsana Teknologi",
  "Publisher": "Microsoft",
  "Publisher Customer ID": "346fa229-7c19-44ef-85c6-29e00edf66cf",
  "Unit Price": "399.16448",
  "ERP": "253560.164",
  "BenefitType": "Charge",
  "Billing": "Loyalty",
  "env": "Loyalty-Development"
}</t>
  </si>
  <si>
    <t>Organization Name=PT Nawa Darsana Teknologi; Publisher=Microsoft; Publisher Customer ID=346fa229-7c19-44ef-85c6-29e00edf66cf; Unit Price=399.16448; ERP=253560.164; BenefitType=Charge; Billing=Loyalty; env=Loyalty-Development</t>
  </si>
  <si>
    <t>{
  "Organization Name": "PT Nawa Darsana Teknologi",
  "Publisher": "Microsoft",
  "Publisher Customer ID": "346fa229-7c19-44ef-85c6-29e00edf66cf",
  "Unit Price": "153.5248",
  "ERP": "6527.0138865646",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</si>
  <si>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ERP=6527.0138865646;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</si>
  <si>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"195.5988244782",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</si>
  <si>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Price=153.5247999999; ERP=195.5988244782;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</si>
  <si>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"153.5247999996",
  "ERP": "76.2084755432",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</si>
  <si>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Price=153.5247999996; ERP=76.2084755432;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</si>
  <si>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"153.5247999986",
  "ERP": "4.2178967402",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</si>
  <si>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Price=153.5247999986; ERP=4.2178967402;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</si>
  <si>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"153.5247999999",
  "ERP": "169.0861417674",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</si>
  <si>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Price=153.5247999999; ERP=169.0861417674;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</si>
  <si>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"153.5248",
  "ERP": "21369.2618987276",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</si>
  <si>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Price=153.5248; ERP=21369.2618987276;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</si>
  <si>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"6140.992",
  "ERP": "1743.9440304",
  "BenefitType": "Charge"
}</t>
  </si>
  <si>
    <t>Organization Name=PT Nawa Darsana Teknologi; Publisher=Microsoft; Publisher Customer ID=346fa229-7c19-44ef-85c6-29e00edf66cf; Unit Price=6140.992; ERP=1743.9440304; BenefitType=Charge</t>
  </si>
  <si>
    <t>{
  "Organization Name": "PT Nawa Darsana Teknologi",
  "Publisher": "Microsoft",
  "Publisher Customer ID": "346fa229-7c19-44ef-85c6-29e00edf66cf",
  "Unit Price": "153.5248",
  "ERP": "4463.252678456",
  "BenefitType": "Charge",
  "aks-managed-consolidated-additional-properties": "2a985bfc-3b84-11f1-95e3-2e4ba821b3e8",
  "aks-managed-creationSource": "vmssclient-aks-newuserpool-25919024-vmss",
  "aks-managed-enable-imds-restriction": "False",
  "aks-managed-kubeletIdentityClientID": "d31d2c4f-e3b8-4665-b69b-b18c5ed27c30",
  "aks-managed-operationID": "fc4a52d4-889b-4642-9d1f-4755ccdf8ad9",
  "aks-managed-orchestrator": "Kubernetes:1.33.8",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</si>
  <si>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Price=153.5248; ERP=4463.252678456;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</si>
  <si>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"153.5248",
  "ERP": "6429.2565462268",
  "BenefitType": "Charge",
  "aks-managed-consolidated-additional-properties": "2a985bfc-3b84-11f1-95e3-2e4ba821b3e8",
  "aks-managed-creationSource": "vmssclient-aks-newuserpool-25919024-vmss",
  "aks-managed-enable-imds-restriction": "False",
  "aks-managed-kubeletIdentityClientID": "d31d2c4f-e3b8-4665-b69b-b18c5ed27c30",
  "aks-managed-operationID": "fc4a52d4-889b-4642-9d1f-4755ccdf8ad9",
  "aks-managed-orchestrator": "Kubernetes:1.33.8",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</si>
  <si>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Price=153.5248; ERP=6429.2565462268;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</si>
  <si>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"397.629232",
  "ERP": "450.6313994754",
  "BenefitType": "Charge",
  "env": "Development-Loyalty"
}</t>
  </si>
  <si>
    <t>Organization Name=PT Nawa Darsana Teknologi; Publisher=Microsoft; Publisher Customer ID=346fa229-7c19-44ef-85c6-29e00edf66cf; Unit Price=397.629232; ERP=450.6313994754; BenefitType=Charge; env=Development-Loyalty</t>
  </si>
  <si>
    <t>lunatrade-to-lakeside</t>
  </si>
  <si>
    <t>{
  "Organization Name": "PT Nawa Darsana Teknologi",
  "Publisher": "Microsoft",
  "Publisher Customer ID": "346fa229-7c19-44ef-85c6-29e00edf66cf",
  "Unit Price": "153.5247999843",
  "ERP": "22.665982768",
  "BenefitType": "Charge",
  "env": "Loyalty-Development"
}</t>
  </si>
  <si>
    <t>Organization Name=PT Nawa Darsana Teknologi; Publisher=Microsoft; Publisher Customer ID=346fa229-7c19-44ef-85c6-29e00edf66cf; Unit Price=153.5247999843; ERP=22.665982768; BenefitType=Charge; env=Loyalty-Development</t>
  </si>
  <si>
    <t>to-giant-hub</t>
  </si>
  <si>
    <t>{
  "Organization Name": "PT Nawa Darsana Teknologi",
  "Publisher": "Microsoft",
  "Publisher Customer ID": "346fa229-7c19-44ef-85c6-29e00edf66cf",
  "Unit Price": "153.524799996",
  "ERP": "81.0316089154",
  "BenefitType": "Charge"
}</t>
  </si>
  <si>
    <t>Organization Name=PT Nawa Darsana Teknologi; Publisher=Microsoft; Publisher Customer ID=346fa229-7c19-44ef-85c6-29e00edf66cf; Unit Price=153.524799996; ERP=81.0316089154; BenefitType=Charge</t>
  </si>
  <si>
    <t>{
  "Organization Name": "PT Nawa Darsana Teknologi",
  "Publisher": "Microsoft",
  "Publisher Customer ID": "346fa229-7c19-44ef-85c6-29e00edf66cf",
  "Unit Price": "153.5247962873",
  "ERP": "0.0186044144",
  "BenefitType": "Charge",
  "Billing": "Loyalty"
}</t>
  </si>
  <si>
    <t>Organization Name=PT Nawa Darsana Teknologi; Publisher=Microsoft; Publisher Customer ID=346fa229-7c19-44ef-85c6-29e00edf66cf; Unit Price=153.5247962873; ERP=0.0186044144; BenefitType=Charge; Billing=Loyalty</t>
  </si>
  <si>
    <t>SQL Database Hyperscale - Storage</t>
  </si>
  <si>
    <t>Hyperscale Data Stored</t>
  </si>
  <si>
    <t>loyalty</t>
  </si>
  <si>
    <t>{
  "Organization Name": "PT Nawa Darsana Teknologi",
  "Publisher": "Microsoft",
  "Publisher Customer ID": "346fa229-7c19-44ef-85c6-29e00edf66cf",
  "Unit Price": "4632.21167552",
  "ERP": "5200710.381152",
  "BenefitType": "Charge"
}</t>
  </si>
  <si>
    <t>Organization Name=PT Nawa Darsana Teknologi; Publisher=Microsoft; Publisher Customer ID=346fa229-7c19-44ef-85c6-29e00edf66cf; Unit Price=4632.21167552; ERP=5200710.381152; BenefitType=Charge</t>
  </si>
  <si>
    <t>{
  "Organization Name": "PT Nawa Darsana Teknologi",
  "Publisher": "Microsoft",
  "Publisher Customer ID": "346fa229-7c19-44ef-85c6-29e00edf66cf",
  "Unit Price": "1842.2975999351",
  "ERP": "31.7620061616",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</si>
  <si>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Price=1842.2975999351; ERP=31.7620061616;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</si>
  <si>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"1842.2975979702",
  "ERP": "0.0637947882",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</si>
  <si>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Price=1842.2975979702; ERP=0.0637947882;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</si>
  <si>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"1842.2975999517",
  "ERP": "12.0576999686",
  "BenefitType": "Charge",
  "aks-managed-consolidated-additional-properties": "311ee467-57da-11f1-a161-cad1f54d4175",
  "aks-managed-creationSource": "vmssclient-aks-usereph-29326849-vmss",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</si>
  <si>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Price=1842.2975999517; ERP=12.0576999686;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</si>
  <si>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"1751.5108656866",
  "ERP": "25.6502728482",
  "BenefitType": "Charge",
  "aks-managed-consolidated-additional-properties": "de1ef251-3b84-11f1-95e3-2e4ba821b3e8",
  "aks-managed-creationSource": "vmssclient-aks-usereph-29326849-vmss",
  "aks-managed-enable-imds-restriction": "False",
  "aks-managed-kubeletIdentityClientID": "b2aa22d3-2063-4e90-a9df-47ffb8a7aae1",
  "aks-managed-operationID": "583623f0-ca12-4a44-a1c9-b965876cced6",
  "aks-managed-orchestrator": "Kubernetes:1.33.8",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</si>
  <si>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Price=1751.5108656866; ERP=25.6502728482;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</si>
  <si>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"1842.2975999563",
  "ERP": "13.3068545038",
  "BenefitType": "Charge",
  "aks-managed-consolidated-additional-properties": "325204be-59a1-11f1-be0b-d69bb301ee57",
  "aks-managed-creationSource": "vmssclient-aks-udbziumeph-39962470-vmss",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</si>
  <si>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Price=1842.2975999563; ERP=13.3068545038;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</t>
  </si>
  <si>
    <t>kubernetes-ab3ed862f1dbe48918345f77a93f1494</t>
  </si>
  <si>
    <t>{
  "Organization Name": "PT Nawa Darsana Teknologi",
  "Publisher": "Microsoft",
  "Publisher Customer ID": "346fa229-7c19-44ef-85c6-29e00edf66cf",
  "Unit Price": "76.7624",
  "ERP": "64899.12",
  "BenefitType": "Charge",
  "aks-managed-cluster-name": "locksmith",
  "aks-managed-cluster-rg": "rg-loyalty-prod",
  "Environment": "Production",
  "k8s-azure-cluster-name": "kubernetes",
  "k8s-azure-service": "app-routing-system/nginx",
  "MD": "Shared",
  "Product": "Loyalty"
}</t>
  </si>
  <si>
    <t>Organization Name=PT Nawa Darsana Teknologi; Publisher=Microsoft; Publisher Customer ID=346fa229-7c19-44ef-85c6-29e00edf66cf; Unit Price=76.7624; ERP=64899.12; BenefitType=Charge; aks-managed-cluster-name=locksmith; aks-managed-cluster-rg=rg-loyalty-prod; Environment=Production; k8s-azure-cluster-name=kubernetes; k8s-azure-service=app-routing-system/nginx; MD=Shared; Product=Loyalty</t>
  </si>
  <si>
    <t>Jumpbox-prod-new</t>
  </si>
  <si>
    <t>{
  "Organization Name": "PT Nawa Darsana Teknologi",
  "Publisher": "Microsoft",
  "Publisher Customer ID": "346fa229-7c19-44ef-85c6-29e00edf66cf",
  "Unit Price": "1919.06",
  "ERP": "785070.0",
  "BenefitType": "Charge",
  "Environment": "Production",
  "Name": "Jumpbox-prod-new"
}</t>
  </si>
  <si>
    <t>Organization Name=PT Nawa Darsana Teknologi; Publisher=Microsoft; Publisher Customer ID=346fa229-7c19-44ef-85c6-29e00edf66cf; Unit Price=1919.06; ERP=785070.0; BenefitType=Charge; Environment=Production; Name=Jumpbox-prod-new</t>
  </si>
  <si>
    <t>{
  "Organization Name": "PT Nawa Darsana Teknologi",
  "Publisher": "Microsoft",
  "Publisher Customer ID": "346fa229-7c19-44ef-85c6-29e00edf66cf",
  "Unit Price": "1842.2975903329",
  "ERP": "0.022705969",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</si>
  <si>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Price=1842.2975903329; ERP=0.022705969;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</si>
  <si>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"1743.8724267546",
  "ERP": "31.5712393854",
  "BenefitType": "Charge",
  "aks-managed-consolidated-additional-properties": "7fbc0e22-3b8a-11f1-ad93-229365f5b931",
  "aks-managed-creationSource": "vmssclient-aks-monitoring-17595035-vmss",
  "aks-managed-enable-imds-restriction": "False",
  "aks-managed-kubeletIdentityClientID": "f876420b-ca69-40d9-b52b-83d95239c056",
  "aks-managed-operationID": "efdc0013-0c43-4a2e-82d7-dcc18b8419e2",
  "aks-managed-orchestrator": "Kubernetes:1.33.8",
  "aks-managed-poolName": "monitoring",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</si>
  <si>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Price=1743.8724267546; ERP=31.5712393854; BenefitType=Charge; aks-managed-consolidated-additional-properties=7fbc0e22-3b8a-11f1-ad93-229365f5b931; aks-managed-creationSource=vmssclient-aks-monitoring-17595035-vmss; aks-managed-enable-imds-restriction=False; aks-managed-kubeletIdentityClientID=f876420b-ca69-40d9-b52b-83d95239c056; aks-managed-operationID=efdc0013-0c43-4a2e-82d7-dcc18b8419e2; aks-managed-orchestrator=Kubernetes:1.33.8; aks-managed-poolName=monitoring;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</si>
  <si>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"1842.2975999947",
  "ERP": "696.6901812442",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</si>
  <si>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Price=1842.2975999947; ERP=696.6901812442;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</si>
  <si>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"1842.2975999954",
  "ERP": "890.0250365578",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</si>
  <si>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Price=1842.2975999954; ERP=890.0250365578;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</si>
  <si>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"1842.2975998805",
  "ERP": "14.1364013362",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</si>
  <si>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Price=1842.2975998805; ERP=14.1364013362;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</si>
  <si>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salacca-dev-gw</t>
  </si>
  <si>
    <t>{
  "Organization Name": "PT Nawa Darsana Teknologi",
  "Publisher": "Microsoft",
  "Publisher Customer ID": "346fa229-7c19-44ef-85c6-29e00edf66cf",
  "Unit Price": "76.7624",
  "ERP": "13346.19",
  "BenefitType": "Charge"
}</t>
  </si>
  <si>
    <t>Organization Name=PT Nawa Darsana Teknologi; Publisher=Microsoft; Publisher Customer ID=346fa229-7c19-44ef-85c6-29e00edf66cf; Unit Price=76.7624; ERP=13346.19; BenefitType=Charge</t>
  </si>
  <si>
    <t>Queues v2</t>
  </si>
  <si>
    <t>ZRS Class 2 Operations</t>
  </si>
  <si>
    <t>{
  "Organization Name": "PT Nawa Darsana Teknologi",
  "Publisher": "Microsoft",
  "Publisher Customer ID": "346fa229-7c19-44ef-85c6-29e00edf66cf",
  "Unit Price": "61.40992",
  "ERP": "32.44956",
  "BenefitType": "Charge"
}</t>
  </si>
  <si>
    <t>Organization Name=PT Nawa Darsana Teknologi; Publisher=Microsoft; Publisher Customer ID=346fa229-7c19-44ef-85c6-29e00edf66cf; Unit Price=61.40992; ERP=32.44956; BenefitType=Charge</t>
  </si>
  <si>
    <t>Delete Operations</t>
  </si>
  <si>
    <t>{
  "Organization Name": "PT Nawa Darsana Teknologi",
  "Publisher": "Microsoft",
  "Publisher Customer ID": "346fa229-7c19-44ef-85c6-29e00edf66cf",
  "Unit Price": "5.5268928",
  "ERP": "0.001884168",
  "BenefitType": "Charge",
  "Environment": "Production",
  "Name": "Curl-api-report"
}</t>
  </si>
  <si>
    <t>Organization Name=PT Nawa Darsana Teknologi; Publisher=Microsoft; Publisher Customer ID=346fa229-7c19-44ef-85c6-29e00edf66cf; Unit Price=5.5268928; ERP=0.001884168; BenefitType=Charge; Environment=Production; Name=Curl-api-report</t>
  </si>
  <si>
    <t>{
  "Organization Name": "PT Nawa Darsana Teknologi",
  "Publisher": "Microsoft",
  "Publisher Customer ID": "346fa229-7c19-44ef-85c6-29e00edf66cf",
  "Unit Price": "1842.2975999985",
  "ERP": "2297.6166646576",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</si>
  <si>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Price=1842.2975999985; ERP=2297.6166646576;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</si>
  <si>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"1842.2975834618",
  "ERP": "0.0113119864",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</si>
  <si>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Price=1842.2975834618; ERP=0.0113119864;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</si>
  <si>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rgloyaltyprod85d6</t>
  </si>
  <si>
    <t>{
  "Organization Name": "PT Nawa Darsana Teknologi",
  "Publisher": "Microsoft",
  "Publisher Customer ID": "346fa229-7c19-44ef-85c6-29e00edf66cf",
  "Unit Price": "690.8616",
  "ERP": "28.03641984",
  "BenefitType": "Charge",
  "Environment": "Production",
  "Name": "Grafana-Production-alert"
}</t>
  </si>
  <si>
    <t>Organization Name=PT Nawa Darsana Teknologi; Publisher=Microsoft; Publisher Customer ID=346fa229-7c19-44ef-85c6-29e00edf66cf; Unit Price=690.8616; ERP=28.03641984; BenefitType=Charge; Environment=Production; Name=Grafana-Production-alert</t>
  </si>
  <si>
    <t>{
  "Organization Name": "PT Nawa Darsana Teknologi",
  "Publisher": "Microsoft",
  "Publisher Customer ID": "346fa229-7c19-44ef-85c6-29e00edf66cf",
  "Unit Price": "1773.5751584232",
  "ERP": "54.1983158288",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</si>
  <si>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Price=1773.5751584232; ERP=54.1983158288;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</si>
  <si>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"1842.2975995314",
  "ERP": "0.2993262558",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</si>
  <si>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Price=1842.2975995314; ERP=0.2993262558;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</si>
  <si>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"1842.2975997589",
  "ERP": "1.1386969308",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</si>
  <si>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Price=1842.2975997589; ERP=1.1386969308;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</si>
  <si>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MESSAGE</t>
  </si>
  <si>
    <t>{
  "Organization Name": "PT Nawa Darsana Teknologi",
  "Publisher": "Microsoft",
  "Publisher Customer ID": "346fa229-7c19-44ef-85c6-29e00edf66cf",
  "Unit Price": "1.91906",
  "ERP": "45.79575",
  "BenefitType": "Charge",
  "Billing": "Loyalty",
  "Environment": "Staging",
  "Name": "message"
}</t>
  </si>
  <si>
    <t>Organization Name=PT Nawa Darsana Teknologi; Publisher=Microsoft; Publisher Customer ID=346fa229-7c19-44ef-85c6-29e00edf66cf; Unit Price=1.91906; ERP=45.79575; BenefitType=Charge; Billing=Loyalty; Environment=Staging; Name=message</t>
  </si>
  <si>
    <t>lush</t>
  </si>
  <si>
    <t>{
  "Organization Name": "PT Nawa Darsana Teknologi",
  "Publisher": "Microsoft",
  "Publisher Customer ID": "346fa229-7c19-44ef-85c6-29e00edf66cf",
  "Unit Price": "767.624",
  "ERP": "6.45502",
  "BenefitType": "Charge",
  "env": "Loyalty-Development"
}</t>
  </si>
  <si>
    <t>Organization Name=PT Nawa Darsana Teknologi; Publisher=Microsoft; Publisher Customer ID=346fa229-7c19-44ef-85c6-29e00edf66cf; Unit Price=767.624; ERP=6.45502; BenefitType=Charge; env=Loyalty-Development</t>
  </si>
  <si>
    <t>asp-rgloyaltyprod-b625</t>
  </si>
  <si>
    <t>{
  "Organization Name": "PT Nawa Darsana Teknologi",
  "Publisher": "Microsoft",
  "Publisher Customer ID": "346fa229-7c19-44ef-85c6-29e00edf66cf",
  "Unit Price": "3108.8772",
  "ERP": "421521.103710135",
  "BenefitType": "Charge"
}</t>
  </si>
  <si>
    <t>Organization Name=PT Nawa Darsana Teknologi; Publisher=Microsoft; Publisher Customer ID=346fa229-7c19-44ef-85c6-29e00edf66cf; Unit Price=3108.8772; ERP=421521.103710135; BenefitType=Charge</t>
  </si>
  <si>
    <t>{
  "Organization Name": "PT Nawa Darsana Teknologi",
  "Publisher": "Microsoft",
  "Publisher Customer ID": "346fa229-7c19-44ef-85c6-29e00edf66cf",
  "Unit Price": "222.61096",
  "ERP": "105640.4741388282",
  "BenefitType": "Charge"
}</t>
  </si>
  <si>
    <t>Organization Name=PT Nawa Darsana Teknologi; Publisher=Microsoft; Publisher Customer ID=346fa229-7c19-44ef-85c6-29e00edf66cf; Unit Price=222.61096; ERP=105640.4741388282; BenefitType=Charge</t>
  </si>
  <si>
    <t>mdm-staging</t>
  </si>
  <si>
    <t>dev.modakita.com</t>
  </si>
  <si>
    <t>aks-newuserpool-2591aks-newuserpool-25919OS__1_65da95f2113b404b9bfe12cc7c4693d2</t>
  </si>
  <si>
    <t>{
  "Organization Name": "PT Nawa Darsana Teknologi",
  "Publisher": "Microsoft",
  "Publisher Customer ID": "346fa229-7c19-44ef-85c6-29e00edf66cf",
  "Unit Price": "302597.3808",
  "ERP": "36.1053693",
  "BenefitType": "Charge",
  "aks-managed-consolidated-additional-properties": "10b49e4b-4c06-11f1-8bd6-5ec9d1cd8e46",
  "aks-managed-creationSource": "vmssclient-aks-newuserpool-25919024-vmss",
  "aks-managed-enable-imds-restriction": "False",
  "aks-managed-kubeletIdentityClientID": "d31d2c4f-e3b8-4665-b69b-b18c5ed27c30",
  "aks-managed-operationID": "83e7f825-8218-4a0f-ba20-b087a41e559b",
  "aks-managed-orchestrator": "Kubernetes:1.33.10",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</si>
  <si>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Price=302597.3808; ERP=36.1053693;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</t>
  </si>
  <si>
    <t>aks-newagentpool-220aks-newagentpool-2203OS__1_dadd2120b59d4d818facbdce31f300c7</t>
  </si>
  <si>
    <t>{
  "Organization Name": "PT Nawa Darsana Teknologi",
  "Publisher": "Microsoft",
  "Publisher Customer ID": "346fa229-7c19-44ef-85c6-29e00edf66cf",
  "Unit Price": "302597.3807999999",
  "ERP": "243418.27349268",
  "BenefitType": "Charge",
  "aks-managed-consolidated-additional-properties": "a432e131-4c04-11f1-8cae-6277d8c8ca4f",
  "aks-managed-creationSource": "vmssclient-aks-newagentpool-22031053-vmss",
  "aks-managed-enable-imds-restriction": "False",
  "aks-managed-kubeletIdentityClientID": "d31d2c4f-e3b8-4665-b69b-b18c5ed27c30",
  "aks-managed-operationID": "61c861c4-cc71-476c-bdc8-423df1ba9c46",
  "aks-managed-orchestrator": "Kubernetes:1.33.10",
  "aks-managed-poolName": "newagentpool",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</si>
  <si>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Price=302597.3807999999; ERP=243418.27349268; BenefitType=Charge; aks-managed-consolidated-additional-properties=a432e131-4c04-11f1-8cae-6277d8c8ca4f; aks-managed-creationSource=vmssclient-aks-newagentpool-22031053-vmss; aks-managed-enable-imds-restriction=False; aks-managed-kubeletIdentityClientID=d31d2c4f-e3b8-4665-b69b-b18c5ed27c30; aks-managed-operationID=61c861c4-cc71-476c-bdc8-423df1ba9c46; aks-managed-orchestrator=Kubernetes:1.33.10; aks-managed-poolName=newagentpool; aks-managed-resourceNameSuffix=36864977.0; aks-managed-ssh-access=LocalUser; compute.aks.billing=linux</t>
  </si>
  <si>
    <t>Azure Data Lake Storage Gen2 Hier Namespace</t>
  </si>
  <si>
    <t>Azure Data Lake Storage Gen2 Hierarchical Namespace</t>
  </si>
  <si>
    <t>Hot Iterative Read Operations</t>
  </si>
  <si>
    <t>MC_RG-Loyalty_Lakeside_southeastasia</t>
  </si>
  <si>
    <t>adls2analytics</t>
  </si>
  <si>
    <t>{
  "Organization Name": "PT Nawa Darsana Teknologi",
  "Publisher": "Microsoft",
  "Publisher Customer ID": "346fa229-7c19-44ef-85c6-29e00edf66cf",
  "Unit Price": "997.9112",
  "ERP": "2214.3422712554",
  "BenefitType": "Charge"
}</t>
  </si>
  <si>
    <t>Organization Name=PT Nawa Darsana Teknologi; Publisher=Microsoft; Publisher Customer ID=346fa229-7c19-44ef-85c6-29e00edf66cf; Unit Price=997.9112; ERP=2214.3422712554; BenefitType=Charge</t>
  </si>
  <si>
    <t>Hot GRS Write Operations</t>
  </si>
  <si>
    <t>{
  "Organization Name": "PT Nawa Darsana Teknologi",
  "Publisher": "Microsoft",
  "Publisher Customer ID": "346fa229-7c19-44ef-85c6-29e00edf66cf",
  "Unit Price": "1995.8224",
  "ERP": "1938.442506",
  "BenefitType": "Charge",
  "application": "databricks",
  "Billing": "Loyalty",
  "databricks-environment": "True"
}</t>
  </si>
  <si>
    <t>Organization Name=PT Nawa Darsana Teknologi; Publisher=Microsoft; Publisher Customer ID=346fa229-7c19-44ef-85c6-29e00edf66cf; Unit Price=1995.8224; ERP=1938.442506; BenefitType=Charge; application=databricks; Billing=Loyalty; databricks-environment=True</t>
  </si>
  <si>
    <t>{
  "Organization Name": "PT Nawa Darsana Teknologi",
  "Publisher": "Microsoft",
  "Publisher Customer ID": "346fa229-7c19-44ef-85c6-29e00edf66cf",
  "Unit Price": "153.524799995",
  "ERP": "37.0282609554",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</si>
  <si>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Price=153.524799995; ERP=37.0282609554;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</si>
  <si>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"153.5247992498",
  "ERP": "0.146424278",
  "BenefitType": "Charge",
  "aks-managed-consolidated-additional-properties": "ebfb66c7-4c03-11f1-ad6b-a26c3881ebea",
  "aks-managed-creationSource": "vmssclient-aks-udbziumeph-39962470-vmss",
  "aks-managed-enable-imds-restriction": "False",
  "aks-managed-kubeletIdentityClientID": "b2aa22d3-2063-4e90-a9df-47ffb8a7aae1",
  "aks-managed-operationID": "a8de8d52-26ef-400f-baca-26615e975193",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</si>
  <si>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Price=153.5247992498; ERP=0.146424278;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</t>
  </si>
  <si>
    <t>Hot GRS Index</t>
  </si>
  <si>
    <t>{
  "Organization Name": "PT Nawa Darsana Teknologi",
  "Publisher": "Microsoft",
  "Publisher Customer ID": "346fa229-7c19-44ef-85c6-29e00edf66cf",
  "Unit Price": "878.161856",
  "ERP": "30.5550430328",
  "BenefitType": "Charge",
  "application": "databricks",
  "Billing": "Loyalty",
  "databricks-environment": "True"
}</t>
  </si>
  <si>
    <t>Organization Name=PT Nawa Darsana Teknologi; Publisher=Microsoft; Publisher Customer ID=346fa229-7c19-44ef-85c6-29e00edf66cf; Unit Price=878.161856; ERP=30.5550430328; BenefitType=Charge; application=databricks; Billing=Loyalty; databricks-environment=True</t>
  </si>
  <si>
    <t>Hot Other Operations</t>
  </si>
  <si>
    <t>{
  "Organization Name": "PT Nawa Darsana Teknologi",
  "Publisher": "Microsoft",
  "Publisher Customer ID": "346fa229-7c19-44ef-85c6-29e00edf66cf",
  "Unit Price": "79.832896",
  "ERP": "1042.9895687354",
  "BenefitType": "Charge"
}</t>
  </si>
  <si>
    <t>Organization Name=PT Nawa Darsana Teknologi; Publisher=Microsoft; Publisher Customer ID=346fa229-7c19-44ef-85c6-29e00edf66cf; Unit Price=79.832896; ERP=1042.9895687354; BenefitType=Charge</t>
  </si>
  <si>
    <t>Hot Read Operations</t>
  </si>
  <si>
    <t>{
  "Organization Name": "PT Nawa Darsana Teknologi",
  "Publisher": "Microsoft",
  "Publisher Customer ID": "346fa229-7c19-44ef-85c6-29e00edf66cf",
  "Unit Price": "79.832896",
  "ERP": "12918.3868624954",
  "BenefitType": "Charge"
}</t>
  </si>
  <si>
    <t>Organization Name=PT Nawa Darsana Teknologi; Publisher=Microsoft; Publisher Customer ID=346fa229-7c19-44ef-85c6-29e00edf66cf; Unit Price=79.832896; ERP=12918.3868624954; BenefitType=Charge</t>
  </si>
  <si>
    <t>Hot Write Operations</t>
  </si>
  <si>
    <t>{
  "Organization Name": "PT Nawa Darsana Teknologi",
  "Publisher": "Microsoft",
  "Publisher Customer ID": "346fa229-7c19-44ef-85c6-29e00edf66cf",
  "Unit Price": "997.9112",
  "ERP": "44605.4966482554",
  "BenefitType": "Charge"
}</t>
  </si>
  <si>
    <t>Organization Name=PT Nawa Darsana Teknologi; Publisher=Microsoft; Publisher Customer ID=346fa229-7c19-44ef-85c6-29e00edf66cf; Unit Price=997.9112; ERP=44605.4966482554; BenefitType=Charge</t>
  </si>
  <si>
    <t>{
  "Organization Name": "PT Nawa Darsana Teknologi",
  "Publisher": "Microsoft",
  "Publisher Customer ID": "346fa229-7c19-44ef-85c6-29e00edf66cf",
  "Unit Price": "153.5247999511",
  "ERP": "0.5681429468",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</si>
  <si>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Price=153.5247999511; ERP=0.5681429468;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</si>
  <si>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"153.5247991992",
  "ERP": "0.045787027",
  "BenefitType": "Charge",
  "aks-managed-consolidated-additional-properties": "de1ef251-3b84-11f1-95e3-2e4ba821b3e8",
  "aks-managed-creationSource": "vmssclient-aks-usereph-29326849-vmss",
  "aks-managed-enable-imds-restriction": "False",
  "aks-managed-kubeletIdentityClientID": "b2aa22d3-2063-4e90-a9df-47ffb8a7aae1",
  "aks-managed-operationID": "583623f0-ca12-4a44-a1c9-b965876cced6",
  "aks-managed-orchestrator": "Kubernetes:1.33.8",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</si>
  <si>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Price=153.5247991992; ERP=0.045787027;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</si>
  <si>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"153.5247999876",
  "ERP": "20.3304675574",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</si>
  <si>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Price=153.5247999876; ERP=20.3304675574;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</si>
  <si>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"153.5247999778",
  "ERP": "0.9282248976",
  "BenefitType": "Charge",
  "aks-managed-consolidated-additional-properties": "325204be-59a1-11f1-be0b-d69bb301ee57",
  "aks-managed-creationSource": "vmssclient-aks-udbziumeph-39962470-vmss",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</si>
  <si>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Price=153.5247999778; ERP=0.9282248976;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</si>
  <si>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"153.5247992297",
  "ERP": "0.0576991558",
  "BenefitType": "Charge",
  "aks-managed-consolidated-additional-properties": "311ee467-57da-11f1-a161-cad1f54d4175",
  "aks-managed-creationSource": "vmssclient-aks-usereph-29326849-vmss",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</si>
  <si>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Price=153.5247992297; ERP=0.0576991558;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</si>
  <si>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"153.5247999672",
  "ERP": "0.0137596602",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</si>
  <si>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Price=153.5247999672; ERP=0.0137596602;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</si>
  <si>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"153.5247999832",
  "ERP": "6.6531210746",
  "BenefitType": "Charge",
  "aks-managed-consolidated-additional-properties": "15045eb0-3b89-11f1-a6a3-86db6cef6fbe",
  "aks-managed-creationSource": "vmssclient-aks-systemeph-24765003-vmss",
  "aks-managed-enable-imds-restriction": "False",
  "aks-managed-kubeletIdentityClientID": "f876420b-ca69-40d9-b52b-83d95239c056",
  "aks-managed-operationID": "38fa9548-8e62-44fd-b77d-ad28dae20f6a",
  "aks-managed-orchestrator": "Kubernetes:1.33.8",
  "aks-managed-poolName": "systemeph",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</si>
  <si>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Price=153.5247999832; ERP=6.6531210746; BenefitType=Charge; aks-managed-consolidated-additional-properties=15045eb0-3b89-11f1-a6a3-86db6cef6fbe; aks-managed-creationSource=vmssclient-aks-systemeph-24765003-vmss; aks-managed-enable-imds-restriction=False; aks-managed-kubeletIdentityClientID=f876420b-ca69-40d9-b52b-83d95239c056; aks-managed-operationID=38fa9548-8e62-44fd-b77d-ad28dae20f6a; aks-managed-orchestrator=Kubernetes:1.33.8; aks-managed-poolName=systemeph;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</si>
  <si>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"153.5247999975",
  "ERP": "17.1882109256",
  "BenefitType": "Charge",
  "aks-managed-consolidated-additional-properties": "de1ef251-3b84-11f1-95e3-2e4ba821b3e8",
  "aks-managed-creationSource": "vmssclient-aks-usereph-29326849-vmss",
  "aks-managed-enable-imds-restriction": "False",
  "aks-managed-kubeletIdentityClientID": "b2aa22d3-2063-4e90-a9df-47ffb8a7aae1",
  "aks-managed-operationID": "583623f0-ca12-4a44-a1c9-b965876cced6",
  "aks-managed-orchestrator": "Kubernetes:1.33.8",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</si>
  <si>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Price=153.5247999975; ERP=17.1882109256;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</si>
  <si>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"153.524799945",
  "ERP": "0.0605131956",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</si>
  <si>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Price=153.524799945; ERP=0.0605131956;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</si>
  <si>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"997.9112",
  "ERP": "3343.682914",
  "BenefitType": "Charge"
}</t>
  </si>
  <si>
    <t>Organization Name=PT Nawa Darsana Teknologi; Publisher=Microsoft; Publisher Customer ID=346fa229-7c19-44ef-85c6-29e00edf66cf; Unit Price=997.9112; ERP=3343.682914; BenefitType=Charge</t>
  </si>
  <si>
    <t>{
  "Organization Name": "PT Nawa Darsana Teknologi",
  "Publisher": "Microsoft",
  "Publisher Customer ID": "346fa229-7c19-44ef-85c6-29e00edf66cf",
  "Unit Price": "153.5247981999",
  "ERP": "0.0039829218",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</si>
  <si>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Price=153.5247981999; ERP=0.0039829218;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</si>
  <si>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"1228.1983999952",
  "ERP": "422.1018858914",
  "BenefitType": "Charge",
  "aks-managed-consolidated-additional-properties": "ebfb66c7-4c03-11f1-ad6b-a26c3881ebea",
  "aks-managed-creationSource": "vmssclient-aks-udbziumeph-39962470-vmss",
  "aks-managed-enable-imds-restriction": "False",
  "aks-managed-kubeletIdentityClientID": "b2aa22d3-2063-4e90-a9df-47ffb8a7aae1",
  "aks-managed-operationID": "a8de8d52-26ef-400f-baca-26615e975193",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</si>
  <si>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Price=1228.1983999952; ERP=422.1018858914;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</si>
  <si>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"1228.1983999963",
  "ERP": "120.0816397066",
  "BenefitType": "Charge",
  "aks-managed-consolidated-additional-properties": "325204be-59a1-11f1-be0b-d69bb301ee57",
  "aks-managed-creationSource": "vmssclient-aks-udbziumeph-39962470-vmss",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</si>
  <si>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Price=1228.1983999963; ERP=120.0816397066;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</si>
  <si>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"1228.1983999702",
  "ERP": "84.1655298484",
  "BenefitType": "Charge",
  "aks-managed-consolidated-additional-properties": "4f38eb20-4c0a-11f1-8bd6-5ec9d1cd8e46",
  "aks-managed-creationSource": "vmssclient-aks-usereph-42924794-vmss",
  "aks-managed-enable-imds-restriction": "False",
  "aks-managed-kubeletIdentityClientID": "d31d2c4f-e3b8-4665-b69b-b18c5ed27c30",
  "aks-managed-operationID": "42aae2a1-8c14-4723-8a5e-5dcc01625a2f",
  "aks-managed-orchestrator": "Kubernetes:1.33.10",
  "aks-managed-poolName": "usereph",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</si>
  <si>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Price=1228.1983999702; ERP=84.1655298484;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</t>
  </si>
  <si>
    <t>General Block Blob v2 Hierarchical Namespace</t>
  </si>
  <si>
    <t>Hot LRS Other Operations</t>
  </si>
  <si>
    <t>{
  "Organization Name": "PT Nawa Darsana Teknologi",
  "Publisher": "Microsoft",
  "Publisher Customer ID": "346fa229-7c19-44ef-85c6-29e00edf66cf",
  "Unit Price": "76.7624",
  "ERP": "0.846131",
  "BenefitType": "Charge"
}</t>
  </si>
  <si>
    <t>Organization Name=PT Nawa Darsana Teknologi; Publisher=Microsoft; Publisher Customer ID=346fa229-7c19-44ef-85c6-29e00edf66cf; Unit Price=76.7624; ERP=0.846131; BenefitType=Charge</t>
  </si>
  <si>
    <t>{
  "Organization Name": "PT Nawa Darsana Teknologi",
  "Publisher": "Microsoft",
  "Publisher Customer ID": "346fa229-7c19-44ef-85c6-29e00edf66cf",
  "Unit Price": "1092.0669436644",
  "ERP": "36.884132571",
  "BenefitType": "Charge",
  "aks-managed-consolidated-additional-properties": "2a985bfc-3b84-11f1-95e3-2e4ba821b3e8",
  "aks-managed-creationSource": "vmssclient-aks-newuserpool-25919024-vmss",
  "aks-managed-enable-imds-restriction": "False",
  "aks-managed-kubeletIdentityClientID": "d31d2c4f-e3b8-4665-b69b-b18c5ed27c30",
  "aks-managed-operationID": "fc4a52d4-889b-4642-9d1f-4755ccdf8ad9",
  "aks-managed-orchestrator": "Kubernetes:1.33.8",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</si>
  <si>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Price=1092.0669436644; ERP=36.884132571;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</si>
  <si>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"7676.24",
  "ERP": "716.77283535",
  "BenefitType": "Charge",
  "Billing": "Loyalty",
  "BillingOriginProduct": "PREDICTIVE_OPTIMIZATION",
  "ClusterId": "0503-185502-mp2ann7v-v2n",
  "ClusterName": "job-870260662380481-run-578082155054987-Predictive-Optimization",
  "Creator": "a25b9e47-2518-438d-90ee-1cd792b5b46d",
  "JobId": "870260662380481.0",
  "Predictive Optimization": "True",
  "RunName": "Predictive Optimization Job-3d5215b4-cb47-409a-952d-abc9aca57f56",
  "Vendor": "Databricks"
}</t>
  </si>
  <si>
    <t>Organization Name=PT Nawa Darsana Teknologi; Publisher=Microsoft; Publisher Customer ID=346fa229-7c19-44ef-85c6-29e00edf66cf; Unit Price=7676.24; ERP=716.77283535; BenefitType=Charge; Billing=Loyalty; BillingOriginProduct=PREDICTIVE_OPTIMIZATION; ClusterId=0503-185502-mp2ann7v-v2n; ClusterName=job-870260662380481-run-578082155054987-Predictive-Optimization; Creator=a25b9e47-2518-438d-90ee-1cd792b5b46d; JobId=870260662380481.0; Predictive Optimization=True; RunName=Predictive Optimization Job-3d5215b4-cb47-409a-952d-abc9aca57f56; Vendor=Databricks</t>
  </si>
  <si>
    <t>{
  "Organization Name": "PT Nawa Darsana Teknologi",
  "Publisher": "Microsoft",
  "Publisher Customer ID": "346fa229-7c19-44ef-85c6-29e00edf66cf",
  "Unit Price": "7676.24",
  "ERP": "1036.031364225",
  "BenefitType": "Charge",
  "Billing": "Loyalty",
  "BillingOriginProduct": "PREDICTIVE_OPTIMIZATION",
  "ClusterId": "0512-190839-7nqjhod0-v2n",
  "ClusterName": "job-1050202713140307-run-1090993764201671-Predictive-Optimizati",
  "Creator": "a25b9e47-2518-438d-90ee-1cd792b5b46d",
  "JobId": "1050202713140307.0",
  "Predictive Optimization": "True",
  "RunName": "Predictive Optimization Job-2c75ffde-6279-45f2-b193-b5c2715b4068",
  "Vendor": "Databricks"
}</t>
  </si>
  <si>
    <t>Organization Name=PT Nawa Darsana Teknologi; Publisher=Microsoft; Publisher Customer ID=346fa229-7c19-44ef-85c6-29e00edf66cf; Unit Price=7676.24; ERP=1036.031364225; BenefitType=Charge; Billing=Loyalty; BillingOriginProduct=PREDICTIVE_OPTIMIZATION; ClusterId=0512-190839-7nqjhod0-v2n; ClusterName=job-1050202713140307-run-1090993764201671-Predictive-Optimizati; Creator=a25b9e47-2518-438d-90ee-1cd792b5b46d; JobId=1050202713140307.0; Predictive Optimization=True; RunName=Predictive Optimization Job-2c75ffde-6279-45f2-b193-b5c2715b4068; Vendor=Databricks</t>
  </si>
  <si>
    <t>{
  "Organization Name": "PT Nawa Darsana Teknologi",
  "Publisher": "Microsoft",
  "Publisher Customer ID": "346fa229-7c19-44ef-85c6-29e00edf66cf",
  "Unit Price": "7676.2399999981",
  "ERP": "546.2415280036",
  "BenefitType": "Charge",
  "Billing": "Loyalty",
  "BillingOriginProduct": "PREDICTIVE_OPTIMIZATION",
  "ClusterId": "0514-080118-31s4lgof-v2n",
  "ClusterName": "job-771909375324403-run-348974906673637-Predictive-Optimization",
  "Creator": "a25b9e47-2518-438d-90ee-1cd792b5b46d",
  "JobId": "771909375324403.0",
  "Predictive Optimization": "True",
  "RunName": "Predictive Optimization Job-8059ed58-aeaa-4441-bbd8-1df9480013a3",
  "Vendor": "Databricks"
}</t>
  </si>
  <si>
    <t>Organization Name=PT Nawa Darsana Teknologi; Publisher=Microsoft; Publisher Customer ID=346fa229-7c19-44ef-85c6-29e00edf66cf; Unit Price=7676.2399999981; ERP=546.2415280036; BenefitType=Charge; Billing=Loyalty; BillingOriginProduct=PREDICTIVE_OPTIMIZATION; ClusterId=0514-080118-31s4lgof-v2n; ClusterName=job-771909375324403-run-348974906673637-Predictive-Optimization; Creator=a25b9e47-2518-438d-90ee-1cd792b5b46d; JobId=771909375324403.0; Predictive Optimization=True; RunName=Predictive Optimization Job-8059ed58-aeaa-4441-bbd8-1df9480013a3; Vendor=Databricks</t>
  </si>
  <si>
    <t>{
  "Organization Name": "PT Nawa Darsana Teknologi",
  "Publisher": "Microsoft",
  "Publisher Customer ID": "346fa229-7c19-44ef-85c6-29e00edf66cf",
  "Unit Price": "7676.2399999997",
  "ERP": "3062.1673511286",
  "BenefitType": "Charge",
  "Billing": "Loyalty",
  "BillingOriginProduct": "JOBS",
  "ClusterId": "0511-181129-dpgb80mf-v2n",
  "ClusterName": "job-866641465762645-run-427940430110588-X_Databricks_Computeles",
  "Creator": "deo.haganta@divisiinovasi.onmicrosoft.com",
  "JobId": "866641465762645.0",
  "RunName": "Job Daily DWH Production",
  "Vendor": "Databricks"
}</t>
  </si>
  <si>
    <t>Organization Name=PT Nawa Darsana Teknologi; Publisher=Microsoft; Publisher Customer ID=346fa229-7c19-44ef-85c6-29e00edf66cf; Unit Price=7676.2399999997; ERP=3062.1673511286; BenefitType=Charge; Billing=Loyalty; BillingOriginProduct=JOBS; ClusterId=0511-181129-dpgb80mf-v2n; ClusterName=job-866641465762645-run-427940430110588-X_Databricks_Computeles; Creator=deo.haganta@divisiinovasi.onmicrosoft.com; JobId=866641465762645.0; RunName=Job Daily DWH Production; Vendor=Databricks</t>
  </si>
  <si>
    <t>{
  "Organization Name": "PT Nawa Darsana Teknologi",
  "Publisher": "Microsoft",
  "Publisher Customer ID": "346fa229-7c19-44ef-85c6-29e00edf66cf",
  "Unit Price": "7676.24",
  "ERP": "1220.9016105",
  "BenefitType": "Charge",
  "Billing": "Loyalty",
  "BillingOriginProduct": "PREDICTIVE_OPTIMIZATION",
  "ClusterId": "0509-201600-lukdyt8h-v2n",
  "ClusterName": "job-246101019416390-run-368010177966613-Predictive-Optimization",
  "Creator": "a25b9e47-2518-438d-90ee-1cd792b5b46d",
  "JobId": "246101019416390.0",
  "Predictive Optimization": "True",
  "RunName": "Predictive Optimization Job-58b12522-bcd7-4b8d-9300-ac040000028a",
  "Vendor": "Databricks"
}</t>
  </si>
  <si>
    <t>Organization Name=PT Nawa Darsana Teknologi; Publisher=Microsoft; Publisher Customer ID=346fa229-7c19-44ef-85c6-29e00edf66cf; Unit Price=7676.24; ERP=1220.9016105; BenefitType=Charge; Billing=Loyalty; BillingOriginProduct=PREDICTIVE_OPTIMIZATION; ClusterId=0509-201600-lukdyt8h-v2n; ClusterName=job-246101019416390-run-368010177966613-Predictive-Optimization; Creator=a25b9e47-2518-438d-90ee-1cd792b5b46d; JobId=246101019416390.0; Predictive Optimization=True; RunName=Predictive Optimization Job-58b12522-bcd7-4b8d-9300-ac040000028a; Vendor=Databricks</t>
  </si>
  <si>
    <t>{
  "Organization Name": "PT Nawa Darsana Teknologi",
  "Publisher": "Microsoft",
  "Publisher Customer ID": "346fa229-7c19-44ef-85c6-29e00edf66cf",
  "Unit Price": "7676.24",
  "ERP": "367.07910525",
  "BenefitType": "Charge",
  "Billing": "Loyalty",
  "BillingOriginProduct": "PREDICTIVE_OPTIMIZATION",
  "ClusterId": "0510-172318-ppdi0zlo-v2n",
  "ClusterName": "job-875887005347832-run-393537870546615-Predictive-Optimization",
  "Creator": "a25b9e47-2518-438d-90ee-1cd792b5b46d",
  "JobId": "875887005347832.0",
  "Predictive Optimization": "True",
  "RunName": "Predictive Optimization Job-41034f65-74fa-4a5e-b56e-b7dd8498ad66",
  "Vendor": "Databricks"
}</t>
  </si>
  <si>
    <t>Organization Name=PT Nawa Darsana Teknologi; Publisher=Microsoft; Publisher Customer ID=346fa229-7c19-44ef-85c6-29e00edf66cf; Unit Price=7676.24; ERP=367.07910525; BenefitType=Charge; Billing=Loyalty; BillingOriginProduct=PREDICTIVE_OPTIMIZATION; ClusterId=0510-172318-ppdi0zlo-v2n; ClusterName=job-875887005347832-run-393537870546615-Predictive-Optimization; Creator=a25b9e47-2518-438d-90ee-1cd792b5b46d; JobId=875887005347832.0; Predictive Optimization=True; RunName=Predictive Optimization Job-41034f65-74fa-4a5e-b56e-b7dd8498ad66; Vendor=Databricks</t>
  </si>
  <si>
    <t>{
  "Organization Name": "PT Nawa Darsana Teknologi",
  "Publisher": "Microsoft",
  "Publisher Customer ID": "346fa229-7c19-44ef-85c6-29e00edf66cf",
  "Unit Price": "7676.2399999997",
  "ERP": "3126.1232967536",
  "BenefitType": "Charge",
  "Billing": "Loyalty",
  "BillingOriginProduct": "JOBS",
  "ClusterId": "0509-181440-so5sr7cv-v2n",
  "ClusterName": "job-866641465762645-run-696208097682266-X_Databricks_Computeles",
  "Creator": "deo.haganta@divisiinovasi.onmicrosoft.com",
  "JobId": "866641465762645.0",
  "RunName": "Job Daily DWH Production",
  "Vendor": "Databricks"
}</t>
  </si>
  <si>
    <t>Organization Name=PT Nawa Darsana Teknologi; Publisher=Microsoft; Publisher Customer ID=346fa229-7c19-44ef-85c6-29e00edf66cf; Unit Price=7676.2399999997; ERP=3126.1232967536; BenefitType=Charge; Billing=Loyalty; BillingOriginProduct=JOBS; ClusterId=0509-181440-so5sr7cv-v2n; ClusterName=job-866641465762645-run-696208097682266-X_Databricks_Computeles; Creator=deo.haganta@divisiinovasi.onmicrosoft.com; JobId=866641465762645.0; RunName=Job Daily DWH Production; Vendor=Databricks</t>
  </si>
  <si>
    <t>{
  "Organization Name": "PT Nawa Darsana Teknologi",
  "Publisher": "Microsoft",
  "Publisher Customer ID": "346fa229-7c19-44ef-85c6-29e00edf66cf",
  "Unit Price": "7676.24",
  "ERP": "434.24184375",
  "BenefitType": "Charge",
  "Billing": "Loyalty",
  "BillingOriginProduct": "PREDICTIVE_OPTIMIZATION",
  "ClusterId": "0508-190448-6dl4h8aa-v2n",
  "ClusterName": "job-714142458376180-run-123583021504320-Predictive-Optimization",
  "Creator": "a25b9e47-2518-438d-90ee-1cd792b5b46d",
  "JobId": "714142458376180.0",
  "Predictive Optimization": "True",
  "RunName": "Predictive Optimization Job-c6db9ca6-3d3b-4c7b-97a6-d418d49bb7a7",
  "Vendor": "Databricks"
}</t>
  </si>
  <si>
    <t>Organization Name=PT Nawa Darsana Teknologi; Publisher=Microsoft; Publisher Customer ID=346fa229-7c19-44ef-85c6-29e00edf66cf; Unit Price=7676.24; ERP=434.24184375; BenefitType=Charge; Billing=Loyalty; BillingOriginProduct=PREDICTIVE_OPTIMIZATION; ClusterId=0508-190448-6dl4h8aa-v2n; ClusterName=job-714142458376180-run-123583021504320-Predictive-Optimization; Creator=a25b9e47-2518-438d-90ee-1cd792b5b46d; JobId=714142458376180.0; Predictive Optimization=True; RunName=Predictive Optimization Job-c6db9ca6-3d3b-4c7b-97a6-d418d49bb7a7; Vendor=Databricks</t>
  </si>
  <si>
    <t>{
  "Organization Name": "PT Nawa Darsana Teknologi",
  "Publisher": "Microsoft",
  "Publisher Customer ID": "346fa229-7c19-44ef-85c6-29e00edf66cf",
  "Unit Price": "7676.24",
  "ERP": "507.5654173304",
  "BenefitType": "Charge",
  "Billing": "Loyalty",
  "BillingOriginProduct": "PREDICTIVE_OPTIMIZATION",
  "ClusterId": "0515-204723-60mlp0nv-v2n",
  "ClusterName": "job-815943361532147-run-814553661175184-Predictive-Optimization",
  "Creator": "a25b9e47-2518-438d-90ee-1cd792b5b46d",
  "JobId": "815943361532147.0",
  "Predictive Optimization": "True",
  "RunName": "Predictive Optimization Job-62cc6da0-80ba-4257-8625-791207672cc7",
  "Vendor": "Databricks"
}</t>
  </si>
  <si>
    <t>Organization Name=PT Nawa Darsana Teknologi; Publisher=Microsoft; Publisher Customer ID=346fa229-7c19-44ef-85c6-29e00edf66cf; Unit Price=7676.24; ERP=507.5654173304; BenefitType=Charge; Billing=Loyalty; BillingOriginProduct=PREDICTIVE_OPTIMIZATION; ClusterId=0515-204723-60mlp0nv-v2n; ClusterName=job-815943361532147-run-814553661175184-Predictive-Optimization; Creator=a25b9e47-2518-438d-90ee-1cd792b5b46d; JobId=815943361532147.0; Predictive Optimization=True; RunName=Predictive Optimization Job-62cc6da0-80ba-4257-8625-791207672cc7; Vendor=Databricks</t>
  </si>
  <si>
    <t>{
  "Organization Name": "PT Nawa Darsana Teknologi",
  "Publisher": "Microsoft",
  "Publisher Customer ID": "346fa229-7c19-44ef-85c6-29e00edf66cf",
  "Unit Price": "7676.2399999991",
  "ERP": "1148.6724297334",
  "BenefitType": "Charge",
  "Billing": "Loyalty",
  "BillingOriginProduct": "PREDICTIVE_OPTIMIZATION",
  "Creator": "a25b9e47-2518-438d-90ee-1cd792b5b46d",
  "JobId": "246101019416390.0",
  "Predictive Optimization": "True",
  "Vendor": "Databricks"
}</t>
  </si>
  <si>
    <t>Organization Name=PT Nawa Darsana Teknologi; Publisher=Microsoft; Publisher Customer ID=346fa229-7c19-44ef-85c6-29e00edf66cf; Unit Price=7676.2399999991; ERP=1148.6724297334; BenefitType=Charge; Billing=Loyalty; BillingOriginProduct=PREDICTIVE_OPTIMIZATION; Creator=a25b9e47-2518-438d-90ee-1cd792b5b46d; JobId=246101019416390.0; Predictive Optimization=True; Vendor=Databricks</t>
  </si>
  <si>
    <t>{
  "Organization Name": "PT Nawa Darsana Teknologi",
  "Publisher": "Microsoft",
  "Publisher Customer ID": "346fa229-7c19-44ef-85c6-29e00edf66cf",
  "Unit Price": "7676.2399999988",
  "ERP": "910.1600286636",
  "BenefitType": "Charge",
  "Billing": "Loyalty",
  "BillingOriginProduct": "PREDICTIVE_OPTIMIZATION",
  "Creator": "a25b9e47-2518-438d-90ee-1cd792b5b46d",
  "JobId": "609332099796807.0",
  "Predictive Optimization": "True",
  "Vendor": "Databricks"
}</t>
  </si>
  <si>
    <t>Organization Name=PT Nawa Darsana Teknologi; Publisher=Microsoft; Publisher Customer ID=346fa229-7c19-44ef-85c6-29e00edf66cf; Unit Price=7676.2399999988; ERP=910.1600286636; BenefitType=Charge; Billing=Loyalty; BillingOriginProduct=PREDICTIVE_OPTIMIZATION; Creator=a25b9e47-2518-438d-90ee-1cd792b5b46d; JobId=609332099796807.0; Predictive Optimization=True; Vendor=Databricks</t>
  </si>
  <si>
    <t>{
  "Organization Name": "PT Nawa Darsana Teknologi",
  "Publisher": "Microsoft",
  "Publisher Customer ID": "346fa229-7c19-44ef-85c6-29e00edf66cf",
  "Unit Price": "7676.2399999998",
  "ERP": "911.7578833792",
  "BenefitType": "Charge",
  "Billing": "Loyalty",
  "BillingOriginProduct": "PREDICTIVE_OPTIMIZATION",
  "Creator": "a25b9e47-2518-438d-90ee-1cd792b5b46d",
  "JobId": "611886856002411.0",
  "Predictive Optimization": "True",
  "Vendor": "Databricks"
}</t>
  </si>
  <si>
    <t>Organization Name=PT Nawa Darsana Teknologi; Publisher=Microsoft; Publisher Customer ID=346fa229-7c19-44ef-85c6-29e00edf66cf; Unit Price=7676.2399999998; ERP=911.7578833792; BenefitType=Charge; Billing=Loyalty; BillingOriginProduct=PREDICTIVE_OPTIMIZATION; Creator=a25b9e47-2518-438d-90ee-1cd792b5b46d; JobId=611886856002411.0; Predictive Optimization=True; Vendor=Databricks</t>
  </si>
  <si>
    <t>{
  "Organization Name": "PT Nawa Darsana Teknologi",
  "Publisher": "Microsoft",
  "Publisher Customer ID": "346fa229-7c19-44ef-85c6-29e00edf66cf",
  "Unit Price": "7676.2399999989",
  "ERP": "984.4369406586",
  "BenefitType": "Charge",
  "Billing": "Loyalty",
  "BillingOriginProduct": "PREDICTIVE_OPTIMIZATION",
  "Creator": "a25b9e47-2518-438d-90ee-1cd792b5b46d",
  "JobId": "599355254332521.0",
  "Predictive Optimization": "True",
  "Vendor": "Databricks"
}</t>
  </si>
  <si>
    <t>Organization Name=PT Nawa Darsana Teknologi; Publisher=Microsoft; Publisher Customer ID=346fa229-7c19-44ef-85c6-29e00edf66cf; Unit Price=7676.2399999989; ERP=984.4369406586; BenefitType=Charge; Billing=Loyalty; BillingOriginProduct=PREDICTIVE_OPTIMIZATION; Creator=a25b9e47-2518-438d-90ee-1cd792b5b46d; JobId=599355254332521.0; Predictive Optimization=True; Vendor=Databricks</t>
  </si>
  <si>
    <t>{
  "Organization Name": "PT Nawa Darsana Teknologi",
  "Publisher": "Microsoft",
  "Publisher Customer ID": "346fa229-7c19-44ef-85c6-29e00edf66cf",
  "Unit Price": "7676.2399999996",
  "ERP": "1811.9380463756",
  "BenefitType": "Charge",
  "Billing": "Loyalty",
  "BillingOriginProduct": "PREDICTIVE_OPTIMIZATION",
  "Creator": "a25b9e47-2518-438d-90ee-1cd792b5b46d",
  "JobId": "636010678622618.0",
  "Predictive Optimization": "True",
  "Vendor": "Databricks"
}</t>
  </si>
  <si>
    <t>Organization Name=PT Nawa Darsana Teknologi; Publisher=Microsoft; Publisher Customer ID=346fa229-7c19-44ef-85c6-29e00edf66cf; Unit Price=7676.2399999996; ERP=1811.9380463756; BenefitType=Charge; Billing=Loyalty; BillingOriginProduct=PREDICTIVE_OPTIMIZATION; Creator=a25b9e47-2518-438d-90ee-1cd792b5b46d; JobId=636010678622618.0; Predictive Optimization=True; Vendor=Databricks</t>
  </si>
  <si>
    <t>{
  "Organization Name": "PT Nawa Darsana Teknologi",
  "Publisher": "Microsoft",
  "Publisher Customer ID": "346fa229-7c19-44ef-85c6-29e00edf66cf",
  "Unit Price": "7676.2399999984",
  "ERP": "785.8235695024",
  "BenefitType": "Charge",
  "Billing": "Loyalty",
  "BillingOriginProduct": "PREDICTIVE_OPTIMIZATION",
  "Creator": "a25b9e47-2518-438d-90ee-1cd792b5b46d",
  "JobId": "637935047936452.0",
  "Predictive Optimization": "True",
  "Vendor": "Databricks"
}</t>
  </si>
  <si>
    <t>Organization Name=PT Nawa Darsana Teknologi; Publisher=Microsoft; Publisher Customer ID=346fa229-7c19-44ef-85c6-29e00edf66cf; Unit Price=7676.2399999984; ERP=785.8235695024; BenefitType=Charge; Billing=Loyalty; BillingOriginProduct=PREDICTIVE_OPTIMIZATION; Creator=a25b9e47-2518-438d-90ee-1cd792b5b46d; JobId=637935047936452.0; Predictive Optimization=True; Vendor=Databricks</t>
  </si>
  <si>
    <t>{
  "Organization Name": "PT Nawa Darsana Teknologi",
  "Publisher": "Microsoft",
  "Publisher Customer ID": "346fa229-7c19-44ef-85c6-29e00edf66cf",
  "Unit Price": "7676.2399999995",
  "ERP": "997.844765632",
  "BenefitType": "Charge",
  "Billing": "Loyalty",
  "BillingOriginProduct": "PREDICTIVE_OPTIMIZATION",
  "Creator": "a25b9e47-2518-438d-90ee-1cd792b5b46d",
  "JobId": "64024459125987.0",
  "Predictive Optimization": "True",
  "Vendor": "Databricks"
}</t>
  </si>
  <si>
    <t>Organization Name=PT Nawa Darsana Teknologi; Publisher=Microsoft; Publisher Customer ID=346fa229-7c19-44ef-85c6-29e00edf66cf; Unit Price=7676.2399999995; ERP=997.844765632; BenefitType=Charge; Billing=Loyalty; BillingOriginProduct=PREDICTIVE_OPTIMIZATION; Creator=a25b9e47-2518-438d-90ee-1cd792b5b46d; JobId=64024459125987.0; Predictive Optimization=True; Vendor=Databricks</t>
  </si>
  <si>
    <t>{
  "Organization Name": "PT Nawa Darsana Teknologi",
  "Publisher": "Microsoft",
  "Publisher Customer ID": "346fa229-7c19-44ef-85c6-29e00edf66cf",
  "Unit Price": "7676.2399999988",
  "ERP": "877.7279146636",
  "BenefitType": "Charge",
  "Billing": "Loyalty",
  "BillingOriginProduct": "PREDICTIVE_OPTIMIZATION",
  "Creator": "a25b9e47-2518-438d-90ee-1cd792b5b46d",
  "JobId": "737826793353587.0",
  "Predictive Optimization": "True",
  "Vendor": "Databricks"
}</t>
  </si>
  <si>
    <t>Organization Name=PT Nawa Darsana Teknologi; Publisher=Microsoft; Publisher Customer ID=346fa229-7c19-44ef-85c6-29e00edf66cf; Unit Price=7676.2399999988; ERP=877.7279146636; BenefitType=Charge; Billing=Loyalty; BillingOriginProduct=PREDICTIVE_OPTIMIZATION; Creator=a25b9e47-2518-438d-90ee-1cd792b5b46d; JobId=737826793353587.0; Predictive Optimization=True; Vendor=Databricks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</si>
  <si>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"311ee467-57da-11f1-a161-cad1f54d4175",
  "aks-managed-creationSource": "vmssclient-aks-usereph-29326849-vmss",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</si>
  <si>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</si>
  <si>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"de1ef251-3b84-11f1-95e3-2e4ba821b3e8",
  "aks-managed-creationSource": "vmssclient-aks-usereph-29326849-vmss",
  "aks-managed-enable-imds-restriction": "False",
  "aks-managed-kubeletIdentityClientID": "b2aa22d3-2063-4e90-a9df-47ffb8a7aae1",
  "aks-managed-operationID": "583623f0-ca12-4a44-a1c9-b965876cced6",
  "aks-managed-orchestrator": "Kubernetes:1.33.8",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</si>
  <si>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</si>
  <si>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"7ffa6c5b-4c0e-11f1-a2d8-ea197250a710",
  "aks-managed-creationSource": "vmssclient-aks-monitoring-17595035-vmss",
  "aks-managed-enable-imds-restriction": "False",
  "aks-managed-kubeletIdentityClientID": "f876420b-ca69-40d9-b52b-83d95239c056",
  "aks-managed-operationID": "8e4bb362-7dc0-4b0d-8d9f-785423206752",
  "aks-managed-orchestrator": "Kubernetes:1.33.10",
  "aks-managed-poolName": "monitoring",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</si>
  <si>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aks-managed-consolidated-additional-properties=7ffa6c5b-4c0e-11f1-a2d8-ea197250a710; aks-managed-creationSource=vmssclient-aks-monitoring-17595035-vmss; aks-managed-enable-imds-restriction=False; aks-managed-kubeletIdentityClientID=f876420b-ca69-40d9-b52b-83d95239c056; aks-managed-operationID=8e4bb362-7dc0-4b0d-8d9f-785423206752; aks-managed-orchestrator=Kubernetes:1.33.10; aks-managed-poolName=monitoring;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</si>
  <si>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"15045eb0-3b89-11f1-a6a3-86db6cef6fbe",
  "aks-managed-creationSource": "vmssclient-aks-systemeph-24765003-vmss",
  "aks-managed-enable-imds-restriction": "False",
  "aks-managed-kubeletIdentityClientID": "f876420b-ca69-40d9-b52b-83d95239c056",
  "aks-managed-operationID": "38fa9548-8e62-44fd-b77d-ad28dae20f6a",
  "aks-managed-orchestrator": "Kubernetes:1.33.8",
  "aks-managed-poolName": "systemeph",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</si>
  <si>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aks-managed-consolidated-additional-properties=15045eb0-3b89-11f1-a6a3-86db6cef6fbe; aks-managed-creationSource=vmssclient-aks-systemeph-24765003-vmss; aks-managed-enable-imds-restriction=False; aks-managed-kubeletIdentityClientID=f876420b-ca69-40d9-b52b-83d95239c056; aks-managed-operationID=38fa9548-8e62-44fd-b77d-ad28dae20f6a; aks-managed-orchestrator=Kubernetes:1.33.8; aks-managed-poolName=systemeph;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</si>
  <si>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"1842.2975998641",
  "ERP": "0.6064648304",
  "BenefitType": "Charge",
  "aks-managed-consolidated-additional-properties": "3252c8ac-59a1-11f1-be0b-d69bb301ee57",
  "aks-managed-creationSource": "vmssclient-aks-systemeph-33281046-vmss",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</si>
  <si>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Price=1842.2975998641; ERP=0.6064648304; BenefitType=Charge; aks-managed-consolidated-additional-properties=3252c8ac-59a1-11f1-be0b-d69bb301ee57; aks-managed-creationSource=vmssclient-aks-systemeph-33281046-vmss; aks-managed-enable-imds-restriction=False; aks-managed-kubeletIdentityClientID=b2aa22d3-2063-4e90-a9df-47ffb8a7aae1; aks-managed-operationID=0f13bab3-0fbc-4d58-af43-368d156264e0; aks-managed-orchestrator=Kubernetes:1.33.10; aks-managed-poolName=systemeph;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</si>
  <si>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"1842.2975998717",
  "ERP": "7.3408737974",
  "BenefitType": "Charge",
  "aks-managed-consolidated-additional-properties": "311cf8b6-57da-11f1-a161-cad1f54d4175",
  "aks-managed-creationSource": "vmssclient-aks-udbziumeph-39962470-vmss",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</si>
  <si>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Price=1842.2975998717; ERP=7.3408737974;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</si>
  <si>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"1842.297599928",
  "ERP": "4.6767178172",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</si>
  <si>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Price=1842.297599928; ERP=4.6767178172;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</si>
  <si>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"1345.4551098135",
  "ERP": "5.0279581352",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</si>
  <si>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Price=1345.4551098135; ERP=5.0279581352;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</si>
  <si>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"1842.2975999313",
  "ERP": "60.4969551186",
  "BenefitType": "Charge",
  "aks-managed-consolidated-additional-properties": "60d53c41-4c0c-11f1-8bd6-5ec9d1cd8e46",
  "aks-managed-creationSource": "vmssclient-aks-systemeph-24765003-vmss",
  "aks-managed-enable-imds-restriction": "False",
  "aks-managed-kubeletIdentityClientID": "f876420b-ca69-40d9-b52b-83d95239c056",
  "aks-managed-operationID": "7872550c-063f-4ec2-a11c-de26b186cccd",
  "aks-managed-orchestrator": "Kubernetes:1.33.10",
  "aks-managed-poolName": "systemeph",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</si>
  <si>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Price=1842.2975999313; ERP=60.4969551186; BenefitType=Charge; aks-managed-consolidated-additional-properties=60d53c41-4c0c-11f1-8bd6-5ec9d1cd8e46; aks-managed-creationSource=vmssclient-aks-systemeph-24765003-vmss; aks-managed-enable-imds-restriction=False; aks-managed-kubeletIdentityClientID=f876420b-ca69-40d9-b52b-83d95239c056; aks-managed-operationID=7872550c-063f-4ec2-a11c-de26b186cccd; aks-managed-orchestrator=Kubernetes:1.33.10; aks-managed-poolName=systemeph;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</si>
  <si>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"1842.2975746721",
  "ERP": "0.011653928",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</si>
  <si>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Price=1842.2975746721; ERP=0.011653928;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</si>
  <si>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"1842.2975989253",
  "ERP": "0.2951270036",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</si>
  <si>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Price=1842.2975989253; ERP=0.2951270036;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</si>
  <si>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"1842.2975816902",
  "ERP": "0.011697543",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</si>
  <si>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Price=1842.2975816902; ERP=0.011697543;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</si>
  <si>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"1842.2975982616",
  "ERP": "0.0498030962",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</si>
  <si>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Price=1842.2975982616; ERP=0.0498030962;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</si>
  <si>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"1842.2965503045",
  "ERP": "0.0002564562",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</si>
  <si>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Price=1842.2965503045; ERP=0.0002564562;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</si>
  <si>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"1745.6227626927",
  "ERP": "161.198048011",
  "BenefitType": "Charge",
  "aks-managed-consolidated-additional-properties": "c05a7699-3b82-11f1-9f86-8e3cee5b163a",
  "aks-managed-creationSource": "vmssclient-aks-newagentpool-22031053-vmss",
  "aks-managed-enable-imds-restriction": "False",
  "aks-managed-kubeletIdentityClientID": "d31d2c4f-e3b8-4665-b69b-b18c5ed27c30",
  "aks-managed-operationID": "488a37be-07cd-41b9-bcf0-482ff6cb2ad0",
  "aks-managed-orchestrator": "Kubernetes:1.33.8",
  "aks-managed-poolName": "newagentpool",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</si>
  <si>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Price=1745.6227626927; ERP=161.198048011; BenefitType=Charge; aks-managed-consolidated-additional-properties=c05a7699-3b82-11f1-9f86-8e3cee5b163a; aks-managed-creationSource=vmssclient-aks-newagentpool-22031053-vmss; aks-managed-enable-imds-restriction=False; aks-managed-kubeletIdentityClientID=d31d2c4f-e3b8-4665-b69b-b18c5ed27c30; aks-managed-operationID=488a37be-07cd-41b9-bcf0-482ff6cb2ad0; aks-managed-orchestrator=Kubernetes:1.33.8; aks-managed-poolName=newagentpool;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</si>
  <si>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"1842.2975853586",
  "ERP": "0.0109246852",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</si>
  <si>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Price=1842.2975853586; ERP=0.0109246852;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</si>
  <si>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"1842.2975999461",
  "ERP": "82.7699615028",
  "BenefitType": "Charge",
  "aks-managed-consolidated-additional-properties": "10b49e4b-4c06-11f1-8bd6-5ec9d1cd8e46",
  "aks-managed-creationSource": "vmssclient-aks-newuserpool-25919024-vmss",
  "aks-managed-enable-imds-restriction": "False",
  "aks-managed-kubeletIdentityClientID": "d31d2c4f-e3b8-4665-b69b-b18c5ed27c30",
  "aks-managed-operationID": "83e7f825-8218-4a0f-ba20-b087a41e559b",
  "aks-managed-orchestrator": "Kubernetes:1.33.10",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</si>
  <si>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Price=1842.2975999461; ERP=82.7699615028;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</si>
  <si>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"1752.0207971909",
  "ERP": "4.3965019098",
  "BenefitType": "Charge",
  "Loyalty": "Loyalty"
}</t>
  </si>
  <si>
    <t>Organization Name=PT Nawa Darsana Teknologi; Publisher=Microsoft; Publisher Customer ID=346fa229-7c19-44ef-85c6-29e00edf66cf; Unit Price=1752.0207971909; ERP=4.3965019098; BenefitType=Charge; Loyalty=Loyalty</t>
  </si>
  <si>
    <t>{
  "Organization Name": "PT Nawa Darsana Teknologi",
  "Publisher": "Microsoft",
  "Publisher Customer ID": "346fa229-7c19-44ef-85c6-29e00edf66cf",
  "Unit Price": "1841.7253864124",
  "ERP": "809.1362824688",
  "BenefitType": "Charge",
  "Environment": "Production",
  "Name": "Jumpbox-prod-new"
}</t>
  </si>
  <si>
    <t>Organization Name=PT Nawa Darsana Teknologi; Publisher=Microsoft; Publisher Customer ID=346fa229-7c19-44ef-85c6-29e00edf66cf; Unit Price=1841.7253864124; ERP=809.1362824688; BenefitType=Charge; Environment=Production; Name=Jumpbox-prod-new</t>
  </si>
  <si>
    <t>{
  "Organization Name": "PT Nawa Darsana Teknologi",
  "Publisher": "Microsoft",
  "Publisher Customer ID": "346fa229-7c19-44ef-85c6-29e00edf66cf",
  "Unit Price": "2368.904172042",
  "ERP": "8722.9999982554",
  "BenefitType": "Charge",
  "Environment": "Development",
  "Name": "lush-private-endpoint"
}</t>
  </si>
  <si>
    <t>Organization Name=PT Nawa Darsana Teknologi; Publisher=Microsoft; Publisher Customer ID=346fa229-7c19-44ef-85c6-29e00edf66cf; Unit Price=2368.904172042; ERP=8722.9999982554; BenefitType=Charge; Environment=Development; Name=lush-private-endpoint</t>
  </si>
  <si>
    <t>staging.modakita.com</t>
  </si>
  <si>
    <t>{
  "Organization Name": "PT Nawa Darsana Teknologi",
  "Publisher": "Microsoft",
  "Publisher Customer ID": "346fa229-7c19-44ef-85c6-29e00edf66cf",
  "Unit Price": "2368.904172042",
  "ERP": "8722.9999982554",
  "BenefitType": "Charge",
  "env": "Development-Loyalty"
}</t>
  </si>
  <si>
    <t>Organization Name=PT Nawa Darsana Teknologi; Publisher=Microsoft; Publisher Customer ID=346fa229-7c19-44ef-85c6-29e00edf66cf; Unit Price=2368.904172042; ERP=8722.9999982554; BenefitType=Charge; env=Development-Loyalty</t>
  </si>
  <si>
    <t>{
  "Organization Name": "PT Nawa Darsana Teknologi",
  "Publisher": "Microsoft",
  "Publisher Customer ID": "346fa229-7c19-44ef-85c6-29e00edf66cf",
  "Unit Price": "1842.2976",
  "ERP": "0.32658912",
  "BenefitType": "Charge"
}</t>
  </si>
  <si>
    <t>Organization Name=PT Nawa Darsana Teknologi; Publisher=Microsoft; Publisher Customer ID=346fa229-7c19-44ef-85c6-29e00edf66cf; Unit Price=1842.2976; ERP=0.32658912; BenefitType=Charge</t>
  </si>
  <si>
    <t>{
  "Organization Name": "PT Nawa Darsana Teknologi",
  "Publisher": "Microsoft",
  "Publisher Customer ID": "346fa229-7c19-44ef-85c6-29e00edf66cf",
  "Unit Price": "383.812",
  "ERP": "324495.6",
  "BenefitType": "Charge",
  "aks-managed-cluster-name": "locksmith",
  "aks-managed-cluster-rg": "rg-loyalty-prod",
  "Environment": "Production",
  "MD": "Shared",
  "Product": "Loyalty"
}</t>
  </si>
  <si>
    <t>Organization Name=PT Nawa Darsana Teknologi; Publisher=Microsoft; Publisher Customer ID=346fa229-7c19-44ef-85c6-29e00edf66cf; Unit Price=383.812; ERP=324495.6; BenefitType=Charge; aks-managed-cluster-name=locksmith; aks-managed-cluster-rg=rg-loyalty-prod; Environment=Production; MD=Shared; Product=Loyalty</t>
  </si>
  <si>
    <t>{
  "Organization Name": "PT Nawa Darsana Teknologi",
  "Publisher": "Microsoft",
  "Publisher Customer ID": "346fa229-7c19-44ef-85c6-29e00edf66cf",
  "Unit Price": "1842.2975999961",
  "ERP": "1242.6194241032",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</si>
  <si>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Price=1842.2975999961; ERP=1242.6194241032;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</si>
  <si>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"1842.2975860251",
  "ERP": "0.0216609536",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</si>
  <si>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Price=1842.2975860251; ERP=0.0216609536;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</si>
  <si>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"76.7624",
  "ERP": "42942.0710893174",
  "BenefitType": "Charge",
  "aks-managed-cluster-name": "Locksmith",
  "aks-managed-cluster-rg": "RG-Loyalty-Prod",
  "Environment": "Production",
  "MD": "Shared",
  "Product": "Loyalty"
}</t>
  </si>
  <si>
    <t>Organization Name=PT Nawa Darsana Teknologi; Publisher=Microsoft; Publisher Customer ID=346fa229-7c19-44ef-85c6-29e00edf66cf; Unit Price=76.7624; ERP=42942.0710893174; BenefitType=Charge; aks-managed-cluster-name=Locksmith; aks-managed-cluster-rg=RG-Loyalty-Prod; Environment=Production; MD=Shared; Product=Loyalty</t>
  </si>
  <si>
    <t>{
  "Organization Name": "PT Nawa Darsana Teknologi",
  "Publisher": "Microsoft",
  "Publisher Customer ID": "346fa229-7c19-44ef-85c6-29e00edf66cf",
  "Unit Price": "1842.2975999095",
  "ERP": "3.933061132",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</si>
  <si>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Price=1842.2975999095; ERP=3.933061132;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</si>
  <si>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"383.812",
  "ERP": "310538.8",
  "BenefitType": "Charge",
  "aks-managed-cluster-name": "Lakeside",
  "aks-managed-cluster-rg": "RG-Loyalty",
  "env": "Loyalty-Development",
  "Environment": "Development",
  "MD": "Shared",
  "Product": "Loyalty"
}</t>
  </si>
  <si>
    <t>Organization Name=PT Nawa Darsana Teknologi; Publisher=Microsoft; Publisher Customer ID=346fa229-7c19-44ef-85c6-29e00edf66cf; Unit Price=383.812; ERP=310538.8; BenefitType=Charge; aks-managed-cluster-name=Lakeside; aks-managed-cluster-rg=RG-Loyalty; env=Loyalty-Development; Environment=Development; MD=Shared; Product=Loyalty</t>
  </si>
  <si>
    <t>{
  "Organization Name": "PT Nawa Darsana Teknologi",
  "Publisher": "Microsoft",
  "Publisher Customer ID": "346fa229-7c19-44ef-85c6-29e00edf66cf",
  "Unit Price": "153.5247999847",
  "ERP": "21.062852382",
  "BenefitType": "Charge",
  "Loyalty": "Loyalty"
}</t>
  </si>
  <si>
    <t>Organization Name=PT Nawa Darsana Teknologi; Publisher=Microsoft; Publisher Customer ID=346fa229-7c19-44ef-85c6-29e00edf66cf; Unit Price=153.5247999847; ERP=21.062852382; BenefitType=Charge; Loyalty=Loyalty</t>
  </si>
  <si>
    <t>Standard Data Transfer In</t>
  </si>
  <si>
    <t>{
  "Organization Name": "PT Nawa Darsana Teknologi",
  "Publisher": "Microsoft",
  "Publisher Customer ID": "346fa229-7c19-44ef-85c6-29e00edf66cf",
  "Unit Price": "0.0",
  "ERP": "0.0",
  "BenefitType": "Charge",
  "env": "Loyalty-Development"
}</t>
  </si>
  <si>
    <t>Organization Name=PT Nawa Darsana Teknologi; Publisher=Microsoft; Publisher Customer ID=346fa229-7c19-44ef-85c6-29e00edf66cf; Unit Price=0.0; ERP=0.0; BenefitType=Charge; env=Loyalty-Development</t>
  </si>
  <si>
    <t>BS Series VM</t>
  </si>
  <si>
    <t>Virtual Machines BS Series</t>
  </si>
  <si>
    <t>B2s</t>
  </si>
  <si>
    <t>{
  "Organization Name": "PT Nawa Darsana Teknologi",
  "Publisher": "Microsoft",
  "Publisher Customer ID": "346fa229-7c19-44ef-85c6-29e00edf66cf",
  "Unit Price": "810.610944",
  "ERP": "69991.97167248",
  "BenefitType": "Charge",
  "Loyalty": "Loyalty"
}</t>
  </si>
  <si>
    <t>Organization Name=PT Nawa Darsana Teknologi; Publisher=Microsoft; Publisher Customer ID=346fa229-7c19-44ef-85c6-29e00edf66cf; Unit Price=810.610944; ERP=69991.97167248; BenefitType=Charge; Loyalty=Loyalty</t>
  </si>
  <si>
    <t>{
  "Organization Name": "PT Nawa Darsana Teknologi",
  "Publisher": "Microsoft",
  "Publisher Customer ID": "346fa229-7c19-44ef-85c6-29e00edf66cf",
  "Unit Price": "153.5247998544",
  "ERP": "0.1349605114",
  "BenefitType": "Charge",
  "aks-managed-consolidated-additional-properties": "311ee467-57da-11f1-a161-cad1f54d4175",
  "aks-managed-creationSource": "vmssclient-aks-usereph-29326849-vmss",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</si>
  <si>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Price=153.5247998544; ERP=0.1349605114;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</si>
  <si>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"3838.12",
  "ERP": "4361.5",
  "BenefitType": "Charge",
  "aks-managed-consolidated-additional-properties": "311cf8b6-57da-11f1-a161-cad1f54d4175",
  "aks-managed-creationSource": "vmssclient-aks-udbziumeph-39962470-vmss",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"udbziumeph",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</si>
  <si>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Price=3838.12; ERP=4361.5;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</si>
  <si>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"3838.12",
  "ERP": "1173243.5",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</si>
  <si>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Price=3838.12; ERP=1173243.5;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</si>
  <si>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"153.5247999888",
  "ERP": "3.2470791782",
  "BenefitType": "Charge",
  "aks-managed-consolidated-additional-properties": "de1ef251-3b84-11f1-95e3-2e4ba821b3e8",
  "aks-managed-creationSource": "vmssclient-aks-usereph-29326849-vmss",
  "aks-managed-enable-imds-restriction": "False",
  "aks-managed-kubeletIdentityClientID": "b2aa22d3-2063-4e90-a9df-47ffb8a7aae1",
  "aks-managed-operationID": "583623f0-ca12-4a44-a1c9-b965876cced6",
  "aks-managed-orchestrator": "Kubernetes:1.33.8",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</si>
  <si>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Price=153.5247999888; ERP=3.2470791782;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</si>
  <si>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"153.5247982099",
  "ERP": "0.0115544858",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</si>
  <si>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Price=153.5247982099; ERP=0.0115544858;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</si>
  <si>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"153.5247995445",
  "ERP": "0.0652515292",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</si>
  <si>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Price=153.5247995445; ERP=0.0652515292;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</si>
  <si>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"3838.12",
  "ERP": "63243.4509832554",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</si>
  <si>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ERP=63243.4509832554;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</si>
  <si>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"4288.889748",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</si>
  <si>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Price=3838.12; ERP=4288.889748;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</si>
  <si>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"3838.12",
  "ERP": "1227183.8278682553",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</si>
  <si>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ERP=1227183.8278682553;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</si>
  <si>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"8577.779496",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</si>
  <si>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ERP=8577.779496;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</si>
  <si>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"2398.8729765",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</si>
  <si>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ERP=2398.8729765;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</si>
  <si>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"153.5247999641",
  "ERP": "0.046685496",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</si>
  <si>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Price=153.5247999641; ERP=0.046685496;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</si>
  <si>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"153.5247999734",
  "ERP": "10.9403115822",
  "BenefitType": "Charge",
  "aks-managed-consolidated-additional-properties": "7ffa6c5b-4c0e-11f1-a2d8-ea197250a710",
  "aks-managed-creationSource": "vmssclient-aks-monitoring-17595035-vmss",
  "aks-managed-enable-imds-restriction": "False",
  "aks-managed-kubeletIdentityClientID": "f876420b-ca69-40d9-b52b-83d95239c056",
  "aks-managed-operationID": "8e4bb362-7dc0-4b0d-8d9f-785423206752",
  "aks-managed-orchestrator": "Kubernetes:1.33.10",
  "aks-managed-poolName": "monitoring",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</si>
  <si>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Price=153.5247999734; ERP=10.9403115822; BenefitType=Charge; aks-managed-consolidated-additional-properties=7ffa6c5b-4c0e-11f1-a2d8-ea197250a710; aks-managed-creationSource=vmssclient-aks-monitoring-17595035-vmss; aks-managed-enable-imds-restriction=False; aks-managed-kubeletIdentityClientID=f876420b-ca69-40d9-b52b-83d95239c056; aks-managed-operationID=8e4bb362-7dc0-4b0d-8d9f-785423206752; aks-managed-orchestrator=Kubernetes:1.33.10; aks-managed-poolName=monitoring;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</si>
  <si>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"153.5247998853",
  "ERP": "1.0524892664",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</si>
  <si>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Price=153.5247998853; ERP=1.0524892664;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</si>
  <si>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"153.5247999762",
  "ERP": "1.6753289124",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</si>
  <si>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Price=153.5247999762; ERP=1.6753289124;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</si>
  <si>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"153.524794434",
  "ERP": "0.0040352598",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</si>
  <si>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Price=153.524794434; ERP=0.0040352598;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</si>
  <si>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"153.5247934736",
  "ERP": "0.0043248634",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</si>
  <si>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Price=153.5247934736; ERP=0.0043248634;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</si>
  <si>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"1163794.092175",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</si>
  <si>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Price=3838.12; ERP=1163794.092175;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</si>
  <si>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"3838.12",
  "ERP": "1090.392446",
  "BenefitType": "Charge",
  "aks-managed-consolidated-additional-properties": "0a8bb282-4c06-11f1-a96a-06040b0291ed",
  "aks-managed-creationSource": "vmssclient-aks-usereph-29326849-vmss",
  "aks-managed-enable-imds-restriction": "False",
  "aks-managed-kubeletIdentityClientID": "b2aa22d3-2063-4e90-a9df-47ffb8a7aae1",
  "aks-managed-operationID": "a2520817-43a9-41d5-8cf7-17478ce864f7",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</si>
  <si>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Price=3838.12; ERP=1090.392446;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</si>
  <si>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"153.5247983212",
  "ERP": "0.0103245428",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</si>
  <si>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Price=153.5247983212; ERP=0.0103245428;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</si>
  <si>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"153.5247997737",
  "ERP": "0.046729111",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</si>
  <si>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Price=153.5247997737; ERP=0.046729111;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</si>
  <si>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"153.5247982008",
  "ERP": "0.01526525",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</si>
  <si>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Price=153.5247982008; ERP=0.01526525;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</si>
  <si>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"153.5247997869",
  "ERP": "0.0558289446",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</si>
  <si>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Price=153.5247997869; ERP=0.0558289446;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</si>
  <si>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"153.524796392",
  "ERP": "0.003864289",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</si>
  <si>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Price=153.524796392; ERP=0.003864289;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</si>
  <si>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"331474.0",
  "BenefitType": "Charge",
  "aks-managed-consolidated-additional-properties": "10b49e4b-4c06-11f1-8bd6-5ec9d1cd8e46",
  "aks-managed-creationSource": "vmssclient-aks-newuserpool-25919024-vmss",
  "aks-managed-enable-imds-restriction": "False",
  "aks-managed-kubeletIdentityClientID": "d31d2c4f-e3b8-4665-b69b-b18c5ed27c30",
  "aks-managed-operationID": "83e7f825-8218-4a0f-ba20-b087a41e559b",
  "aks-managed-orchestrator": "Kubernetes:1.33.10",
  "aks-managed-poolName": "newuserpool",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</si>
  <si>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Price=3838.12; ERP=331474.0;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</si>
  <si>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"3838.12",
  "ERP": "12866.669244",
  "BenefitType": "Charge",
  "aks-managed-consolidated-additional-properties": "4f38eb20-4c0a-11f1-8bd6-5ec9d1cd8e46",
  "aks-managed-creationSource": "vmssclient-aks-usereph-42924794-vmss",
  "aks-managed-enable-imds-restriction": "False",
  "aks-managed-kubeletIdentityClientID": "d31d2c4f-e3b8-4665-b69b-b18c5ed27c30",
  "aks-managed-operationID": "42aae2a1-8c14-4723-8a5e-5dcc01625a2f",
  "aks-managed-orchestrator": "Kubernetes:1.33.10",
  "aks-managed-poolName": "usereph",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</si>
  <si>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Price=3838.12; ERP=12866.669244;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</si>
  <si>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"153.5247999622",
  "ERP": "3.4329732866",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</si>
  <si>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Price=153.5247999622; ERP=3.4329732866;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</si>
  <si>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"146.851705",
  "BenefitType": "Charge",
  "aks-managed-consolidated-additional-properties": "bfeab34e-3b82-11f1-9f86-8e3cee5b163a",
  "aks-managed-creationSource": "vmssclient-aks-usereph-11975611-vmss",
  "aks-managed-enable-imds-restriction": "False",
  "aks-managed-kubeletIdentityClientID": "f876420b-ca69-40d9-b52b-83d95239c056",
  "aks-managed-operationID": "39e1e8f8-a95f-462d-8fa5-25a2b26b3098",
  "aks-managed-orchestrator": "Kubernetes:1.33.8",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</si>
  <si>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ERP=146.851705;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</si>
  <si>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"2689.6454585",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</si>
  <si>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ERP=2689.6454585;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</si>
  <si>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"118416.434708",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</si>
  <si>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ERP=118416.434708;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</si>
  <si>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"167556.26888",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</si>
  <si>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ERP=167556.26888;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</si>
  <si>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"331474.0",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</si>
  <si>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ERP=331474.0;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</si>
  <si>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"4288.889748",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</si>
  <si>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ERP=4288.889748;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</si>
  <si>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"5233.8",
  "BenefitType": "Charge",
  "aks-managed-consolidated-additional-properties": "3252691d-59a1-11f1-be0b-d69bb301ee57",
  "aks-managed-creationSource": "vmssclient-aks-usereph-29326849-vmss",
  "aks-managed-enable-imds-restriction": "False",
  "aks-managed-kubeletIdentityClientID": "b2aa22d3-2063-4e90-a9df-47ffb8a7aae1",
  "aks-managed-operationID": "0f13bab3-0fbc-4d58-af43-368d156264e0",
  "aks-managed-orchestrator": "Kubernetes:1.33.10",
  "aks-managed-poolName": "usereph",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</si>
  <si>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Price=3838.12; ERP=5233.8;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</si>
  <si>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"3838.12",
  "ERP": "1017.6993255",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</si>
  <si>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ERP=1017.6993255;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</si>
  <si>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"3838.12",
  "ERP": "290.772482",
  "BenefitType": "Charge",
  "aks-managed-consolidated-additional-properties": "a150de18-4c04-11f1-b6ec-26e5e49fc9c9",
  "aks-managed-creationSource": "vmssclient-aks-usereph-11975611-vmss",
  "aks-managed-enable-imds-restriction": "False",
  "aks-managed-kubeletIdentityClientID": "f876420b-ca69-40d9-b52b-83d95239c056",
  "aks-managed-operationID": "95a0c878-2db0-430e-9ddb-a31962c043ec",
  "aks-managed-orchestrator": "Kubernetes:1.33.10",
  "aks-managed-poolName": "usereph",
  "aks-managed-resourceNameSuffix": "10784077.0",
  "aks-managed-ssh-access": "LocalUser",
  "compute.aks.billing": "linux"
}</t>
  </si>
  <si>
    <t>Organization Name=PT Nawa Darsana Teknologi; Publisher=Microsoft; Publisher Customer ID=346fa229-7c19-44ef-85c6-29e00edf66cf; Unit Price=3838.12; ERP=290.772482;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</t>
  </si>
  <si>
    <t>{
  "Organization Name": "PT Nawa Darsana Teknologi",
  "Publisher": "Microsoft",
  "Publisher Customer ID": "346fa229-7c19-44ef-85c6-29e00edf66cf",
  "Unit Price": "153.5247986402",
  "ERP": "0.0382817578",
  "BenefitType": "Charge",
  "aks-managed-consolidated-additional-properties": "676589cd-3b88-11f1-95e3-2e4ba821b3e8",
  "aks-managed-creationSource": "vmssclient-aks-usereph-42924794-vmss",
  "aks-managed-enable-imds-restriction": "False",
  "aks-managed-kubeletIdentityClientID": "d31d2c4f-e3b8-4665-b69b-b18c5ed27c30",
  "aks-managed-operationID": "ec04889c-3fcb-4604-8e4e-2fa3896b4783",
  "aks-managed-orchestrator": "Kubernetes:1.33.8",
  "aks-managed-poolName": "usereph",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</si>
  <si>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Price=153.5247986402; ERP=0.0382817578; BenefitType=Charge; aks-managed-consolidated-additional-properties=676589cd-3b88-11f1-95e3-2e4ba821b3e8; aks-managed-creationSource=vmssclient-aks-usereph-42924794-vmss; aks-managed-enable-imds-restriction=False; aks-managed-kubeletIdentityClientID=d31d2c4f-e3b8-4665-b69b-b18c5ed27c30; aks-managed-operationID=ec04889c-3fcb-4604-8e4e-2fa3896b4783; aks-managed-orchestrator=Kubernetes:1.33.8; aks-managed-poolName=usereph;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</si>
  <si>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"3838.12",
  "ERP": "331474.0",
  "BenefitType": "Charge",
  "aks-managed-consolidated-additional-properties": "4f38eb20-4c0a-11f1-8bd6-5ec9d1cd8e46",
  "aks-managed-creationSource": "vmssclient-aks-usereph-42924794-vmss",
  "aks-managed-enable-imds-restriction": "False",
  "aks-managed-kubeletIdentityClientID": "d31d2c4f-e3b8-4665-b69b-b18c5ed27c30",
  "aks-managed-operationID": "42aae2a1-8c14-4723-8a5e-5dcc01625a2f",
  "aks-managed-orchestrator": "Kubernetes:1.33.10",
  "aks-managed-poolName": "usereph",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</si>
  <si>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Price=3838.12; ERP=331474.0;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</t>
  </si>
  <si>
    <t>LRS Write Operations</t>
  </si>
  <si>
    <t>rgloyalty806b</t>
  </si>
  <si>
    <t>{
  "Organization Name": "PT Nawa Darsana Teknologi",
  "Publisher": "Microsoft",
  "Publisher Customer ID": "346fa229-7c19-44ef-85c6-29e00edf66cf",
  "Unit Price": "230.2872",
  "ERP": "89.995191",
  "BenefitType": "Charge"
}</t>
  </si>
  <si>
    <t>Organization Name=PT Nawa Darsana Teknologi; Publisher=Microsoft; Publisher Customer ID=346fa229-7c19-44ef-85c6-29e00edf66cf; Unit Price=230.2872; ERP=89.995191; BenefitType=Charge</t>
  </si>
  <si>
    <t>test-monitoring-snapshot</t>
  </si>
  <si>
    <t>{
  "Organization Name": "PT Nawa Darsana Teknologi",
  "Publisher": "Microsoft",
  "Publisher Customer ID": "346fa229-7c19-44ef-85c6-29e00edf66cf",
  "Unit Price": "767.624",
  "ERP": "5075.8578728",
  "BenefitType": "Charge",
  "Name": "test-monitoring-snapshot"
}</t>
  </si>
  <si>
    <t>Organization Name=PT Nawa Darsana Teknologi; Publisher=Microsoft; Publisher Customer ID=346fa229-7c19-44ef-85c6-29e00edf66cf; Unit Price=767.624; ERP=5075.8578728; BenefitType=Charge; Name=test-monitoring-snapshot</t>
  </si>
  <si>
    <t>{
  "Organization Name": "PT Nawa Darsana Teknologi",
  "Publisher": "Microsoft",
  "Publisher Customer ID": "346fa229-7c19-44ef-85c6-29e00edf66cf",
  "Unit Price": "23.02872",
  "ERP": "6.0031686",
  "BenefitType": "Charge"
}</t>
  </si>
  <si>
    <t>Organization Name=PT Nawa Darsana Teknologi; Publisher=Microsoft; Publisher Customer ID=346fa229-7c19-44ef-85c6-29e00edf66cf; Unit Price=23.02872; ERP=6.0031686; BenefitType=Charge</t>
  </si>
  <si>
    <t>{
  "Organization Name": "PT Nawa Darsana Teknologi",
  "Publisher": "Microsoft",
  "Publisher Customer ID": "346fa229-7c19-44ef-85c6-29e00edf66cf",
  "Unit Price": "1919.06",
  "ERP": "195795.49847",
  "BenefitType": "Charge",
  "aks-managed-consolidated-additional-properties": "a432e131-4c04-11f1-8cae-6277d8c8ca4f",
  "aks-managed-creationSource": "vmssclient-aks-newagentpool-22031053-vmss",
  "aks-managed-enable-imds-restriction": "False",
  "aks-managed-kubeletIdentityClientID": "d31d2c4f-e3b8-4665-b69b-b18c5ed27c30",
  "aks-managed-operationID": "61c861c4-cc71-476c-bdc8-423df1ba9c46",
  "aks-managed-orchestrator": "Kubernetes:1.33.10",
  "aks-managed-poolName": "newagentpool",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</si>
  <si>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Price=1919.06; ERP=195795.49847; BenefitType=Charge; aks-managed-consolidated-additional-properties=a432e131-4c04-11f1-8cae-6277d8c8ca4f; aks-managed-creationSource=vmssclient-aks-newagentpool-22031053-vmss; aks-managed-enable-imds-restriction=False; aks-managed-kubeletIdentityClientID=d31d2c4f-e3b8-4665-b69b-b18c5ed27c30; aks-managed-operationID=61c861c4-cc71-476c-bdc8-423df1ba9c46; aks-managed-orchestrator=Kubernetes:1.33.10; aks-managed-poolName=newagentpool; aks-managed-resourceNameSuffix=36864977.0; aks-managed-ssh-access=LocalUser; compute.aks.billing=linux</t>
  </si>
  <si>
    <t>{
  "Organization Name": "PT Nawa Darsana Teknologi",
  "Publisher": "Microsoft",
  "Publisher Customer ID": "346fa229-7c19-44ef-85c6-29e00edf66cf",
  "Unit Price": "1919.06",
  "ERP": "355353.2779225",
  "BenefitType": "Charge",
  "aks-managed-consolidated-additional-properties": "47dbf5f1-4c0a-11f1-ad6b-a26c3881ebea",
  "aks-managed-creationSource": "vmssclient-aks-systemeph-33281046-vmss",
  "aks-managed-enable-imds-restriction": "False",
  "aks-managed-kubeletIdentityClientID": "b2aa22d3-2063-4e90-a9df-47ffb8a7aae1",
  "aks-managed-operationID": "94fb6e4a-1533-4ef7-ab97-16965dda6ad7",
  "aks-managed-orchestrator": "Kubernetes:1.33.10",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</si>
  <si>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Price=1919.06; ERP=355353.2779225;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</t>
  </si>
  <si>
    <t>{
  "Organization Name": "PT Nawa Darsana Teknologi",
  "Publisher": "Microsoft",
  "Publisher Customer ID": "346fa229-7c19-44ef-85c6-29e00edf66cf",
  "Unit Price": "230.2872",
  "ERP": "204.37989",
  "BenefitType": "Charge",
  "Environment": "Production",
  "Name": "Curl-api-report"
}</t>
  </si>
  <si>
    <t>Organization Name=PT Nawa Darsana Teknologi; Publisher=Microsoft; Publisher Customer ID=346fa229-7c19-44ef-85c6-29e00edf66cf; Unit Price=230.2872; ERP=204.37989; BenefitType=Charge; Environment=Production; Name=Curl-api-report</t>
  </si>
  <si>
    <t>{
  "Organization Name": "PT Nawa Darsana Teknologi",
  "Publisher": "Microsoft",
  "Publisher Customer ID": "346fa229-7c19-44ef-85c6-29e00edf66cf",
  "Unit Price": "1919.06",
  "ERP": "111218.25",
  "BenefitType": "Charge",
  "aks-managed-consolidated-additional-properties": "311f4bef-57da-11f1-a161-cad1f54d4175",
  "aks-managed-creationSource": "vmssclient-aks-systemeph-33281046-vmss",
  "aks-managed-enable-imds-restriction": "False",
  "aks-managed-kubeletIdentityClientID": "b2aa22d3-2063-4e90-a9df-47ffb8a7aae1",
  "aks-managed-operationID": "66280dcb-00f2-4eab-9577-0b3d0916004f",
  "aks-managed-orchestrator": "Kubernetes:1.33.10",
  "aks-managed-poolName": "systemeph",
  "aks-managed-resourceNameSuffix": "11712142.0",
  "aks-managed-ssh-access": "LocalUser",
  "compute.aks.billing": "linux"
}</t>
  </si>
  <si>
    <t>Organization Name=PT Nawa Darsana Teknologi; Publisher=Microsoft; Publisher Customer ID=346fa229-7c19-44ef-85c6-29e00edf66cf; Unit Price=1919.06; ERP=111218.25;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</t>
  </si>
  <si>
    <t>General Block Blob v2</t>
  </si>
  <si>
    <t>Hot ZRS Write Operations</t>
  </si>
  <si>
    <t>{
  "Organization Name": "PT Nawa Darsana Teknologi",
  "Publisher": "Microsoft",
  "Publisher Customer ID": "346fa229-7c19-44ef-85c6-29e00edf66cf",
  "Unit Price": "959.53",
  "ERP": "169.8804232554",
  "BenefitType": "Charge"
}</t>
  </si>
  <si>
    <t>Organization Name=PT Nawa Darsana Teknologi; Publisher=Microsoft; Publisher Customer ID=346fa229-7c19-44ef-85c6-29e00edf66cf; Unit Price=959.53; ERP=169.8804232554; BenefitType=Charge</t>
  </si>
  <si>
    <t>{
  "Organization Name": "PT Nawa Darsana Teknologi",
  "Publisher": "Microsoft",
  "Publisher Customer ID": "346fa229-7c19-44ef-85c6-29e00edf66cf",
  "Unit Price": "1534.72601568",
  "ERP": "10380328.687872",
  "BenefitType": "Charge"
}</t>
  </si>
  <si>
    <t>Organization Name=PT Nawa Darsana Teknologi; Publisher=Microsoft; Publisher Customer ID=346fa229-7c19-44ef-85c6-29e00edf66cf; Unit Price=1534.72601568; ERP=10380328.687872; BenefitType=Charge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</si>
</sst>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yyyy\-mm\-dd\ hh:mm:ss"/>
    <numFmt numFmtId="165" formatCode="_-&quot;Rp&quot;* #,##0_-;\-&quot;Rp&quot;* #,##0_-;_-&quot;Rp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 vertical="top"/>
    </xf>
    <xf numFmtId="165" fontId="2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184.61842835648" createdVersion="8" refreshedVersion="8" minRefreshableVersion="3" recordCount="893" xr:uid="{3B8A6B66-B84D-4D26-86D8-9FFB281BB89F}">
  <cacheSource type="worksheet">
    <worksheetSource ref="A1:W894" sheet="Detail_Shared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20">
        <s v="Virtual Network"/>
        <s v="Bandwidth"/>
        <s v="Virtual Machines"/>
        <s v="Azure Front Door Service"/>
        <s v="SQL Database"/>
        <s v="Azure DNS"/>
        <s v="Load Balancer"/>
        <s v="Logic Apps"/>
        <s v="Azure Kubernetes Service"/>
        <s v="Microsoft Defender for Cloud"/>
        <s v="Redis Cache"/>
        <s v="Storage"/>
        <s v="Azure Databricks"/>
        <s v="NAT Gateway"/>
        <s v="Event Hubs"/>
        <s v="Key Vault"/>
        <s v="Service Bus"/>
        <s v="Azure Data Factory v2"/>
        <s v="Azure Database for PostgreSQL"/>
        <s v="Azure App Service"/>
      </sharedItems>
    </cacheField>
    <cacheField name="Subcategory" numFmtId="0">
      <sharedItems count="45">
        <s v="Virtual Network Peering"/>
        <s v="Bandwidth Inter-Region"/>
        <s v="Virtual Machines RI"/>
        <s v="Rtn Preference: MGN"/>
        <s v="Virtual Machines Dv3 Series"/>
        <s v="Virtual Network Private Link"/>
        <s v="Azure Front Door"/>
        <s v="SQL Database Single Standard"/>
        <s v="Azure DNS"/>
        <s v="Load Balancer"/>
        <s v="Logic Apps"/>
        <s v="Azure Kubernetes Service"/>
        <s v="IP Addresses"/>
        <s v="Microsoft Defender for SQL"/>
        <s v="Redis Cache Reservation"/>
        <s v="Blob Storage"/>
        <s v="Microsoft Defender for DNS"/>
        <s v="Azure Databricks Regional"/>
        <s v="Standard SSD Managed Disks"/>
        <s v="Files"/>
        <s v="Virtual Machines Dv2 Series"/>
        <s v="Virtual Machines Bsv2 Series"/>
        <s v="NAT Gateway"/>
        <s v="Microsoft Defender for PostgreSQL"/>
        <s v="SQL Database Single/Elastic Pool PITR Backup Storage"/>
        <s v="SQL Database SingleDB/Elastic Pool Hyperscale - Compute Gen5"/>
        <s v="Storage - Bandwidth"/>
        <s v="Premium SSD Managed Disks"/>
        <s v="Tables"/>
        <s v="Event Hubs"/>
        <s v="Key Vault"/>
        <s v="Service Bus"/>
        <s v="Azure Data Factory v2"/>
        <s v="SQL Database Compute Reservation"/>
        <s v="Azure Redis Cache Basic"/>
        <s v="Azure Database for PostgreSQL Flexible Server Burstable BS Series Compute"/>
        <s v="SQL Database Hyperscale - Storage"/>
        <s v="Queues v2"/>
        <s v="Azure App Service Free Plan"/>
        <s v="Azure Data Lake Storage Gen2 Hierarchical Namespace"/>
        <s v="General Block Blob v2 Hierarchical Namespace"/>
        <s v="Virtual Machines BS Series"/>
        <s v="Standard HDD Managed Disks"/>
        <s v="General Block Blob v2"/>
        <s v="SQL Database Single/Elastic Pool General Purpose - SQL License"/>
      </sharedItems>
    </cacheField>
    <cacheField name="Meter Name" numFmtId="0">
      <sharedItems/>
    </cacheField>
    <cacheField name="Usage Start Date" numFmtId="0">
      <sharedItems containsSemiMixedTypes="0" containsNonDate="0" containsDate="1" containsString="0" minDate="2026-05-01T00:00:00" maxDate="2026-06-01T00:00:00"/>
    </cacheField>
    <cacheField name="Usage End Date" numFmtId="0">
      <sharedItems containsSemiMixedTypes="0" containsNonDate="0" containsDate="1" containsString="0" minDate="2026-05-01T00:00:00" maxDate="2026-06-01T00:00:00"/>
    </cacheField>
    <cacheField name="Quantity" numFmtId="0">
      <sharedItems containsSemiMixedTypes="0" containsString="0" containsNumber="1" minValue="5.03E-8" maxValue="17236.726472443999"/>
    </cacheField>
    <cacheField name="Unit" numFmtId="0">
      <sharedItems/>
    </cacheField>
    <cacheField name="Currency" numFmtId="0">
      <sharedItems/>
    </cacheField>
    <cacheField name="Resource Group Name" numFmtId="0">
      <sharedItems containsBlank="1"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longText="1"/>
    </cacheField>
    <cacheField name="Tags_Count" numFmtId="0">
      <sharedItems containsSemiMixedTypes="0" containsString="0" containsNumber="1" containsInteger="1" minValue="6" maxValue="16"/>
    </cacheField>
    <cacheField name="Total" numFmtId="165">
      <sharedItems containsSemiMixedTypes="0" containsString="0" containsNumber="1" minValue="0" maxValue="10380328.685327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3"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3860416561000002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&quot;,_x000a_  &quot;ERP&quot;: &quot;416.268826259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; ERP=416.268826259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416.266568047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8.1797100472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171.632213578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8; ERP=3171.632213578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3171.6363490726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3.7989019999999998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6974&quot;,_x000a_  &quot;ERP&quot;: &quot;0.530204875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6974; ERP=0.53020487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5265805399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1919760127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382.412134704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6; ERP=382.412134704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82.4126789479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0335985086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5&quot;,_x000a_  &quot;ERP&quot;: &quot;529.2415943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5; ERP=529.24159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29.2426043248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4.753264751299999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829.254568285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9; ERP=829.254568285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829.2540202876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67573443430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117.888628657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7; ERP=117.888628657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17.891993875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9.1848144326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5091.582725457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5091.58272545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091.582798804599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60000000001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5.10043409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03&quot;,_x000a_  &quot;ERP&quot;: &quot;71.185737251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03; ERP=71.18573725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1.18344985179999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7.1121284699999995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12&quot;,_x000a_  &quot;ERP&quot;: &quot;148.893830828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12; ERP=148.893830828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48.8965721813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2721840468999999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21&quot;,_x000a_  &quot;ERP&quot;: &quot;569.822745377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21; ERP=569.822745377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69.8240163907000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7500139999999999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7159356079999999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52&quot;,_x000a_  &quot;ERP&quot;: &quot;239.4896998208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52; ERP=239.489699820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239.490936868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746033989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63&quot;,_x000a_  &quot;ERP&quot;: &quot;243.690471567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63; ERP=243.690471567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43.687615147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1864874979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32&quot;,_x000a_  &quot;ERP&quot;: &quot;165.595685655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32; ERP=165.595685655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65.594204635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4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45.63346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635180.3357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635180.3357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635180.3354952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08.9167499999999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75040.40512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75040.40512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75040.4065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289452171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224.9578255782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3; ERP=224.9578255782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224.952886654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0947632E-3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99&quot;,_x000a_  &quot;ERP&quot;: &quot;0.1909918296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99; ERP=0.190991829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.18807329519999999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0.83640000000000003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65.597904&quot;,_x000a_  &quot;ERP&quot;: &quot;252.438733375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65.597904; ERP=252.4387333754; BenefitType=Charge; Frontdoor=9-MD; San Marino=San Marino"/>
    <n v="8"/>
    <n v="252.4360869056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9.1216530000000004E-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202&quot;,_x000a_  &quot;ERP&quot;: &quot;1.2730904472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2202; ERP=1.2730904472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1.270319923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4176749999999995E-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042&quot;,_x000a_  &quot;ERP&quot;: &quot;1.1748380644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2042; ERP=1.1748380644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1.173857529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5.2602780000000004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3633&quot;,_x000a_  &quot;ERP&quot;: &quot;0.734166061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3633; ERP=0.73416606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73606644539999999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titania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iolite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.3703980500000001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83&quot;,_x000a_  &quot;ERP&quot;: &quot;2.390796350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83; ERP=2.390796350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.39390086259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9940668999999999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142&quot;,_x000a_  &quot;ERP&quot;: &quot;0.347883707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142; ERP=0.347883707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3461387175000000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3007100000000004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93&quot;,_x000a_  &quot;ERP&quot;: &quot;1.158512097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293; ERP=1.158512097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15949193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8840769E-3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504&quot;,_x000a_  &quot;ERP&quot;: &quot;4.0252475406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504; ERP=4.025247540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4.02221864200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7.1669561649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1250.347171673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7; ERP=1250.347171673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250.3455118188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9965395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55&quot;,_x000a_  &quot;ERP&quot;: &quot;2.786529202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155; ERP=2.786529202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.7821466584999999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Queries"/>
    <d v="2026-05-01T00:00:00"/>
    <d v="2026-05-31T00:00:00"/>
    <n v="0.14887800000000001"/>
    <s v="1M"/>
    <s v="IDR"/>
    <s v="rg-zenobi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19999624&quot;,_x000a_  &quot;ERP&quot;: &quot;1038.9302334554&quot;,_x000a_  &quot;BenefitType&quot;: &quot;Charge&quot;_x000a_}"/>
    <s v="Organization Name=PT Nawa Darsana Teknologi; Publisher=Microsoft; Publisher Customer ID=346fa229-7c19-44ef-85c6-29e00edf66cf; Unit Price=6140.9919999624; ERP=1038.9302334554; BenefitType=Charge"/>
    <n v="6"/>
    <n v="1038.928606970400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447.75048921299998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21.1488&quot;,_x000a_  &quot;ERP&quot;: &quot;468687.3020872042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921.1488; ERP=468687.3020872042; BenefitType=Charge; Frontdoor=9-MD; San Marino=San Marino"/>
    <n v="8"/>
    <n v="468687.3058379679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Included LB Rules and Outbound Rules"/>
    <d v="2026-05-01T00:00:00"/>
    <d v="2026-05-31T00:00:00"/>
    <n v="744"/>
    <s v="1 Hour"/>
    <s v="IDR"/>
    <s v="mc_rg-zenobia_zenob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383.812; ERP=324495.6; BenefitType=Charge; aks-managed-cluster-name=zenobia; aks-managed-cluster-rg=rg-zenobia; MD=9MD; Product=DA; San Marino=San Marino; Shared=tru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101332646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27&quot;,_x000a_  &quot;ERP&quot;: &quot;212.141922449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27; ERP=212.141922449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12.144891990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2721070340000000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02.4047003349&quot;,_x000a_  &quot;ERP&quot;: &quot;569.66151642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702.4047003349; ERP=569.66151642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526.40629365929999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Consumption Data Retention"/>
    <d v="2026-05-01T00:00:00"/>
    <d v="2026-05-31T00:00:00"/>
    <n v="9.0836192999999999E-3"/>
    <s v="1 GB/Month"/>
    <s v="IDR"/>
    <s v="rg-zenobia"/>
    <s v="L2-DB-SCHEDUL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7167&quot;,_x000a_  &quot;ERP&quot;: &quot;19.0167383978&quot;,_x000a_  &quot;BenefitType&quot;: &quot;Charge&quot;_x000a_}"/>
    <s v="Organization Name=PT Nawa Darsana Teknologi; Publisher=Microsoft; Publisher Customer ID=346fa229-7c19-44ef-85c6-29e00edf66cf; Unit Price=1842.2975997167; ERP=19.0167383978; BenefitType=Charge"/>
    <n v="6"/>
    <n v="19.014730108999998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marguerite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Included LB Rules and Outbound Rules"/>
    <d v="2026-05-01T00:00:00"/>
    <d v="2026-05-31T00:00:00"/>
    <n v="744"/>
    <s v="1 Hour"/>
    <s v="IDR"/>
    <s v="mc_rg-zenobia_zenobi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383.812; ERP=324495.6; BenefitType=Charge; aks-managed-cluster-name=Zenobia; aks-managed-cluster-rg=rg-zenobia; MD=9MD; Product=DA; San Marino=San Marino; Shared=true"/>
    <n v="12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mithril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Private Endpoint"/>
    <d v="2026-05-01T00:00:00"/>
    <d v="2026-05-31T00:00:00"/>
    <n v="744"/>
    <s v="1 Hour"/>
    <s v="IDR"/>
    <s v="rg-zenobia"/>
    <s v="pe-aks-zenobia-to-giant-dev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_x000a_}"/>
    <s v="Organization Name=PT Nawa Darsana Teknologi; Publisher=Microsoft; Publisher Customer ID=346fa229-7c19-44ef-85c6-29e00edf66cf; Unit Price=153.5248; ERP=129798.24; BenefitType=Charge"/>
    <n v="6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6704491731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465.886562198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6; ERP=465.886562198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465.8901752059001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3.0808878214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9260.49168907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9260.49168907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9260.4926866186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7423607999999996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&quot;,_x000a_  &quot;ERP&quot;: &quot;1.001812125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; ERP=1.001812125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.001594799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.9871946000000001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036&quot;,_x000a_  &quot;ERP&quot;: &quot;0.346685167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036; ERP=0.346685167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34508365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7.5800545499999997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15&quot;,_x000a_  &quot;ERP&quot;: &quot;13.224162208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15; ERP=13.224162208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3.227263589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5.96670399999999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31537642890000001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17.6687521684&quot;,_x000a_  &quot;ERP&quot;: &quot;660.2468602444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717.6687521684; ERP=660.2468602444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615.5822370700999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7.3594247900000007E-2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41.1961233432&quot;,_x000a_  &quot;ERP&quot;: &quot;154.0710290262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741.1961233432; ERP=154.0710290262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145.6120191827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3.47222744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350.364799182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8; ERP=2350.364799182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350.3610237426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0564112799999999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1&quot;,_x000a_  &quot;ERP&quot;: &quot;3.587614630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1; ERP=3.58761463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.5871013066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1.01062700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920.9139864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1920.913986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920.9143092833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5.045005235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624.751612425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624.751612425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624.751419826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5.8000337761000003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011.8738915142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9; ERP=1011.8738915142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1011.8690254668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0.9031932428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1902.1710926504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1902.1710926504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1902.1705619674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6.6718004600000005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7.8728406981&quot;,_x000a_  &quot;ERP&quot;: &quot;139.675476083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687.8728406981; ERP=139.675476083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27.97150802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4.544649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7535&quot;,_x000a_  &quot;ERP&quot;: &quot;0.951429822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7535; ERP=0.951429822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94725964480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5.3641665988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680.432503291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680.432503291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680.4306042408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4.627244821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4296.469131297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8; ERP=4296.469131297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4296.4728358101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6.5966853257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895.45772092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895.45772092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895.452795295199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Data Processed"/>
    <d v="2026-05-01T00:00:00"/>
    <d v="2026-05-31T00:00:00"/>
    <n v="1608.2719154321001"/>
    <s v="1 GB"/>
    <s v="IDR"/>
    <s v="mc_rg-zenobia_zenobi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140289.5591820866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76.7624; ERP=140289.5591820866; BenefitType=Charge; aks-managed-cluster-name=Zenobia; aks-managed-cluster-rg=rg-zenobia; MD=9MD; Product=DA; San Marino=San Marino; Shared=true"/>
    <n v="12"/>
    <n v="140289.5620811624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2018608000000002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222&quot;,_x000a_  &quot;ERP&quot;: &quot;4.60963794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222; ERP=4.60963794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.606482813000000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7.0231530797000001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1225.2592845922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7; ERP=1225.259284592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1225.258171924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2.1970308115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127.893995112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8; ERP=2127.893995112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127.89671594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2.1824372336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869.947999145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869.947999145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869.944239802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15000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654.238084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654.23808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654.2395143600000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74.9500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763044.643075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3838.12; ERP=763044.643075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763044.64590599993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9166840000000000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998.11726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998.11726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998.11319408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5.96670000000000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328.7620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328.7620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31328.760604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3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43929.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43929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43929.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.0000000000000002E-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0.08723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3838.12; ERP=0.08723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8.676239999999999E-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1000019999999999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.158723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.15872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36.15967624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65.74394684559999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1469.688965706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1469.688965706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1469.68629068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16667000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726.93120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726.93120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26.9294604000000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98335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288.88974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288.8897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288.8929782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30000000000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6646999999999999E-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4.9940999999999999E-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30000000000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60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.9334120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6668500000000002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58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8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8.3235000000000003E-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4.91676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7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60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7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7.716661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7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5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.3295999999999999E-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29.0012086919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5059.550868057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5059.550868057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059.5547641727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079701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76375&quot;,_x000a_  &quot;ERP&quot;: &quot;0.018836446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76375; ERP=0.018836446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6576086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8.6583555699999995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8.3178151037&quot;,_x000a_  &quot;ERP&quot;: &quot;120.842936042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18.3178151037; ERP=120.842936042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00.18957723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1.8622260000000001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539&quot;,_x000a_  &quot;ERP&quot;: &quot;0.259907018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539; ERP=0.259907018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258718305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5.2093166900000001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59.2643185737&quot;,_x000a_  &quot;ERP&quot;: &quot;72.705390271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59.2643185737; ERP=72.705390271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62.700432894099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310033854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03&quot;,_x000a_  &quot;ERP&quot;: &quot;182.838804376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03; ERP=182.83880437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82.838148353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5.9533687000000004E-3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474&quot;,_x000a_  &quot;ERP&quot;: &quot;8.3089959524&quot;,_x000a_  &quot;BenefitType&quot;: &quot;Charge&quot;,_x000a_  &quot;CDN&quot;: &quot;CDN&quot;_x000a_}"/>
    <s v="Organization Name=PT Nawa Darsana Teknologi; Publisher=Microsoft; Publisher Customer ID=346fa229-7c19-44ef-85c6-29e00edf66cf; Unit Price=1228.1983999474; ERP=8.3089959524; BenefitType=Charge; CDN=CDN"/>
    <n v="7"/>
    <n v="8.3119179494999997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9.4806000000000008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.2872&quot;,_x000a_  &quot;ERP&quot;: &quot;2480.97821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30.2872; ERP=2480.978214; BenefitType=Charge; Frontdoor=9-MD; San Marino=San Marino"/>
    <n v="8"/>
    <n v="2480.98082832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1.3532884140000001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8.7728&quot;,_x000a_  &quot;ERP&quot;: &quot;2597.041663073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88.7728; ERP=2597.041663073; BenefitType=Charge; Frontdoor=9-MD; San Marino=San Marino"/>
    <n v="8"/>
    <n v="2597.036664118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7.2860576194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1271.125610640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1271.12561064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271.1305388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878579529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89&quot;,_x000a_  &quot;ERP&quot;: &quot;262.189587145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89; ERP=262.18958714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62.1868371772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5.43315E-5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226&quot;,_x000a_  &quot;ERP&quot;: &quot;0.075829039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226; ERP=0.075829039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7.67298568999999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Private Endpoint"/>
    <d v="2026-05-01T00:00:00"/>
    <d v="2026-05-31T00:00:00"/>
    <n v="744"/>
    <s v="1 Hour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CDN&quot;: &quot;CDN&quot;_x000a_}"/>
    <s v="Organization Name=PT Nawa Darsana Teknologi; Publisher=Microsoft; Publisher Customer ID=346fa229-7c19-44ef-85c6-29e00edf66cf; Unit Price=153.5248; ERP=129798.24; BenefitType=Charge; CDN=CDN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Private Endpoint"/>
    <d v="2026-05-01T00:00:00"/>
    <d v="2026-05-31T00:00:00"/>
    <n v="744"/>
    <s v="1 Hour"/>
    <s v="IDR"/>
    <s v="rg-zenobia"/>
    <s v="aks-zenobia-to-db-dev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451529218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62&quot;,_x000a_  &quot;ERP&quot;: &quot;202.5870291302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62; ERP=202.587029130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202.586586293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1.03578139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718&quot;,_x000a_  &quot;ERP&quot;: &quot;14.456193494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9718; ERP=14.456193494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4.451450470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9.5835427799999998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47.6761100295&quot;,_x000a_  &quot;ERP&quot;: &quot;133.755589453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47.6761100295; ERP=133.755589453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14.0944881518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05013271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4.376523424&quot;,_x000a_  &quot;ERP&quot;: &quot;146.564922418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84.376523424; ERP=146.564922418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29.403926581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440646164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11&quot;,_x000a_  &quot;ERP&quot;: &quot;201.068103607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11; ERP=201.06810360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01.0699313725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5588746685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5&quot;,_x000a_  &quot;ERP&quot;: &quot;271.961273183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5; ERP=271.961273183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71.965921713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695509107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2&quot;,_x000a_  &quot;ERP&quot;: &quot;470.25851758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2; ERP=470.25851758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70.2574966684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175548624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30.626212245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8; ERP=30.626212245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30.6310674278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8617323721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7&quot;,_x000a_  &quot;ERP&quot;: &quot;673.717829270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7; ERP=673.717829270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673.7216900764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8678463865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1023.704479454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6; ERP=1023.70447945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023.699942916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3.4339545300000003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7&quot;,_x000a_  &quot;ERP&quot;: &quot;5.990876148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7; ERP=5.990876148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.9919718234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3.8952326132000001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679.5622811406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9; ERP=679.5622811406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679.5648078943999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8.279835222299999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444.500052481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9; ERP=1444.500052481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444.500046533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8.708800467699999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519.337328251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9; ERP=1519.337328251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519.3368500368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5.95909674E-2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3.4370457749&quot;,_x000a_  &quot;ERP&quot;: &quot;83.1699197758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83.4370457749; ERP=83.1699197758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73.36306164449999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7.4118929999999995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905&quot;,_x000a_  &quot;ERP&quot;: &quot;0.129306262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7905; ERP=0.129306262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13379094590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3.9018609253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425.318656103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9; ERP=2425.318656103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425.3204181936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3317910880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39&quot;,_x000a_  &quot;ERP&quot;: &quot;57.884271816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39; ERP=57.88427181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7.888160422699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3599758999999999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932&quot;,_x000a_  &quot;ERP&quot;: &quot;1.89808990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1932; ERP=1.89808990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.900320219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3.3873968525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4&quot;,_x000a_  &quot;ERP&quot;: &quot;18684.522037352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4; ERP=18684.522037352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8684.5193943880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.3445800000000003E-5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56032&quot;,_x000a_  &quot;ERP&quot;: &quot;0.009323142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56032; ERP=0.009323142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8.2052567999999996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.7572529999999998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193&quot;,_x000a_  &quot;ERP&quot;: &quot;0.065548111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7193; ERP=0.06554811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6.7683155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27.620273266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4818.632872939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4818.632872939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818.6369291032997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3.5684999999999998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57.921664&quot;,_x000a_  &quot;ERP&quot;: &quot;1045.901655055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57.921664; ERP=1045.9016550554; BenefitType=Charge; Frontdoor=9-MD; San Marino=San Marino"/>
    <n v="8"/>
    <n v="1045.9034579839999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7.1434081999999996E-2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7.0496&quot;,_x000a_  &quot;ERP&quot;: &quot;24.9247791936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307.0496; ERP=24.9247791936; BenefitType=Charge; Frontdoor=9-MD; San Marino=San Marino"/>
    <n v="8"/>
    <n v="24.92380630450000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1.6457795000000001E-2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88.7728&quot;,_x000a_  &quot;ERP&quot;: &quot;31.583495200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88.7728; ERP=31.5834952004; BenefitType=Charge; Frontdoor=9-MD; San Marino=San Marino"/>
    <n v="8"/>
    <n v="31.58347654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0.139094946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51&quot;,_x000a_  &quot;ERP&quot;: &quot;24.266503232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51; ERP=24.266503232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4.2645237597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2223300000000001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452&quot;,_x000a_  &quot;ERP&quot;: &quot;1.147573455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1452; ERP=1.147573455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149865298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6973979999999996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31&quot;,_x000a_  &quot;ERP&quot;: &quot;1.213876978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231; ERP=1.213876978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2182130309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4.9238466000000002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657&quot;,_x000a_  &quot;ERP&quot;: &quot;6.872113734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657; ERP=6.87211373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6.867460482200000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2.1044048800000001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73.42032&quot;,_x000a_  &quot;ERP&quot;: &quot;4001.765781127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73.42032; ERP=4001.7657811274; BenefitType=Charge; Frontdoor=9-MD; San Marino=San Marino"/>
    <n v="8"/>
    <n v="4001.7638876992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8.0776272999999996E-2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7.0496&quot;,_x000a_  &quot;ERP&quot;: &quot;28.184456128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307.0496; ERP=28.1844561284; BenefitType=Charge; Frontdoor=9-MD; San Marino=San Marino"/>
    <n v="8"/>
    <n v="28.182322314099999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1.0861000000000001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57.921664&quot;,_x000a_  &quot;ERP&quot;: &quot;318.328088335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57.921664; ERP=318.3280883354; BenefitType=Charge; Frontdoor=9-MD; San Marino=San Marino"/>
    <n v="8"/>
    <n v="318.32871927039997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2.7880259999999999E-3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6.3968&quot;,_x000a_  &quot;ERP&quot;: &quot;7.7823832086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456.3968; ERP=7.7823832086; BenefitType=Charge; Frontdoor=9-MD; San Marino=San Marino"/>
    <n v="8"/>
    <n v="7.778498144699998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7.084115332899999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7&quot;,_x000a_  &quot;ERP&quot;: &quot;9887.158087263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7; ERP=9887.158087263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9887.159117310398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4.9999799999999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4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4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3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35206.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35206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35206.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474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474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3147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2 v3/D2s v3"/>
    <d v="2026-05-01T00:00:00"/>
    <d v="2026-05-31T00:00:00"/>
    <n v="0.28333000000000003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617.8718975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617.871897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617.86726980000003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Consumption Standard Connector Actions"/>
    <d v="2026-05-01T00:00:00"/>
    <d v="2026-05-31T00:00:00"/>
    <n v="341"/>
    <s v="1"/>
    <s v="IDR"/>
    <s v="rg-zenobia"/>
    <s v="L2-DB-SCHEDUL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.91906&quot;,_x000a_  &quot;ERP&quot;: &quot;743.63575&quot;,_x000a_  &quot;BenefitType&quot;: &quot;Charge&quot;_x000a_}"/>
    <s v="Organization Name=PT Nawa Darsana Teknologi; Publisher=Microsoft; Publisher Customer ID=346fa229-7c19-44ef-85c6-29e00edf66cf; Unit Price=1.91906; ERP=743.63575; BenefitType=Charge"/>
    <n v="6"/>
    <n v="743.63945999999999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tungsten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anvil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zepar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4376799999999998E-3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1&quot;,_x000a_  &quot;ERP&quot;: &quot;0.4252776528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1; ERP=0.425277652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.42424433880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4.568762370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541.666283070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8; ERP=2541.666283070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541.6663291609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8.1614750829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168.450942456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168.45094245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168.446829799199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8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8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.111813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73781&quot;,_x000a_  &quot;ERP&quot;: &quot;0.019396462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73781; ERP=0.019396462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7069084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4.9227849000000002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39&quot;,_x000a_  &quot;ERP&quot;: &quot;0.858828198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39; ERP=0.858828198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85576956179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.03E-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2263833&quot;,_x000a_  &quot;ERP&quot;: &quot;8.723e-0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2263833; ERP=8.723e-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.7208999999999992E-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47517547E-2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59&quot;,_x000a_  &quot;ERP&quot;: &quot;2.573590305&quot;,_x000a_  &quot;BenefitType&quot;: &quot;Charge&quot;,_x000a_  &quot;CDN&quot;: &quot;CDN&quot;_x000a_}"/>
    <s v="Organization Name=PT Nawa Darsana Teknologi; Publisher=Microsoft; Publisher Customer ID=346fa229-7c19-44ef-85c6-29e00edf66cf; Unit Price=153.5247999759; ERP=2.573590305; BenefitType=Charge; CDN=CDN"/>
    <n v="7"/>
    <n v="2.574760189800000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0.115708751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6.3968&quot;,_x000a_  &quot;ERP&quot;: &quot;322.9847781446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456.3968; ERP=322.9847781446; BenefitType=Charge; Frontdoor=9-MD; San Marino=San Marino"/>
    <n v="8"/>
    <n v="322.9866056884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9.6080000000000005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.2872&quot;,_x000a_  &quot;ERP&quot;: &quot;2514.317518255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30.2872; ERP=2514.3175182554; BenefitType=Charge; Frontdoor=9-MD; San Marino=San Marino"/>
    <n v="8"/>
    <n v="2514.3194176000002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2.5323553130000001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6.5795999994&quot;,_x000a_  &quot;ERP&quot;: &quot;3644.806339831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266.5795999994; ERP=3644.8063398318; BenefitType=Charge; Frontdoor=9-MD; San Marino=San Marino"/>
    <n v="8"/>
    <n v="3644.809579395900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2.5420755999999999E-2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21.1488&quot;,_x000a_  &quot;ERP&quot;: &quot;26.609429503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921.1488; ERP=26.6094295038; BenefitType=Charge; Frontdoor=9-MD; San Marino=San Marino"/>
    <n v="8"/>
    <n v="26.60629888449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60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5279300000000002E-5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9744&quot;,_x000a_  &quot;ERP&quot;: &quot;0.119021845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89744; ERP=0.119021845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.114739955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9.4751639999999995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525&quot;,_x000a_  &quot;ERP&quot;: &quot;1.322429479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525; ERP=1.322429479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3237381401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3.4729466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6501&quot;,_x000a_  &quot;ERP&quot;: &quot;4.847121622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6501; ERP=4.847121622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.8454674367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7.62273568379999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99&quot;,_x000a_  &quot;ERP&quot;: &quot;38552.499739096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99; ERP=38552.499739096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8552.49977047099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8901630999999999E-3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788&quot;,_x000a_  &quot;ERP&quot;: &quot;4.033741998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788; ERP=4.03374199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4.0296936946000006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5778999999999999E-6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0071&quot;,_x000a_  &quot;ERP&quot;: &quot;0.003597365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80071; ERP=0.00359736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.1661736999999998E-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7274322000000002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053&quot;,_x000a_  &quot;ERP&quot;: &quot;3.80662124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053; ERP=3.80662124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.8098278330999999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In"/>
    <d v="2026-05-01T00:00:00"/>
    <d v="2026-05-31T00:00:00"/>
    <n v="7.5368600000000003E-3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4&quot;,_x000a_  &quot;ERP&quot;: &quot;10.519044764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228.1984; ERP=10.5190447648; BenefitType=Charge; Frontdoor=9-MD; San Marino=San Marino"/>
    <n v="8"/>
    <n v="10.51675939299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9500180000000000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143.50350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143.50350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143.503086159999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16666900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726.926843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726.926843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26.9256222799999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46667500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2035.403012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2035.403012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035.40465100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1000019999999999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.158723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.15872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36.1596762400000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6.204087264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6.5795999998&quot;,_x000a_  &quot;ERP&quot;: &quot;8929.5117772432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266.5795999998; ERP=8929.5117772432; BenefitType=Charge; Frontdoor=9-MD; San Marino=San Marino"/>
    <n v="8"/>
    <n v="8929.5103652010002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0.29339999999999999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69.994768&quot;,_x000a_  &quot;ERP&quot;: &quot;123.359619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369.994768; ERP=123.35961924; BenefitType=Charge; Frontdoor=9-MD; San Marino=San Marino"/>
    <n v="8"/>
    <n v="123.35646493119999"/>
  </r>
  <r>
    <s v="May"/>
    <s v="Microsoft CSP Azure Plan"/>
    <s v="Divisi Inovasi"/>
    <s v="divisiinovasi.onmicrosoft.com"/>
    <s v="a4cdaa2e-caa7-440f-b849-928a3ceb7e31"/>
    <s v="AzureCSP_DivisiInovasi"/>
    <n v="1141685"/>
    <s v="Azure Kubernetes Service"/>
    <x v="8"/>
    <x v="11"/>
    <s v="Standard Uptime SLA"/>
    <d v="2026-05-01T00:00:00"/>
    <d v="2026-05-31T00:00:00"/>
    <n v="743.97283662919995"/>
    <s v="1 Hour"/>
    <s v="IDR"/>
    <s v="rg-zenobia"/>
    <s v="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5.248&quot;,_x000a_  &quot;ERP&quot;: &quot;1297935.0107829534&quot;,_x000a_  &quot;BenefitType&quot;: &quot;Charge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1535.248; ERP=1297935.0107829534; BenefitType=Charge; MD=9MD; Product=DA; San Marino=San Marino; Shared=true"/>
    <n v="10"/>
    <n v="1297935.00948937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2066848390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04.1997244542&quot;,_x000a_  &quot;ERP&quot;: &quot;432.698842747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704.1997244542; ERP=432.698842747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400.2622456392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22450391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09&quot;,_x000a_  &quot;ERP&quot;: &quot;470.00343089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09; ERP=470.00343089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70.0030200402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6.2336166999999998E-3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058&quot;,_x000a_  &quot;ERP&quot;: &quot;1.0875156006&quot;,_x000a_  &quot;BenefitType&quot;: &quot;Charge&quot;,_x000a_  &quot;CDN&quot;: &quot;CDN&quot;_x000a_}"/>
    <s v="Organization Name=PT Nawa Darsana Teknologi; Publisher=Microsoft; Publisher Customer ID=346fa229-7c19-44ef-85c6-29e00edf66cf; Unit Price=153.5247999058; ERP=1.0875156006; BenefitType=Charge; CDN=CDN"/>
    <n v="7"/>
    <n v="1.0870147615000001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Overage LB Rules and Outbound Rules"/>
    <d v="2026-05-01T00:00:00"/>
    <d v="2026-05-31T00:00:00"/>
    <n v="4464"/>
    <s v="1/Hour"/>
    <s v="IDR"/>
    <s v="mc_rg-zenobia_zenob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778789.44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153.5248; ERP=778789.44; BenefitType=Charge; aks-managed-cluster-name=zenobia; aks-managed-cluster-rg=rg-zenobia; MD=9MD; Product=DA; San Marino=San Marino; Shared=true"/>
    <n v="12"/>
    <n v="778789.4371999999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14210160359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94.1429197904&quot;,_x000a_  &quot;ERP&quot;: &quot;297.492548610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694.1429197904; ERP=297.492548610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73.5704255622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8.6925523399999996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25.9906786219&quot;,_x000a_  &quot;ERP&quot;: &quot;181.980321608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725.9906786219; ERP=181.980321608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70.492643046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3743978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67&quot;,_x000a_  &quot;ERP&quot;: &quot;28.773291775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842.2975999867; ERP=28.773291775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8.7704976720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232876740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42&quot;,_x000a_  &quot;ERP&quot;: &quot;487.532112724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42; ERP=487.53211272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87.5282599261000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79.9500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784852.14307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784852.1430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84852.1459060000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.933406000000000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2794.050269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3838.12; ERP=12794.050269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2794.0542367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3996749999999999E-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9068&quot;,_x000a_  &quot;ERP&quot;: &quot;0.2930247606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9068; ERP=0.293024760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.2978618599000000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1440099366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32&quot;,_x000a_  &quot;ERP&quot;: &quot;301.4876808658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32; ERP=301.487680865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301.4891605735999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6333459999999999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2762.33857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2762.33857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762.33794952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11233153849999999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12&quot;,_x000a_  &quot;ERP&quot;: &quot;235.1683221316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12; ERP=235.168322131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235.1681237091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6134537560999999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69&quot;,_x000a_  &quot;ERP&quot;: &quot;1284.277706912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69; ERP=1284.277706912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284.2743825473001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serrulata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zenobia"/>
    <s v="haapalaite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Data Processed"/>
    <d v="2026-05-01T00:00:00"/>
    <d v="2026-05-31T00:00:00"/>
    <n v="86.816859723099995"/>
    <s v="1 GB"/>
    <s v="IDR"/>
    <s v="mc_rg-zenobia_zenob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7573.0346733756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76.7624; ERP=7573.0346733756; BenefitType=Charge; aks-managed-cluster-name=zenobia; aks-managed-cluster-rg=rg-zenobia; MD=9MD; Product=DA; San Marino=San Marino; Shared=true"/>
    <n v="12"/>
    <n v="7573.0305128061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5-01T00:00:00"/>
    <d v="2026-05-31T00:00:00"/>
    <n v="744"/>
    <s v="1 Hour"/>
    <s v="IDR"/>
    <s v="rg-zenobia"/>
    <s v="zenobia-ip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_x000a_}"/>
    <s v="Organization Name=PT Nawa Darsana Teknologi; Publisher=Microsoft; Publisher Customer ID=346fa229-7c19-44ef-85c6-29e00edf66cf; Unit Price=76.7624; ERP=64899.12; BenefitType=Charge"/>
    <n v="6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6772959999999999E-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49&quot;,_x000a_  &quot;ERP&quot;: &quot;0.0990444312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49; ERP=0.099044431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9.7160570899999993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3.3865023552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335.409199981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8; ERP=2335.409199981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335.4100968027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14709693939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48&quot;,_x000a_  &quot;ERP&quot;: &quot;25.662530407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48; ERP=25.662530407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5.6630281989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2.217423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5777&quot;,_x000a_  &quot;ERP&quot;: &quot;0.038684760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5777; ERP=0.038684760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3.4042944800000002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3.3448954099999997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97&quot;,_x000a_  &quot;ERP&quot;: &quot;5.83550381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97; ERP=5.8355038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.835243990000000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4.8633282999999998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69&quot;,_x000a_  &quot;ERP&quot;: &quot;0.84845480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69; ERP=0.84845480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846641504599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9.5025739000000001E-3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05&quot;,_x000a_  &quot;ERP&quot;: &quot;1.6578183622&quot;,_x000a_  &quot;BenefitType&quot;: &quot;Charge&quot;,_x000a_  &quot;CDN&quot;: &quot;CDN&quot;_x000a_}"/>
    <s v="Organization Name=PT Nawa Darsana Teknologi; Publisher=Microsoft; Publisher Customer ID=346fa229-7c19-44ef-85c6-29e00edf66cf; Unit Price=153.5247999505; ERP=1.6578183622; BenefitType=Charge; CDN=CDN"/>
    <n v="7"/>
    <n v="1.6588807524"/>
  </r>
  <r>
    <s v="May"/>
    <s v="Microsoft CSP Azure Plan"/>
    <s v="Divisi Inovasi"/>
    <s v="divisiinovasi.onmicrosoft.com"/>
    <s v="a4cdaa2e-caa7-440f-b849-928a3ceb7e31"/>
    <s v="AzureCSP_DivisiInovasi"/>
    <n v="1141685"/>
    <s v="Microsoft Def for SQL"/>
    <x v="9"/>
    <x v="13"/>
    <s v="Standard Node"/>
    <d v="2026-05-01T00:00:00"/>
    <d v="2026-05-31T00:00:00"/>
    <n v="1"/>
    <s v="1/Month"/>
    <s v="IDR"/>
    <s v="rg-zenobia"/>
    <s v="Zenobia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2&quot;,_x000a_  &quot;ERP&quot;: &quot;261689.9999982554&quot;,_x000a_  &quot;BenefitType&quot;: &quot;Charge&quot;,_x000a_  &quot;MD&quot;: &quot;Shared&quot;,_x000a_  &quot;Product&quot;: &quot;DA&quot;_x000a_}"/>
    <s v="Organization Name=PT Nawa Darsana Teknologi; Publisher=Microsoft; Publisher Customer ID=346fa229-7c19-44ef-85c6-29e00edf66cf; Unit Price=230287.1999999972; ERP=261689.9999982554; BenefitType=Charge; MD=Shared; Product=DA"/>
    <n v="8"/>
    <n v="261689.9999999970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4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8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7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5-01T00:00:00"/>
    <d v="2026-05-31T00:00:00"/>
    <n v="744"/>
    <s v="1 Hour"/>
    <s v="IDR"/>
    <s v="mc_rg-zenobia_zenobia_southeastasia"/>
    <s v="0369c61a-95c2-43e0-8b57-3ed9f3760300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Zenobia&quot;,_x000a_  &quot;aks-managed-cluster-rg&quot;: &quot;rg-zenobia&quot;,_x000a_  &quot;aks-managed-type&quot;: &quot;aks-slb-managed-outbound-ip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76.7624; ERP=64899.12; BenefitType=Charge; aks-managed-cluster-name=Zenobia; aks-managed-cluster-rg=rg-zenobia; aks-managed-type=aks-slb-managed-outbound-ip; MD=9MD; Product=DA; San Marino=San Marino; Shared=true"/>
    <n v="13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5-01T00:00:00"/>
    <d v="2026-05-31T00:00:00"/>
    <n v="744"/>
    <s v="1 Hour"/>
    <s v="IDR"/>
    <s v="mc_rg-zenobia_zenobia_southeastasia"/>
    <s v="kubernetes-a94a6add42ea54084a6ada86ffd9019c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zenobia&quot;,_x000a_  &quot;aks-managed-cluster-rg&quot;: &quot;rg-zenobia&quot;,_x000a_  &quot;k8s-azure-cluster-name&quot;: &quot;kubernetes&quot;,_x000a_  &quot;k8s-azure-service&quot;: &quot;chatgpt/custom-ingress-ingress-nginx-controller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76.7624; ERP=64899.12; BenefitType=Charge; aks-managed-cluster-name=zenobia; aks-managed-cluster-rg=rg-zenobia; k8s-azure-cluster-name=kubernetes; k8s-azure-service=chatgpt/custom-ingress-ingress-nginx-controller; MD=9MD; Product=DA; San Marino=San Marino; Shared=true"/>
    <n v="14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9.6574160300000003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25&quot;,_x000a_  &quot;ERP&quot;: &quot;202.179935443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25; ERP=202.17993544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02.178343687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110201160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881&quot;,_x000a_  &quot;ERP&quot;: &quot;230.708332483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881; ERP=230.70833248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30.713333363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2666608485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86&quot;,_x000a_  &quot;ERP&quot;: &quot;2651.779819202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86; ERP=2651.779819202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651.7762414478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9.5060576699999996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93.8685837239&quot;,_x000a_  &quot;ERP&quot;: &quot;199.011218463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693.8685837239; ERP=199.011218463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82.9801243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5219578472999999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614.4407647664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4; ERP=614.4407647664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614.4378741115000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7.5394305999999999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&quot;,_x000a_  &quot;ERP&quot;: &quot;1.315328957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; ERP=1.31532895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.317489579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315086301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5&quot;,_x000a_  &quot;ERP&quot;: &quot;229.429955898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5; ERP=229.429955898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229.428361407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0886791630000001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71.9154327559&quot;,_x000a_  &quot;ERP&quot;: &quot;151.9447733518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71.9154327559; ERP=151.9447733518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132.607199590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5.5330687199999999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13.4676347284&quot;,_x000a_  &quot;ERP&quot;: &quot;77.2239321854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13.4676347284; ERP=77.2239321854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63.725860687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8790776916000000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4&quot;,_x000a_  &quot;ERP&quot;: &quot;153.3638937974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4; ERP=153.3638937974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153.3602267845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394090826599999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417.673084457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53.5247999998; ERP=417.673084457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417.672315338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3758213259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414.48578748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6; ERP=414.48578748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14.4874938978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1.8292282865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063.727165728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063.727165728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063.7299068582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3690256941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413.300221877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413.300221877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13.3041958974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8166830000000000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.95005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34049445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33&quot;,_x000a_  &quot;ERP&quot;: &quot;475.221295720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33; ERP=475.22129572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75.2247412075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379147638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28.8070779217&quot;,_x000a_  &quot;ERP&quot;: &quot;192.4848774706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028.8070779217; ERP=192.4848774706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61.23768510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6.8018915099999994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828&quot;,_x000a_  &quot;ERP&quot;: &quot;94.93263928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828; ERP=94.93263928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94.9307227333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7.1183576200000001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14&quot;,_x000a_  &quot;ERP&quot;: &quot;99.34949195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14; ERP=99.34949195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99.34755445420000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Private Endpoint"/>
    <d v="2026-05-01T00:00:00"/>
    <d v="2026-05-31T00:00:00"/>
    <n v="744"/>
    <s v="1 Hour"/>
    <s v="IDR"/>
    <s v="rg-zenobia"/>
    <s v="aks-access-to-aks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San Marino&quot;: &quot;San Marino&quot;_x000a_}"/>
    <s v="Organization Name=PT Nawa Darsana Teknologi; Publisher=Microsoft; Publisher Customer ID=346fa229-7c19-44ef-85c6-29e00edf66cf; Unit Price=153.5248; ERP=129798.24; BenefitType=Charge; San Marino=San Marino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4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60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6.2336166999999998E-3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416&quot;,_x000a_  &quot;ERP&quot;: &quot;8.7001335278&quot;,_x000a_  &quot;BenefitType&quot;: &quot;Charge&quot;,_x000a_  &quot;CDN&quot;: &quot;CDN&quot;_x000a_}"/>
    <s v="Organization Name=PT Nawa Darsana Teknologi; Publisher=Microsoft; Publisher Customer ID=346fa229-7c19-44ef-85c6-29e00edf66cf; Unit Price=1228.1983999416; ERP=8.7001335278; BenefitType=Charge; CDN=CDN"/>
    <n v="7"/>
    <n v="8.696118096199999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1.1632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7.629232&quot;,_x000a_  &quot;ERP&quot;: &quot;525.593546735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397.629232; ERP=525.5935467354; BenefitType=Charge; Frontdoor=9-MD; San Marino=San Marino"/>
    <n v="8"/>
    <n v="525.59232266239997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0.53406325600000004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49.3472&quot;,_x000a_  &quot;ERP&quot;: &quot;1304.417458286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149.3472; ERP=1304.4174582868; BenefitType=Charge; Frontdoor=9-MD; San Marino=San Marino"/>
    <n v="8"/>
    <n v="1304.417363906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8204527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983&quot;,_x000a_  &quot;ERP&quot;: &quot;3.936449145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1983; ERP=3.93644914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.9340754606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6.6185560000000003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962&quot;,_x000a_  &quot;ERP&quot;: &quot;0.923737786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1962; ERP=0.923737786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922889943599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7949730000000002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443&quot;,_x000a_  &quot;ERP&quot;: &quot;1.2274953262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1228.1983992443; ERP=1.2274953262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1.2301971357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4.0807849999999999E-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76694&quot;,_x000a_  &quot;ERP&quot;: &quot;0.0711918922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76694; ERP=0.071191892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7.2650175899999989E-2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0.42724672899999999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19.47776&quot;,_x000a_  &quot;ERP&quot;: &quot;834.8195997856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719.47776; ERP=834.8195997856; BenefitType=Charge; Frontdoor=9-MD; San Marino=San Marino"/>
    <n v="8"/>
    <n v="834.8212485481999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.9533687000000004E-3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31&quot;,_x000a_  &quot;ERP&quot;: &quot;1.0386231856&quot;,_x000a_  &quot;BenefitType&quot;: &quot;Charge&quot;,_x000a_  &quot;CDN&quot;: &quot;CDN&quot;_x000a_}"/>
    <s v="Organization Name=PT Nawa Darsana Teknologi; Publisher=Microsoft; Publisher Customer ID=346fa229-7c19-44ef-85c6-29e00edf66cf; Unit Price=153.5247999631; ERP=1.0386231856; BenefitType=Charge; CDN=CDN"/>
    <n v="7"/>
    <n v="1.0339897435000001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Consumption Built-in Actions"/>
    <d v="2026-05-01T00:00:00"/>
    <d v="2026-05-31T00:00:00"/>
    <n v="744"/>
    <s v="1"/>
    <s v="IDR"/>
    <s v="rg-zenobia"/>
    <s v="L2-DB-SCHEDUL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383812&quot;,_x000a_  &quot;ERP&quot;: &quot;324.4956&quot;,_x000a_  &quot;BenefitType&quot;: &quot;Charge&quot;_x000a_}"/>
    <s v="Organization Name=PT Nawa Darsana Teknologi; Publisher=Microsoft; Publisher Customer ID=346fa229-7c19-44ef-85c6-29e00edf66cf; Unit Price=0.383812; ERP=324.4956; BenefitType=Charge"/>
    <n v="6"/>
    <n v="324.496128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76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245-c12e-11f0-9ecd-06b0a643659e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245-c12e-11f0-9ecd-06b0a643659e; aks-managed-creationSource=vmssclient-aks-systemeph-33467302-vmss; aks-managed-enable-imds-restriction=False; aks-managed-kubeletIdentityClientID=4409dc29-d62e-4794-8741-ad0b30e1a65c; aks-managed-operationID=8e79d3ef-cb1b-4ac2-95a5-6d832a31036f; aks-managed-orchestrator=Kubernetes:1.33.5; aks-managed-poolName=system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28333900000000001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183337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29c2814-c12e-11f0-9ecd-06b0a643659e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8e79d3ef-cb1b-4ac2-95a5-6d832a31036f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true&quot;_x000a_}"/>
    <s v="Organization Name=PT Nawa Darsana Teknologi; Publisher=Microsoft; Publisher Customer ID=346fa229-7c19-44ef-85c6-29e00edf66cf; Unit Price=0.0; ERP=0.0; BenefitType=Charge; aks-managed-consolidated-additional-properties=629c2814-c12e-11f0-9ecd-06b0a643659e; aks-managed-creationSource=vmssclient-aks-usereph-32964874-vmss; aks-managed-enable-imds-restriction=False; aks-managed-kubeletIdentityClientID=4409dc29-d62e-4794-8741-ad0b30e1a65c; aks-managed-operationID=8e79d3ef-cb1b-4ac2-95a5-6d832a31036f; aks-managed-orchestrator=Kubernetes:1.33.5; aks-managed-poolName=usereph; aks-managed-resourceNameSuffix=38765934.0; aks-managed-ssh-access=LocalUser; compute.aks.billing=true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4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57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8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8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.049944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81.36652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5.215974007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654.5788240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654.5788240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654.5793663408999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zenobia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_x000a_}"/>
    <s v="Organization Name=PT Nawa Darsana Teknologi; Publisher=Microsoft; Publisher Customer ID=346fa229-7c19-44ef-85c6-29e00edf66cf; Unit Price=2368.904172042; ERP=8722.9999982554; BenefitType=Charge"/>
    <n v="6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zenobi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77.1581935474&quot;,_x000a_  &quot;ERP&quot;: &quot;8722.9999982554&quot;,_x000a_  &quot;BenefitType&quot;: &quot;Charge&quot;_x000a_}"/>
    <s v="Organization Name=PT Nawa Darsana Teknologi; Publisher=Microsoft; Publisher Customer ID=346fa229-7c19-44ef-85c6-29e00edf66cf; Unit Price=2377.1581935474; ERP=8722.9999982554; BenefitType=Charge"/>
    <n v="6"/>
    <n v="2701.3181935473999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1T00:00:00"/>
    <d v="2026-05-01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2T00:00:00"/>
    <d v="2026-05-02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3T00:00:00"/>
    <d v="2026-05-03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4T00:00:00"/>
    <d v="2026-05-04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5T00:00:00"/>
    <d v="2026-05-05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6T00:00:00"/>
    <d v="2026-05-06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7T00:00:00"/>
    <d v="2026-05-07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8T00:00:00"/>
    <d v="2026-05-08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09T00:00:00"/>
    <d v="2026-05-09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0T00:00:00"/>
    <d v="2026-05-10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1T00:00:00"/>
    <d v="2026-05-11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2T00:00:00"/>
    <d v="2026-05-12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3T00:00:00"/>
    <d v="2026-05-13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4T00:00:00"/>
    <d v="2026-05-14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5T00:00:00"/>
    <d v="2026-05-15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6T00:00:00"/>
    <d v="2026-05-16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7T00:00:00"/>
    <d v="2026-05-17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8T00:00:00"/>
    <d v="2026-05-18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19T00:00:00"/>
    <d v="2026-05-19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0T00:00:00"/>
    <d v="2026-05-20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1T00:00:00"/>
    <d v="2026-05-21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2T00:00:00"/>
    <d v="2026-05-22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3T00:00:00"/>
    <d v="2026-05-23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4T00:00:00"/>
    <d v="2026-05-24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5T00:00:00"/>
    <d v="2026-05-25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6T00:00:00"/>
    <d v="2026-05-26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7T00:00:00"/>
    <d v="2026-05-27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8T00:00:00"/>
    <d v="2026-05-28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29T00:00:00"/>
    <d v="2026-05-29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30T00:00:00"/>
    <d v="2026-05-30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5-31T00:00:00"/>
    <d v="2026-05-31T00:00:00"/>
    <n v="741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1T00:00:00"/>
    <d v="2026-05-01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2T00:00:00"/>
    <d v="2026-05-02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3T00:00:00"/>
    <d v="2026-05-03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4T00:00:00"/>
    <d v="2026-05-04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5T00:00:00"/>
    <d v="2026-05-05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6T00:00:00"/>
    <d v="2026-05-06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7T00:00:00"/>
    <d v="2026-05-07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8T00:00:00"/>
    <d v="2026-05-08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09T00:00:00"/>
    <d v="2026-05-09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0T00:00:00"/>
    <d v="2026-05-10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1T00:00:00"/>
    <d v="2026-05-11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2T00:00:00"/>
    <d v="2026-05-12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3T00:00:00"/>
    <d v="2026-05-13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4T00:00:00"/>
    <d v="2026-05-14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5T00:00:00"/>
    <d v="2026-05-15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6T00:00:00"/>
    <d v="2026-05-16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7T00:00:00"/>
    <d v="2026-05-17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8T00:00:00"/>
    <d v="2026-05-18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19T00:00:00"/>
    <d v="2026-05-19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0T00:00:00"/>
    <d v="2026-05-20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1T00:00:00"/>
    <d v="2026-05-21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2T00:00:00"/>
    <d v="2026-05-22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3T00:00:00"/>
    <d v="2026-05-23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4T00:00:00"/>
    <d v="2026-05-24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5T00:00:00"/>
    <d v="2026-05-25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6T00:00:00"/>
    <d v="2026-05-26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7T00:00:00"/>
    <d v="2026-05-27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8T00:00:00"/>
    <d v="2026-05-28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29T00:00:00"/>
    <d v="2026-05-29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0T00:00:00"/>
    <d v="2026-05-30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669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2845.667799999999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11205276.021938255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67.624; ERP=11205276.021938255; BenefitType=Charge; Environment=Security-Operasional; purpose=Logs"/>
    <n v="8"/>
    <n v="217358.8444835282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01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2T00:00:00"/>
    <d v="2026-05-02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3T00:00:00"/>
    <d v="2026-05-03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4T00:00:00"/>
    <d v="2026-05-04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5T00:00:00"/>
    <d v="2026-05-05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6T00:00:00"/>
    <d v="2026-05-06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7T00:00:00"/>
    <d v="2026-05-07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8T00:00:00"/>
    <d v="2026-05-08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9T00:00:00"/>
    <d v="2026-05-09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0T00:00:00"/>
    <d v="2026-05-10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1T00:00:00"/>
    <d v="2026-05-11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2T00:00:00"/>
    <d v="2026-05-12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3T00:00:00"/>
    <d v="2026-05-13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4T00:00:00"/>
    <d v="2026-05-14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5T00:00:00"/>
    <d v="2026-05-15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6T00:00:00"/>
    <d v="2026-05-16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7T00:00:00"/>
    <d v="2026-05-17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8T00:00:00"/>
    <d v="2026-05-18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19T00:00:00"/>
    <d v="2026-05-19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0T00:00:00"/>
    <d v="2026-05-20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1T00:00:00"/>
    <d v="2026-05-21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2T00:00:00"/>
    <d v="2026-05-22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3T00:00:00"/>
    <d v="2026-05-23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4T00:00:00"/>
    <d v="2026-05-24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5T00:00:00"/>
    <d v="2026-05-25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6T00:00:00"/>
    <d v="2026-05-26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7T00:00:00"/>
    <d v="2026-05-27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8T00:00:00"/>
    <d v="2026-05-28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29T00:00:00"/>
    <d v="2026-05-29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30T00:00:00"/>
    <d v="2026-05-30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75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31T00:00:00"/>
    <d v="2026-05-31T00:00:00"/>
    <n v="930.89533400000005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1948847.99963568&quot;,_x000a_  &quot;BenefitType&quot;: &quot;Charge&quot;,_x000a_  &quot;Environment&quot;: &quot;CE&quot;_x000a_}"/>
    <s v="Organization Name=PT Nawa Darsana Teknologi; Publisher=Microsoft; Publisher Customer ID=346fa229-7c19-44ef-85c6-29e00edf66cf; Unit Price=1842.2976; ERP=1948847.99963568; BenefitType=Charge; Environment=CE"/>
    <n v="7"/>
    <n v="11557.38427501748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01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2T00:00:00"/>
    <d v="2026-05-02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3T00:00:00"/>
    <d v="2026-05-03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4T00:00:00"/>
    <d v="2026-05-04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5T00:00:00"/>
    <d v="2026-05-05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6T00:00:00"/>
    <d v="2026-05-06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7T00:00:00"/>
    <d v="2026-05-07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8T00:00:00"/>
    <d v="2026-05-08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9T00:00:00"/>
    <d v="2026-05-09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0T00:00:00"/>
    <d v="2026-05-10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1T00:00:00"/>
    <d v="2026-05-11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2T00:00:00"/>
    <d v="2026-05-12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3T00:00:00"/>
    <d v="2026-05-13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4T00:00:00"/>
    <d v="2026-05-14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5T00:00:00"/>
    <d v="2026-05-15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6T00:00:00"/>
    <d v="2026-05-16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7T00:00:00"/>
    <d v="2026-05-17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8T00:00:00"/>
    <d v="2026-05-18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19T00:00:00"/>
    <d v="2026-05-19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0T00:00:00"/>
    <d v="2026-05-20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1T00:00:00"/>
    <d v="2026-05-21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2T00:00:00"/>
    <d v="2026-05-22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3T00:00:00"/>
    <d v="2026-05-23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4T00:00:00"/>
    <d v="2026-05-24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5T00:00:00"/>
    <d v="2026-05-25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6T00:00:00"/>
    <d v="2026-05-26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7T00:00:00"/>
    <d v="2026-05-27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8T00:00:00"/>
    <d v="2026-05-28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29T00:00:00"/>
    <d v="2026-05-29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30T00:00:00"/>
    <d v="2026-05-30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4973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31T00:00:00"/>
    <d v="2026-05-31T00:00:00"/>
    <n v="17236.726472443999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85.0590870614&quot;,_x000a_  &quot;ERP&quot;: &quot;34581871.95439862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585.0590870614; ERP=34581871.954398625; BenefitType=Charge; Frontdoor=9-MD; San Marino=San Marino"/>
    <n v="8"/>
    <n v="401091.86396405293"/>
  </r>
  <r>
    <s v="May"/>
    <s v="Microsoft CSP Azure Plan"/>
    <s v="Divisi Inovasi"/>
    <s v="divisiinovasi.onmicrosoft.com"/>
    <s v="a4cdaa2e-caa7-440f-b849-928a3ceb7e31"/>
    <s v="AzureCSP_DivisiInovasi"/>
    <n v="1141685"/>
    <s v="Microsoft Def for DNS"/>
    <x v="9"/>
    <x v="16"/>
    <s v="Standard Queries"/>
    <d v="2026-05-01T00:00:00"/>
    <d v="2026-05-31T00:00:00"/>
    <n v="271.27102500000001"/>
    <s v="1M"/>
    <s v="IDR"/>
    <m/>
    <s v="Dns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746.736&quot;,_x000a_  &quot;ERP&quot;: &quot;3312816.0115032555&quot;,_x000a_  &quot;BenefitType&quot;: &quot;Charge&quot;_x000a_}"/>
    <s v="Organization Name=PT Nawa Darsana Teknologi; Publisher=Microsoft; Publisher Customer ID=346fa229-7c19-44ef-85c6-29e00edf66cf; Unit Price=10746.736; ERP=3312816.0115032555; BenefitType=Charge"/>
    <n v="6"/>
    <n v="3312816.0101243998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5-31T00:00:00"/>
    <d v="2026-05-31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.7002660000000001E-4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4265&quot;,_x000a_  &quot;ERP&quot;: &quot;0.0645536892&quot;,_x000a_  &quot;BenefitType&quot;: &quot;Charge&quot;,_x000a_  &quot;aks-managed-consolidated-additional-properties&quot;: &quot;19870c8d-3b89-11f1-a232-aa2dec2b26a1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e84d395-fd42-4464-9926-826e4ae94f75&quot;,_x000a_  &quot;aks-managed-orchestrator&quot;: &quot;Kubernetes:1.33.8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4265; ERP=0.0645536892; BenefitType=Charge; aks-managed-consolidated-additional-properties=19870c8d-3b89-11f1-a232-aa2dec2b26a1; aks-managed-creationSource=vmssclient-aks-systemeph-33281046-vmss; aks-managed-enable-imds-restriction=False; aks-managed-kubeletIdentityClientID=b2aa22d3-2063-4e90-a9df-47ffb8a7aae1; aks-managed-operationID=9e84d395-fd42-4464-9926-826e4ae94f75; aks-managed-orchestrator=Kubernetes:1.33.8; aks-managed-poolName=systemeph; aks-managed-resourceNameSuffix=11712142.0; aks-managed-ssh-access=LocalUser; compute.aks.billing=linux"/>
    <n v="16"/>
    <n v="6.6808254299999995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0.073562558700001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757.433722473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1757.433722473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1757.431677117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20.8044814820999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90859.549839000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90859.549839000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90859.553858648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7017300000000001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846.2819079&quot;,_x000a_  &quot;BenefitType&quot;: &quot;Charge&quot;,_x000a_  &quot;Billing&quot;: &quot;Loyalty&quot;,_x000a_  &quot;BillingOriginProduct&quot;: &quot;PREDICTIVE_OPTIMIZATION&quot;,_x000a_  &quot;ClusterId&quot;: &quot;0518-195423-npct7tx4-v2n&quot;,_x000a_  &quot;ClusterName&quot;: &quot;job-548287912899187-run-719031979261564-Predictive-Optimization&quot;,_x000a_  &quot;Creator&quot;: &quot;a25b9e47-2518-438d-90ee-1cd792b5b46d&quot;,_x000a_  &quot;JobId&quot;: &quot;548287912899187.0&quot;,_x000a_  &quot;Predictive Optimization&quot;: &quot;True&quot;,_x000a_  &quot;RunName&quot;: &quot;Predictive Optimization Job-e4d1bded-4018-461f-934c-4c89d69a8860&quot;,_x000a_  &quot;Vendor&quot;: &quot;Databricks&quot;_x000a_}"/>
    <s v="Organization Name=PT Nawa Darsana Teknologi; Publisher=Microsoft; Publisher Customer ID=346fa229-7c19-44ef-85c6-29e00edf66cf; Unit Price=7676.24; ERP=846.2819079; BenefitType=Charge; Billing=Loyalty; BillingOriginProduct=PREDICTIVE_OPTIMIZATION; ClusterId=0518-195423-npct7tx4-v2n; ClusterName=job-548287912899187-run-719031979261564-Predictive-Optimization; Creator=a25b9e47-2518-438d-90ee-1cd792b5b46d; JobId=548287912899187.0; Predictive Optimization=True; RunName=Predictive Optimization Job-e4d1bded-4018-461f-934c-4c89d69a8860; Vendor=Databricks"/>
    <n v="15"/>
    <n v="846.278078951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116657499999999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46.326033725&quot;,_x000a_  &quot;BenefitType&quot;: &quot;Charge&quot;,_x000a_  &quot;Billing&quot;: &quot;Loyalty&quot;,_x000a_  &quot;BillingOriginProduct&quot;: &quot;PREDICTIVE_OPTIMIZATION&quot;,_x000a_  &quot;ClusterId&quot;: &quot;0519-215934-cu3ezbxq-v2n&quot;,_x000a_  &quot;ClusterName&quot;: &quot;job-12645589241737-run-841441881092590-Predictive-Optimization&quot;,_x000a_  &quot;Creator&quot;: &quot;a25b9e47-2518-438d-90ee-1cd792b5b46d&quot;,_x000a_  &quot;JobId&quot;: &quot;12645589241737.0&quot;,_x000a_  &quot;Predictive Optimization&quot;: &quot;True&quot;,_x000a_  &quot;RunName&quot;: &quot;Predictive Optimization Job-e6b7ceea-5431-4c3b-84a1-83858debffc5&quot;,_x000a_  &quot;Vendor&quot;: &quot;Databricks&quot;_x000a_}"/>
    <s v="Organization Name=PT Nawa Darsana Teknologi; Publisher=Microsoft; Publisher Customer ID=346fa229-7c19-44ef-85c6-29e00edf66cf; Unit Price=7676.24; ERP=446.326033725; BenefitType=Charge; Billing=Loyalty; BillingOriginProduct=PREDICTIVE_OPTIMIZATION; ClusterId=0519-215934-cu3ezbxq-v2n; ClusterName=job-12645589241737-run-841441881092590-Predictive-Optimization; Creator=a25b9e47-2518-438d-90ee-1cd792b5b46d; JobId=12645589241737.0; Predictive Optimization=True; RunName=Predictive Optimization Job-e6b7ceea-5431-4c3b-84a1-83858debffc5; Vendor=Databricks"/>
    <n v="15"/>
    <n v="446.326909677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3248125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2027.93394375&quot;,_x000a_  &quot;BenefitType&quot;: &quot;Charge&quot;,_x000a_  &quot;Billing&quot;: &quot;Loyalty&quot;,_x000a_  &quot;BillingOriginProduct&quot;: &quot;JOBS&quot;,_x000a_  &quot;ClusterId&quot;: &quot;0520-182013-te4v7mhx-v2n&quot;,_x000a_  &quot;ClusterName&quot;: &quot;job-866641465762645-run-159576138866077-X_Databricks_Computeles&quot;,_x000a_  &quot;Creator&quot;: &quot;deo.haganta@divisiinovasi.onmicrosoft.com&quot;,_x000a_  &quot;JobId&quot;: &quot;866641465762645.0&quot;,_x000a_  &quot;RunName&quot;: &quot;Job Daily DWH Production&quot;,_x000a_  &quot;Vendor&quot;: &quot;Databricks&quot;_x000a_}"/>
    <s v="Organization Name=PT Nawa Darsana Teknologi; Publisher=Microsoft; Publisher Customer ID=346fa229-7c19-44ef-85c6-29e00edf66cf; Unit Price=7676.24; ERP=2027.93394375; BenefitType=Charge; Billing=Loyalty; BillingOriginProduct=JOBS; ClusterId=0520-182013-te4v7mhx-v2n; ClusterName=job-866641465762645-run-159576138866077-X_Databricks_Computeles; Creator=deo.haganta@divisiinovasi.onmicrosoft.com; JobId=866641465762645.0; RunName=Job Daily DWH Production; Vendor=Databricks"/>
    <n v="14"/>
    <n v="2027.93187050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7.62677999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665.2840194&quot;,_x000a_  &quot;BenefitType&quot;: &quot;Charge&quot;,_x000a_  &quot;Billing&quot;: &quot;Loyalty&quot;,_x000a_  &quot;BillingOriginProduct&quot;: &quot;PREDICTIVE_OPTIMIZATION&quot;,_x000a_  &quot;ClusterId&quot;: &quot;0520-213009-5k3r028q-v2n&quot;,_x000a_  &quot;ClusterName&quot;: &quot;job-1057264132030659-run-584669323500054-Predictive-Optimizatio&quot;,_x000a_  &quot;Creator&quot;: &quot;a25b9e47-2518-438d-90ee-1cd792b5b46d&quot;,_x000a_  &quot;JobId&quot;: &quot;1057264132030659.0&quot;,_x000a_  &quot;Predictive Optimization&quot;: &quot;True&quot;,_x000a_  &quot;RunName&quot;: &quot;Predictive Optimization Job-768fba60-3391-4ab7-86c1-a6dcd7f4e178&quot;,_x000a_  &quot;Vendor&quot;: &quot;Databricks&quot;_x000a_}"/>
    <s v="Organization Name=PT Nawa Darsana Teknologi; Publisher=Microsoft; Publisher Customer ID=346fa229-7c19-44ef-85c6-29e00edf66cf; Unit Price=7676.24; ERP=665.2840194; BenefitType=Charge; Billing=Loyalty; BillingOriginProduct=PREDICTIVE_OPTIMIZATION; ClusterId=0520-213009-5k3r028q-v2n; ClusterName=job-1057264132030659-run-584669323500054-Predictive-Optimizatio; Creator=a25b9e47-2518-438d-90ee-1cd792b5b46d; JobId=1057264132030659.0; Predictive Optimization=True; RunName=Predictive Optimization Job-768fba60-3391-4ab7-86c1-a6dcd7f4e178; Vendor=Databricks"/>
    <n v="15"/>
    <n v="665.2799370720000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5667291700000005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1&quot;,_x000a_  &quot;ERP&quot;: &quot;572.8157846268&quot;,_x000a_  &quot;BenefitType&quot;: &quot;Charge&quot;,_x000a_  &quot;Billing&quot;: &quot;Loyalty&quot;,_x000a_  &quot;BillingOriginProduct&quot;: &quot;PREDICTIVE_OPTIMIZATION&quot;,_x000a_  &quot;ClusterId&quot;: &quot;0526-195404-dvolhvrm-v2n&quot;,_x000a_  &quot;ClusterName&quot;: &quot;job-185550734746027-run-1048458666625743-Predictive-Optimizatio&quot;,_x000a_  &quot;Creator&quot;: &quot;a25b9e47-2518-438d-90ee-1cd792b5b46d&quot;,_x000a_  &quot;JobId&quot;: &quot;185550734746027.0&quot;,_x000a_  &quot;Predictive Optimization&quot;: &quot;True&quot;,_x000a_  &quot;RunName&quot;: &quot;Predictive Optimization Job-d0ac8abc-9aea-4162-a3ef-f95b169e9865&quot;,_x000a_  &quot;Vendor&quot;: &quot;Databricks&quot;_x000a_}"/>
    <s v="Organization Name=PT Nawa Darsana Teknologi; Publisher=Microsoft; Publisher Customer ID=346fa229-7c19-44ef-85c6-29e00edf66cf; Unit Price=7676.2399999991; ERP=572.8157846268; BenefitType=Charge; Billing=Loyalty; BillingOriginProduct=PREDICTIVE_OPTIMIZATION; ClusterId=0526-195404-dvolhvrm-v2n; ClusterName=job-185550734746027-run-1048458666625743-Predictive-Optimizatio; Creator=a25b9e47-2518-438d-90ee-1cd792b5b46d; JobId=185550734746027.0; Predictive Optimization=True; RunName=Predictive Optimization Job-d0ac8abc-9aea-4162-a3ef-f95b169e9865; Vendor=Databricks"/>
    <n v="15"/>
    <n v="572.8178909833"/>
  </r>
  <r>
    <s v="May"/>
    <s v="Microsoft CSP Azure Plan"/>
    <s v="Divisi Inovasi"/>
    <s v="divisiinovasi.onmicrosoft.com"/>
    <s v="a4cdaa2e-caa7-440f-b849-928a3ceb7e31"/>
    <s v="AzureCSP_DivisiInovasi"/>
    <n v="1141685"/>
    <s v="Standard SSD Managed Disks"/>
    <x v="11"/>
    <x v="18"/>
    <s v="E4 LRS Disk"/>
    <d v="2026-05-01T00:00:00"/>
    <d v="2026-05-31T00:00:00"/>
    <n v="0.99993600000000005"/>
    <s v="1/Month"/>
    <s v="IDR"/>
    <s v="RG-Loyalty"/>
    <s v="salacca-dev-1_OsDisk_1_de6be7252565462c82de91d177ca0a6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6845.952&quot;,_x000a_  &quot;ERP&quot;: &quot;41867.7202944&quot;,_x000a_  &quot;BenefitType&quot;: &quot;Charge&quot;,_x000a_  &quot;Loyalty&quot;: &quot;Loyalty&quot;_x000a_}"/>
    <s v="Organization Name=PT Nawa Darsana Teknologi; Publisher=Microsoft; Publisher Customer ID=346fa229-7c19-44ef-85c6-29e00edf66cf; Unit Price=36845.952; ERP=41867.7202944; BenefitType=Charge; Loyalty=Loyalty"/>
    <n v="7"/>
    <n v="41867.723859072001"/>
  </r>
  <r>
    <s v="May"/>
    <s v="Microsoft CSP Azure Plan"/>
    <s v="Divisi Inovasi"/>
    <s v="divisiinovasi.onmicrosoft.com"/>
    <s v="a4cdaa2e-caa7-440f-b849-928a3ceb7e31"/>
    <s v="AzureCSP_DivisiInovasi"/>
    <n v="1141685"/>
    <s v="Files"/>
    <x v="11"/>
    <x v="19"/>
    <s v="Protocol Operations"/>
    <d v="2026-05-01T00:00:00"/>
    <d v="2026-05-31T00:00:00"/>
    <n v="0.95189999999999997"/>
    <s v="10K"/>
    <s v="IDR"/>
    <s v="RG-Loyalty-Prod"/>
    <s v="logicapp4str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.02872&quot;,_x000a_  &quot;ERP&quot;: &quot;24.9102711&quot;,_x000a_  &quot;BenefitType&quot;: &quot;Charge&quot;,_x000a_  &quot;Environment&quot;: &quot;Production&quot;,_x000a_  &quot;Name&quot;: &quot;Curl-api-report&quot;_x000a_}"/>
    <s v="Organization Name=PT Nawa Darsana Teknologi; Publisher=Microsoft; Publisher Customer ID=346fa229-7c19-44ef-85c6-29e00edf66cf; Unit Price=23.02872; ERP=24.9102711; BenefitType=Charge; Environment=Production; Name=Curl-api-report"/>
    <n v="8"/>
    <n v="24.911038567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0813585999999999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939&quot;,_x000a_  &quot;ERP&quot;: &quot;1.509229035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0939; ERP=1.509229035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5081229521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6759999999999999E-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5043036&quot;,_x000a_  &quot;ERP&quot;: &quot;0.000233776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75043036; ERP=0.000233776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.0589269999999999E-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6.1500000000000001E-8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2895&quot;,_x000a_  &quot;ERP&quot;: &quot;0.000127355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2895; ERP=0.00012735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13241E-4"/>
  </r>
  <r>
    <s v="May"/>
    <s v="Microsoft CSP Azure Plan"/>
    <s v="Divisi Inovasi"/>
    <s v="divisiinovasi.onmicrosoft.com"/>
    <s v="a4cdaa2e-caa7-440f-b849-928a3ceb7e31"/>
    <s v="AzureCSP_DivisiInovasi"/>
    <n v="1141685"/>
    <s v="Dv2 Series VM"/>
    <x v="2"/>
    <x v="20"/>
    <s v="D2 v2/DS2 v2"/>
    <d v="2026-05-01T00:00:00"/>
    <d v="2026-05-31T00:00:00"/>
    <n v="43.133360000000003"/>
    <s v="1 Hour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25.69184&quot;,_x000a_  &quot;ERP&quot;: &quot;118895.72657248&quot;,_x000a_  &quot;BenefitType&quot;: &quot;Charge&quot;,_x000a_  &quot;aks-managed-consolidated-additional-properties&quot;: &quot;87926557-3b8a-11f1-95e3-2e4ba821b3e8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2f321416-f628-4de1-b867-706e0a18a60d&quot;,_x000a_  &quot;aks-managed-orchestrator&quot;: &quot;Kubernetes:1.33.8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2425.69184; ERP=118895.72657248; BenefitType=Charge; aks-managed-consolidated-additional-properties=87926557-3b8a-11f1-95e3-2e4ba821b3e8; aks-managed-creationSource=vmssclient-aks-monitoring-70266679-vmss; aks-managed-enable-imds-restriction=False; aks-managed-kubeletIdentityClientID=d31d2c4f-e3b8-4665-b69b-b18c5ed27c30; aks-managed-operationID=2f321416-f628-4de1-b867-706e0a18a60d; aks-managed-orchestrator=Kubernetes:1.33.8; aks-managed-poolName=monitoring; aks-managed-resourceNameSuffix=36864977.0; aks-managed-ssh-access=LocalUser; compute.aks.billing=linux"/>
    <n v="16"/>
    <n v="118895.7293837824"/>
  </r>
  <r>
    <s v="May"/>
    <s v="Microsoft CSP Azure Plan"/>
    <s v="Divisi Inovasi"/>
    <s v="divisiinovasi.onmicrosoft.com"/>
    <s v="a4cdaa2e-caa7-440f-b849-928a3ceb7e31"/>
    <s v="AzureCSP_DivisiInovasi"/>
    <n v="1141685"/>
    <s v="Dv2 Series VM"/>
    <x v="2"/>
    <x v="20"/>
    <s v="D2 v2/DS2 v2"/>
    <d v="2026-05-01T00:00:00"/>
    <d v="2026-05-31T00:00:00"/>
    <n v="35.466839999999998"/>
    <s v="1 Hour"/>
    <s v="IDR"/>
    <s v="mc_rg-loyalty-prod_limesee_southeastasia"/>
    <s v="aks-monitoring-1759503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25.69184&quot;,_x000a_  &quot;ERP&quot;: &quot;97763.2095193754&quot;,_x000a_  &quot;BenefitType&quot;: &quot;Charge&quot;,_x000a_  &quot;aks-managed-consolidated-additional-properties&quot;: &quot;7fbc0e22-3b8a-11f1-ad93-229365f5b931&quot;,_x000a_  &quot;aks-managed-creationSource&quot;: &quot;vmssclient-aks-monitoring-17595035-vmss&quot;,_x000a_  &quot;aks-managed-enable-imds-restriction&quot;: &quot;False&quot;,_x000a_  &quot;aks-managed-kubeletIdentityClientID&quot;: &quot;f876420b-ca69-40d9-b52b-83d95239c056&quot;,_x000a_  &quot;aks-managed-operationID&quot;: &quot;efdc0013-0c43-4a2e-82d7-dcc18b8419e2&quot;,_x000a_  &quot;aks-managed-orchestrator&quot;: &quot;Kubernetes:1.33.8&quot;,_x000a_  &quot;aks-managed-poolName&quot;: &quot;monitoring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2425.69184; ERP=97763.2095193754; BenefitType=Charge; aks-managed-consolidated-additional-properties=7fbc0e22-3b8a-11f1-ad93-229365f5b931; aks-managed-creationSource=vmssclient-aks-monitoring-17595035-vmss; aks-managed-enable-imds-restriction=False; aks-managed-kubeletIdentityClientID=f876420b-ca69-40d9-b52b-83d95239c056; aks-managed-operationID=efdc0013-0c43-4a2e-82d7-dcc18b8419e2; aks-managed-orchestrator=Kubernetes:1.33.8; aks-managed-poolName=monitoring; aks-managed-resourceNameSuffix=10784077.0; aks-managed-ssh-access=LocalUser; compute.aks.billing=linux"/>
    <n v="16"/>
    <n v="97763.21437858560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5.799996999999998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2"/>
    <s v="1 Hour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7dbf5f1-4c0a-11f1-ad6b-a26c3881ebea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4fb6e4a-1533-4ef7-ab97-16965dda6ad7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25204be-59a1-11f1-be0b-d69bb301ee57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46.316391000000003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9.699736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LRS List and Create Container Operations"/>
    <d v="2026-05-01T00:00:00"/>
    <d v="2026-05-31T00:00:00"/>
    <n v="1.1000000000000001E-3"/>
    <s v="10K"/>
    <s v="IDR"/>
    <s v="RG-Loyalty-Prod"/>
    <s v="lilypon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0.95953&quot;,_x000a_  &quot;BenefitType&quot;: &quot;Charge&quot;_x000a_}"/>
    <s v="Organization Name=PT Nawa Darsana Teknologi; Publisher=Microsoft; Publisher Customer ID=346fa229-7c19-44ef-85c6-29e00edf66cf; Unit Price=767.624; ERP=0.95953; BenefitType=Charge"/>
    <n v="6"/>
    <n v="0.9643863999999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env&quot;: &quot;Loyalty-Development&quot;_x000a_}"/>
    <s v="Organization Name=PT Nawa Darsana Teknologi; Publisher=Microsoft; Publisher Customer ID=346fa229-7c19-44ef-85c6-29e00edf66cf; Unit Price=2368.904172042; ERP=8722.9999982554; BenefitType=Charge; env=Loyalty-Development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4702199999999999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9064&quot;,_x000a_  &quot;ERP&quot;: &quot;0.00954296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9064; ERP=0.00954296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8.3981384999999992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1.402916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878&quot;,_x000a_  &quot;ERP&quot;: &quot;0.024474993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878; ERP=0.024474993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.153824559999999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7653396100000002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58&quot;,_x000a_  &quot;ERP&quot;: &quot;4.824410419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58; ERP=4.824410419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4.8254821097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3982119999999999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011&quot;,_x000a_  &quot;ERP&quot;: &quot;0.0418389972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011; ERP=0.0418389972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4.6818494199999998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628164E-4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2437&quot;,_x000a_  &quot;ERP&quot;: &quot;0.0458498326&quot;,_x000a_  &quot;BenefitType&quot;: &quot;Charge&quot;,_x000a_  &quot;aks-managed-consolidated-additional-properties&quot;: &quot;bfea8e67-3b82-11f1-95e3-2e4ba821b3e8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09a74c2-0f20-4db9-a8a5-bbf8d086af00&quot;,_x000a_  &quot;aks-managed-orchestrator&quot;: &quot;Kubernetes:1.33.8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2437; ERP=0.0458498326; BenefitType=Charge; aks-managed-consolidated-additional-properties=bfea8e67-3b82-11f1-95e3-2e4ba821b3e8; aks-managed-creationSource=vmssclient-aks-udbziumeph-39962470-vmss; aks-managed-enable-imds-restriction=False; aks-managed-kubeletIdentityClientID=b2aa22d3-2063-4e90-a9df-47ffb8a7aae1; aks-managed-operationID=009a74c2-0f20-4db9-a8a5-bbf8d086af00; aks-managed-orchestrator=Kubernetes:1.33.8; aks-managed-poolName=udbziumeph; aks-managed-resourceNameSuffix=11712142.0; aks-managed-ssh-access=LocalUser; compute.aks.billing=linux"/>
    <n v="16"/>
    <n v="5.03488407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4.4792000000000001E-5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6201&quot;,_x000a_  &quot;ERP&quot;: &quot;0.0078140634&quot;,_x000a_  &quot;BenefitType&quot;: &quot;Charge&quot;,_x000a_  &quot;aks-managed-consolidated-additional-properties&quot;: &quot;311cf8b6-57da-11f1-a161-cad1f54d4175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6201; ERP=0.0078140634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"/>
    <n v="16"/>
    <n v="6.8766764999999997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4.8246199999999999E-5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2889&quot;,_x000a_  &quot;ERP&quot;: &quot;0.0084159504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2889; ERP=0.0084159504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7.4069933999999999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326967749999999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06&quot;,_x000a_  &quot;ERP&quot;: &quot;4.059626628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06; ERP=4.059626628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4.062472589100000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821E-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634578&quot;,_x000a_  &quot;ERP&quot;: &quot;0.000101186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634578; ERP=0.000101186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8.9363200000000005E-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1.182556E-4"/>
    <s v="1 GB"/>
    <s v="IDR"/>
    <s v="RG-Loyalty-Prod"/>
    <s v="jumpbox-prod-new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70.4949963446&quot;,_x000a_  &quot;ERP&quot;: &quot;0.1650461384&quot;,_x000a_  &quot;BenefitType&quot;: &quot;Charge&quot;,_x000a_  &quot;Environment&quot;: &quot;Production&quot;,_x000a_  &quot;Name&quot;: &quot;Jumpbox-prod-new&quot;_x000a_}"/>
    <s v="Organization Name=PT Nawa Darsana Teknologi; Publisher=Microsoft; Publisher Customer ID=346fa229-7c19-44ef-85c6-29e00edf66cf; Unit Price=1070.4949963446; ERP=0.1650461384; BenefitType=Charge; Environment=Production; Name=Jumpbox-prod-new"/>
    <n v="8"/>
    <n v="0.146592044400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2984227659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52&quot;,_x000a_  &quot;ERP&quot;: &quot;416.5026846552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52; ERP=416.5026846552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416.5023636226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67900322099999999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75&quot;,_x000a_  &quot;ERP&quot;: &quot;947.6712140896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75; ERP=947.6712140896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947.6706696042999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9128847219999998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2540.909343000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87524862062363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7; ERP=2540.9093430006; BenefitType=Charge; Billing=Loyalty; BillingOriginProduct=PREDICTIVE_OPTIMIZATION; Creator=a25b9e47-2518-438d-90ee-1cd792b5b46d; JobId=875248620623635.0; Predictive Optimization=True; Vendor=Databricks"/>
    <n v="12"/>
    <n v="2540.910222010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57449583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&quot;,_x000a_  &quot;ERP&quot;: &quot;1009.643270378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95535862290963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; ERP=1009.6432703786; BenefitType=Charge; Billing=Loyalty; BillingOriginProduct=PREDICTIVE_OPTIMIZATION; Creator=a25b9e47-2518-438d-90ee-1cd792b5b46d; JobId=955358622909635.0; Predictive Optimization=True; Vendor=Databricks"/>
    <n v="12"/>
    <n v="1009.6460789566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440016367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2128.426276061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89464092686752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2128.4262760618; BenefitType=Charge; Billing=Loyalty; BillingOriginProduct=PREDICTIVE_OPTIMIZATION; Creator=a25b9e47-2518-438d-90ee-1cd792b5b46d; JobId=894640926867521.0; Predictive Optimization=True; Vendor=Databricks"/>
    <n v="12"/>
    <n v="2128.4251234460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118E-7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325204be-59a1-11f1-be0b-d69bb301ee57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9.9168900000000003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1719&quot;,_x000a_  &quot;ERP&quot;: &quot;1.384080154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1719; ERP=1.384080154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387990892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5125116E-3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819&quot;,_x000a_  &quot;ERP&quot;: &quot;2.1109817014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0819; ERP=2.1109817014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2.1076643666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9.9858270000000005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369&quot;,_x000a_  &quot;ERP&quot;: &quot;1.393701623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369; ERP=1.393701623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3964576627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6759999999999999E-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75043036&quot;,_x000a_  &quot;ERP&quot;: &quot;0.000233776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75043036; ERP=0.000233776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.058926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8.6705396000000004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7&quot;,_x000a_  &quot;ERP&quot;: &quot;15.1266223394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7; ERP=15.1266223394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15.1314285722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.6739737503000001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3&quot;,_x000a_  &quot;ERP&quot;: &quot;292.041460425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3; ERP=292.041460425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292.0364852224000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3.551259999999999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59103.82049&quot;,_x000a_  &quot;BenefitType&quot;: &quot;Charge&quot;,_x000a_  &quot;aks-managed-consolidated-additional-properties&quot;: &quot;676589cd-3b88-11f1-95e3-2e4ba821b3e8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ec04889c-3fcb-4604-8e4e-2fa3896b4783&quot;,_x000a_  &quot;aks-managed-orchestrator&quot;: &quot;Kubernetes:1.33.8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59103.82049; BenefitType=Charge; aks-managed-consolidated-additional-properties=676589cd-3b88-11f1-95e3-2e4ba821b3e8; aks-managed-creationSource=vmssclient-aks-usereph-42924794-vmss; aks-managed-enable-imds-restriction=False; aks-managed-kubeletIdentityClientID=d31d2c4f-e3b8-4665-b69b-b18c5ed27c30; aks-managed-operationID=ec04889c-3fcb-4604-8e4e-2fa3896b4783; aks-managed-orchestrator=Kubernetes:1.33.8; aks-managed-poolName=usereph; aks-managed-resourceNameSuffix=36864977.0; aks-managed-ssh-access=LocalUser; compute.aks.billing=linux"/>
    <n v="16"/>
    <n v="59103.8220311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2350000000000001E-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310538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310538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.7452370000000001E-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5.5899999999999998E-8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64268787&quot;,_x000a_  &quot;ERP&quot;: &quot;7.67624e-05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64268787; ERP=7.67624e-05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6.86308E-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2 v3/D2s v3"/>
    <d v="2026-05-01T00:00:00"/>
    <d v="2026-05-31T00:00:00"/>
    <n v="0.23333699999999999"/>
    <s v="1 Hour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508.84966275&quot;,_x000a_  &quot;BenefitType&quot;: &quot;Charge&quot;,_x000a_  &quot;aks-managed-consolidated-additional-properties&quot;: &quot;311f4bef-57da-11f1-a161-cad1f54d4175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508.84966275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"/>
    <n v="16"/>
    <n v="508.847703220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0977770900000001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206&quot;,_x000a_  &quot;ERP&quot;: &quot;3.659781754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206; ERP=3.659781754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.660608081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7687310000000001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6236&quot;,_x000a_  &quot;ERP&quot;: &quot;0.030856740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6236; ERP=0.030856740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.7154400799999999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7219659999999998E-4"/>
    <s v="1 GB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525&quot;,_x000a_  &quot;ERP&quot;: &quot;1.2173068622&quot;,_x000a_  &quot;BenefitType&quot;: &quot;Charge&quot;,_x000a_  &quot;aks-managed-consolidated-additional-properties&quot;: &quot;676589cd-3b88-11f1-95e3-2e4ba821b3e8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ec04889c-3fcb-4604-8e4e-2fa3896b4783&quot;,_x000a_  &quot;aks-managed-orchestrator&quot;: &quot;Kubernetes:1.33.8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0525; ERP=1.2173068622; BenefitType=Charge; aks-managed-consolidated-additional-properties=676589cd-3b88-11f1-95e3-2e4ba821b3e8; aks-managed-creationSource=vmssclient-aks-usereph-42924794-vmss; aks-managed-enable-imds-restriction=False; aks-managed-kubeletIdentityClientID=d31d2c4f-e3b8-4665-b69b-b18c5ed27c30; aks-managed-operationID=ec04889c-3fcb-4604-8e4e-2fa3896b4783; aks-managed-orchestrator=Kubernetes:1.33.8; aks-managed-poolName=usereph; aks-managed-resourceNameSuffix=36864977.0; aks-managed-ssh-access=LocalUser; compute.aks.billing=linux"/>
    <n v="16"/>
    <n v="1.2212305042"/>
  </r>
  <r>
    <s v="May"/>
    <s v="Microsoft CSP Azure Plan"/>
    <s v="Divisi Inovasi"/>
    <s v="divisiinovasi.onmicrosoft.com"/>
    <s v="a4cdaa2e-caa7-440f-b849-928a3ceb7e31"/>
    <s v="AzureCSP_DivisiInovasi"/>
    <n v="1141685"/>
    <s v="Bsv2 Series VM"/>
    <x v="2"/>
    <x v="21"/>
    <s v="B2s v2"/>
    <d v="2026-05-01T00:00:00"/>
    <d v="2026-05-31T00:00:00"/>
    <n v="305"/>
    <s v="1 Hour"/>
    <s v="IDR"/>
    <s v="RG-Loyalty-Prod"/>
    <s v="github-runner-loyalty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27.36288&quot;,_x000a_  &quot;ERP&quot;: &quot;564029.18&quot;,_x000a_  &quot;BenefitType&quot;: &quot;Charge&quot;_x000a_}"/>
    <s v="Organization Name=PT Nawa Darsana Teknologi; Publisher=Microsoft; Publisher Customer ID=346fa229-7c19-44ef-85c6-29e00edf66cf; Unit Price=1627.36288; ERP=564029.18; BenefitType=Charge"/>
    <n v="6"/>
    <n v="564029.178399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1041640639000000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784&quot;,_x000a_  &quot;ERP&quot;: &quot;145.379700494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784; ERP=145.379700494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45.3841366547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69"/>
    <s v="1 Hour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7dbf5f1-4c0a-11f1-ad6b-a26c3881ebea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4fb6e4a-1533-4ef7-ab97-16965dda6ad7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088031858199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189.818036551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189.818036551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89.819873424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792742369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38.301832125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38.301832125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38.3056137592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3.5124549999999998E-4"/>
    <s v="1 GB"/>
    <s v="IDR"/>
    <s v="RG-Loyalty"/>
    <s v="salacca-dev-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3162&quot;,_x000a_  &quot;ERP&quot;: &quot;0.4902256216&quot;,_x000a_  &quot;BenefitType&quot;: &quot;Charge&quot;,_x000a_  &quot;Loyalty&quot;: &quot;Loyalty&quot;_x000a_}"/>
    <s v="Organization Name=PT Nawa Darsana Teknologi; Publisher=Microsoft; Publisher Customer ID=346fa229-7c19-44ef-85c6-29e00edf66cf; Unit Price=1228.1983993162; ERP=0.4902256216; BenefitType=Charge; Loyalty=Loyalty"/>
    <n v="7"/>
    <n v="0.4913991792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Private Endpoint"/>
    <d v="2026-05-01T00:00:00"/>
    <d v="2026-05-31T00:00:00"/>
    <n v="744"/>
    <s v="1 Hour"/>
    <s v="IDR"/>
    <s v="RG-Loyalty-Prod"/>
    <s v="mdm-to-salacc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_x000a_}"/>
    <s v="Organization Name=PT Nawa Darsana Teknologi; Publisher=Microsoft; Publisher Customer ID=346fa229-7c19-44ef-85c6-29e00edf66cf; Unit Price=153.5248; ERP=129798.24; BenefitType=Charge"/>
    <n v="6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Private Endpoint"/>
    <d v="2026-05-01T00:00:00"/>
    <d v="2026-05-31T00:00:00"/>
    <n v="744"/>
    <s v="1 Hour"/>
    <s v="IDR"/>
    <s v="RG-Loyalty-Prod"/>
    <s v="vpn-to-sa-lilypond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29798.24&quot;,_x000a_  &quot;BenefitType&quot;: &quot;Charge&quot;,_x000a_  &quot;Billing&quot;: &quot;Loyalty&quot;_x000a_}"/>
    <s v="Organization Name=PT Nawa Darsana Teknologi; Publisher=Microsoft; Publisher Customer ID=346fa229-7c19-44ef-85c6-29e00edf66cf; Unit Price=153.5248; ERP=129798.24; BenefitType=Charge; Billing=Loyalty"/>
    <n v="7"/>
    <n v="129798.2412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31655299999999997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.950056"/>
    <s v="1 Hour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fb66c7-4c03-11f1-ad6b-a26c3881ebea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a8de8d52-26ef-400f-baca-26615e975193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20000399999999999"/>
    <s v="1 Hour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fb66c7-4c03-11f1-ad6b-a26c3881ebea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a8de8d52-26ef-400f-baca-26615e975193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6.449552000000001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6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52.71622200000000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6668500000000002"/>
    <s v="1 Hour"/>
    <s v="IDR"/>
    <s v="mc_rg-loyalty-prod_limesee_southeastasia"/>
    <s v="aks-systemeph-2476500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60d53c41-4c0c-11f1-8bd6-5ec9d1cd8e46&quot;,_x000a_  &quot;aks-managed-creationSource&quot;: &quot;vmssclient-aks-systemeph-24765003-vmss&quot;,_x000a_  &quot;aks-managed-enable-imds-restriction&quot;: &quot;False&quot;,_x000a_  &quot;aks-managed-kubeletIdentityClientID&quot;: &quot;f876420b-ca69-40d9-b52b-83d95239c056&quot;,_x000a_  &quot;aks-managed-operationID&quot;: &quot;7872550c-063f-4ec2-a11c-de26b186cccd&quot;,_x000a_  &quot;aks-managed-orchestrator&quot;: &quot;Kubernetes:1.33.10&quot;,_x000a_  &quot;aks-managed-poolName&quot;: &quot;system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60d53c41-4c0c-11f1-8bd6-5ec9d1cd8e46; aks-managed-creationSource=vmssclient-aks-systemeph-24765003-vmss; aks-managed-enable-imds-restriction=False; aks-managed-kubeletIdentityClientID=f876420b-ca69-40d9-b52b-83d95239c056; aks-managed-operationID=7872550c-063f-4ec2-a11c-de26b186cccd; aks-managed-orchestrator=Kubernetes:1.33.10; aks-managed-poolName=system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4.9940999999999999E-2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90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7.71032249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672.571431675&quot;,_x000a_  &quot;BenefitType&quot;: &quot;Charge&quot;,_x000a_  &quot;Billing&quot;: &quot;Loyalty&quot;,_x000a_  &quot;BillingOriginProduct&quot;: &quot;PREDICTIVE_OPTIMIZATION&quot;,_x000a_  &quot;ClusterId&quot;: &quot;0506-195103-h18h34bo-v2n&quot;,_x000a_  &quot;ClusterName&quot;: &quot;job-165990010845835-run-388878870881708-Predictive-Optimization&quot;,_x000a_  &quot;Creator&quot;: &quot;a25b9e47-2518-438d-90ee-1cd792b5b46d&quot;,_x000a_  &quot;JobId&quot;: &quot;165990010845835.0&quot;,_x000a_  &quot;Predictive Optimization&quot;: &quot;True&quot;,_x000a_  &quot;RunName&quot;: &quot;Predictive Optimization Job-be956708-3968-4d66-8717-2aa143381925&quot;,_x000a_  &quot;Vendor&quot;: &quot;Databricks&quot;_x000a_}"/>
    <s v="Organization Name=PT Nawa Darsana Teknologi; Publisher=Microsoft; Publisher Customer ID=346fa229-7c19-44ef-85c6-29e00edf66cf; Unit Price=7676.24; ERP=672.571431675; BenefitType=Charge; Billing=Loyalty; BillingOriginProduct=PREDICTIVE_OPTIMIZATION; ClusterId=0506-195103-h18h34bo-v2n; ClusterName=job-165990010845835-run-388878870881708-Predictive-Optimization; Creator=a25b9e47-2518-438d-90ee-1cd792b5b46d; JobId=165990010845835.0; Predictive Optimization=True; RunName=Predictive Optimization Job-be956708-3968-4d66-8717-2aa143381925; Vendor=Databricks"/>
    <n v="15"/>
    <n v="672.5728598740000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8.0325715000000002E-3"/>
    <s v="1 GB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05.8394573028&quot;,_x000a_  &quot;ERP&quot;: &quot;16.816347691&quot;,_x000a_  &quot;BenefitType&quot;: &quot;Charge&quot;,_x000a_  &quot;aks-managed-consolidated-additional-properties&quot;: &quot;87926557-3b8a-11f1-95e3-2e4ba821b3e8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2f321416-f628-4de1-b867-706e0a18a60d&quot;,_x000a_  &quot;aks-managed-orchestrator&quot;: &quot;Kubernetes:1.33.8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705.8394573028; ERP=16.816347691; BenefitType=Charge; aks-managed-consolidated-additional-properties=87926557-3b8a-11f1-95e3-2e4ba821b3e8; aks-managed-creationSource=vmssclient-aks-monitoring-70266679-vmss; aks-managed-enable-imds-restriction=False; aks-managed-kubeletIdentityClientID=d31d2c4f-e3b8-4665-b69b-b18c5ed27c30; aks-managed-operationID=2f321416-f628-4de1-b867-706e0a18a60d; aks-managed-orchestrator=Kubernetes:1.33.8; aks-managed-poolName=monitoring; aks-managed-resourceNameSuffix=36864977.0; aks-managed-ssh-access=LocalUser; compute.aks.billing=linux"/>
    <n v="16"/>
    <n v="15.57227744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6.5412400000000004E-5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6247&quot;,_x000a_  &quot;ERP&quot;: &quot;0.0114114286&quot;,_x000a_  &quot;BenefitType&quot;: &quot;Charge&quot;,_x000a_  &quot;aks-managed-consolidated-additional-properties&quot;: &quot;47dbf5f1-4c0a-11f1-ad6b-a26c3881ebea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4fb6e4a-1533-4ef7-ab97-16965dda6ad7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6247; ERP=0.0114114286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"/>
    <n v="16"/>
    <n v="1.00424213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24122E-4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9638&quot;,_x000a_  &quot;ERP&quot;: &quot;0.0216539752&quot;,_x000a_  &quot;BenefitType&quot;: &quot;Charge&quot;,_x000a_  &quot;aks-managed-consolidated-additional-properties&quot;: &quot;311f4bef-57da-11f1-a161-cad1f54d4175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9638; ERP=0.0216539752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"/>
    <n v="16"/>
    <n v="1.9055807599999999E-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1323074999999998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34.921183225&quot;,_x000a_  &quot;BenefitType&quot;: &quot;Charge&quot;,_x000a_  &quot;Billing&quot;: &quot;Loyalty&quot;,_x000a_  &quot;BillingOriginProduct&quot;: &quot;PREDICTIVE_OPTIMIZATION&quot;,_x000a_  &quot;ClusterId&quot;: &quot;0506-205207-qajewyza-v2n&quot;,_x000a_  &quot;ClusterName&quot;: &quot;job-498968454796164-run-78647486674733-Predictive-Optimization&quot;,_x000a_  &quot;Creator&quot;: &quot;a25b9e47-2518-438d-90ee-1cd792b5b46d&quot;,_x000a_  &quot;JobId&quot;: &quot;498968454796164.0&quot;,_x000a_  &quot;Predictive Optimization&quot;: &quot;True&quot;,_x000a_  &quot;RunName&quot;: &quot;Predictive Optimization Job-d1b249a4-08ee-449d-9837-c1952753eb43&quot;,_x000a_  &quot;Vendor&quot;: &quot;Databricks&quot;_x000a_}"/>
    <s v="Organization Name=PT Nawa Darsana Teknologi; Publisher=Microsoft; Publisher Customer ID=346fa229-7c19-44ef-85c6-29e00edf66cf; Unit Price=7676.24; ERP=534.921183225; BenefitType=Charge; Billing=Loyalty; BillingOriginProduct=PREDICTIVE_OPTIMIZATION; ClusterId=0506-205207-qajewyza-v2n; ClusterName=job-498968454796164-run-78647486674733-Predictive-Optimization; Creator=a25b9e47-2518-438d-90ee-1cd792b5b46d; JobId=498968454796164.0; Predictive Optimization=True; RunName=Predictive Optimization Job-d1b249a4-08ee-449d-9837-c1952753eb43; Vendor=Databricks"/>
    <n v="15"/>
    <n v="534.9206412379999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07.31811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904217.980378255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904217.980378255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904217.9827344000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983352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288.889748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288.889748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4288.8929782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52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226798.0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226798.0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2267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5845449999999998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87.13986035&quot;,_x000a_  &quot;BenefitType&quot;: &quot;Charge&quot;,_x000a_  &quot;Billing&quot;: &quot;Loyalty&quot;,_x000a_  &quot;BillingOriginProduct&quot;: &quot;PREDICTIVE_OPTIMIZATION&quot;,_x000a_  &quot;ClusterId&quot;: &quot;0506-215247-3tryo5ey-v2n&quot;,_x000a_  &quot;ClusterName&quot;: &quot;job-565492126279021-run-1115623790418202-Predictive-Optimizatio&quot;,_x000a_  &quot;Creator&quot;: &quot;a25b9e47-2518-438d-90ee-1cd792b5b46d&quot;,_x000a_  &quot;JobId&quot;: &quot;565492126279021.0&quot;,_x000a_  &quot;Predictive Optimization&quot;: &quot;True&quot;,_x000a_  &quot;RunName&quot;: &quot;Predictive Optimization Job-f14f91a0-9dea-480f-a528-6ce6f580d4d9&quot;,_x000a_  &quot;Vendor&quot;: &quot;Databricks&quot;_x000a_}"/>
    <s v="Organization Name=PT Nawa Darsana Teknologi; Publisher=Microsoft; Publisher Customer ID=346fa229-7c19-44ef-85c6-29e00edf66cf; Unit Price=7676.24; ERP=487.13986035; BenefitType=Charge; Billing=Loyalty; BillingOriginProduct=PREDICTIVE_OPTIMIZATION; ClusterId=0506-215247-3tryo5ey-v2n; ClusterName=job-565492126279021-run-1115623790418202-Predictive-Optimizatio; Creator=a25b9e47-2518-438d-90ee-1cd792b5b46d; JobId=565492126279021.0; Predictive Optimization=True; RunName=Predictive Optimization Job-f14f91a0-9dea-480f-a528-6ce6f580d4d9; Vendor=Databricks"/>
    <n v="15"/>
    <n v="487.143077108"/>
  </r>
  <r>
    <s v="May"/>
    <s v="Microsoft CSP Azure Plan"/>
    <s v="Divisi Inovasi"/>
    <s v="divisiinovasi.onmicrosoft.com"/>
    <s v="a4cdaa2e-caa7-440f-b849-928a3ceb7e31"/>
    <s v="AzureCSP_DivisiInovasi"/>
    <n v="1141685"/>
    <s v="NAT Gateway"/>
    <x v="13"/>
    <x v="22"/>
    <s v="Standard Data Processed"/>
    <d v="2026-05-01T00:00:00"/>
    <d v="2026-05-31T00:00:00"/>
    <n v="9.9223817884999992"/>
    <s v="1 GB"/>
    <s v="IDR"/>
    <s v="RG-Loyalty-Prod"/>
    <s v="salacca-nat-pro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90.8615999997&quot;,_x000a_  &quot;ERP&quot;: &quot;7789.7642692584&quot;,_x000a_  &quot;BenefitType&quot;: &quot;Charge&quot;_x000a_}"/>
    <s v="Organization Name=PT Nawa Darsana Teknologi; Publisher=Microsoft; Publisher Customer ID=346fa229-7c19-44ef-85c6-29e00edf66cf; Unit Price=690.8615999997; ERP=7789.7642692584; BenefitType=Charge"/>
    <n v="6"/>
    <n v="7789.7625582056007"/>
  </r>
  <r>
    <s v="May"/>
    <s v="Microsoft CSP Azure Plan"/>
    <s v="Divisi Inovasi"/>
    <s v="divisiinovasi.onmicrosoft.com"/>
    <s v="a4cdaa2e-caa7-440f-b849-928a3ceb7e31"/>
    <s v="AzureCSP_DivisiInovasi"/>
    <n v="1141685"/>
    <s v="NAT Gateway"/>
    <x v="13"/>
    <x v="22"/>
    <s v="Standard Data Processed"/>
    <d v="2026-05-01T00:00:00"/>
    <d v="2026-05-31T00:00:00"/>
    <n v="8.2512199999999996E-4"/>
    <s v="1 GB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90.8615997811&quot;,_x000a_  &quot;ERP&quot;: &quot;0.6477769584&quot;,_x000a_  &quot;BenefitType&quot;: &quot;Charge&quot;,_x000a_  &quot;Billing&quot;: &quot;Loyalty&quot;,_x000a_  &quot;BillingOriginProduct&quot;: &quot;NETWORKING&quot;,_x000a_  &quot;Vendor&quot;: &quot;Databricks&quot;_x000a_}"/>
    <s v="Organization Name=PT Nawa Darsana Teknologi; Publisher=Microsoft; Publisher Customer ID=346fa229-7c19-44ef-85c6-29e00edf66cf; Unit Price=690.8615997811; ERP=0.6477769584; BenefitType=Charge; Billing=Loyalty; BillingOriginProduct=NETWORKING; Vendor=Databricks"/>
    <n v="9"/>
    <n v="0.650045104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35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52652.5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52652.5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152652.5"/>
  </r>
  <r>
    <s v="May"/>
    <s v="Microsoft CSP Azure Plan"/>
    <s v="Divisi Inovasi"/>
    <s v="divisiinovasi.onmicrosoft.com"/>
    <s v="a4cdaa2e-caa7-440f-b849-928a3ceb7e31"/>
    <s v="AzureCSP_DivisiInovasi"/>
    <n v="1141685"/>
    <s v="Microsoft Def for PostgreSQL"/>
    <x v="9"/>
    <x v="23"/>
    <s v="Standard Node"/>
    <d v="2026-05-01T00:00:00"/>
    <d v="2026-05-31T00:00:00"/>
    <n v="0.75134408600000002"/>
    <s v="1/Month"/>
    <s v="IDR"/>
    <s v="RG-Loyalty"/>
    <s v="luca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287.1999999971&quot;,_x000a_  &quot;ERP&quot;: &quot;196619.2338705738&quot;,_x000a_  &quot;BenefitType&quot;: &quot;Charge&quot;,_x000a_  &quot;Billing&quot;: &quot;Loyalty&quot;,_x000a_  &quot;env&quot;: &quot;Loyalty-Development&quot;_x000a_}"/>
    <s v="Organization Name=PT Nawa Darsana Teknologi; Publisher=Microsoft; Publisher Customer ID=346fa229-7c19-44ef-85c6-29e00edf66cf; Unit Price=230287.1999999971; ERP=196619.2338705738; BenefitType=Charge; Billing=Loyalty; env=Loyalty-Development"/>
    <n v="8"/>
    <n v="196619.2358064494"/>
  </r>
  <r>
    <s v="May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4"/>
    <x v="24"/>
    <s v="RA-GRS Data Stored"/>
    <d v="2026-05-01T00:00:00"/>
    <d v="2026-05-31T00:00:00"/>
    <n v="14.7435644006"/>
    <s v="1 GB/Month"/>
    <s v="IDR"/>
    <s v="RG-Loyalty-Prod"/>
    <s v="m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684.5952&quot;,_x000a_  &quot;ERP&quot;: &quot;61731.8938871206&quot;,_x000a_  &quot;BenefitType&quot;: &quot;Charge&quot;_x000a_}"/>
    <s v="Organization Name=PT Nawa Darsana Teknologi; Publisher=Microsoft; Publisher Customer ID=346fa229-7c19-44ef-85c6-29e00edf66cf; Unit Price=3684.5952; ERP=61731.8938871206; BenefitType=Charge"/>
    <n v="6"/>
    <n v="61731.896621421402"/>
  </r>
  <r>
    <s v="May"/>
    <s v="Microsoft CSP Azure Plan"/>
    <s v="Divisi Inovasi"/>
    <s v="divisiinovasi.onmicrosoft.com"/>
    <s v="a4cdaa2e-caa7-440f-b849-928a3ceb7e31"/>
    <s v="AzureCSP_DivisiInovasi"/>
    <n v="1141685"/>
    <s v="SQL DB SglDB El Pool Hyp - Comp Gen5"/>
    <x v="4"/>
    <x v="25"/>
    <s v="vCore"/>
    <d v="2026-05-01T00:00:00"/>
    <d v="2026-05-31T00:00:00"/>
    <n v="14"/>
    <s v="1 Hour"/>
    <s v="IDR"/>
    <s v="RG-Loyalty-Prod"/>
    <s v="loyalty_Replic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337.0918152&quot;,_x000a_  &quot;ERP&quot;: &quot;53090.09706&quot;,_x000a_  &quot;BenefitType&quot;: &quot;Charge&quot;_x000a_}"/>
    <s v="Organization Name=PT Nawa Darsana Teknologi; Publisher=Microsoft; Publisher Customer ID=346fa229-7c19-44ef-85c6-29e00edf66cf; Unit Price=3337.0918152; ERP=53090.09706; BenefitType=Charge"/>
    <n v="6"/>
    <n v="53090.095412800001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06.89692600000001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Storage - Bandwidth"/>
    <x v="11"/>
    <x v="26"/>
    <s v="Geo-Replication v2 Data Transfer"/>
    <d v="2026-05-01T00:00:00"/>
    <d v="2026-05-31T00:00:00"/>
    <n v="0.62922199999999995"/>
    <s v="1 GB"/>
    <s v="IDR"/>
    <s v="storage-tenant-id"/>
    <s v="dbstorage7n6vah7qfjbe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381.7232&quot;,_x000a_  &quot;ERP&quot;: &quot;987.9666293354&quot;,_x000a_  &quot;BenefitType&quot;: &quot;Charge&quot;,_x000a_  &quot;application&quot;: &quot;databricks&quot;,_x000a_  &quot;Billing&quot;: &quot;Loyalty&quot;,_x000a_  &quot;databricks-environment&quot;: &quot;True&quot;_x000a_}"/>
    <s v="Organization Name=PT Nawa Darsana Teknologi; Publisher=Microsoft; Publisher Customer ID=346fa229-7c19-44ef-85c6-29e00edf66cf; Unit Price=1381.7232; ERP=987.9666293354; BenefitType=Charge; application=databricks; Billing=Loyalty; databricks-environment=True"/>
    <n v="9"/>
    <n v="987.97063535040002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6 LRS Disk"/>
    <d v="2026-05-01T00:00:00"/>
    <d v="2026-05-31T00:00:00"/>
    <n v="0.20294400000000001"/>
    <s v="1/Month"/>
    <s v="IDR"/>
    <s v="MOKITA-PRODUCTION"/>
    <s v="disk-loyalty-runn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6702.7633599999&quot;,_x000a_  &quot;ERP&quot;: &quot;36138.506371968&quot;,_x000a_  &quot;BenefitType&quot;: &quot;Charge&quot;_x000a_}"/>
    <s v="Organization Name=PT Nawa Darsana Teknologi; Publisher=Microsoft; Publisher Customer ID=346fa229-7c19-44ef-85c6-29e00edf66cf; Unit Price=156702.7633599999; ERP=36138.506371968; BenefitType=Charge"/>
    <n v="6"/>
    <n v="36138.50560733179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8.5443525000000006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79&quot;,_x000a_  &quot;ERP&quot;: &quot;745.3238668304&quot;,_x000a_  &quot;BenefitType&quot;: &quot;Charge&quot;,_x000a_  &quot;Billing&quot;: &quot;Loyalty&quot;,_x000a_  &quot;BillingOriginProduct&quot;: &quot;PREDICTIVE_OPTIMIZATION&quot;,_x000a_  &quot;ClusterId&quot;: &quot;0521-193039-dzibyoi0-v2n&quot;,_x000a_  &quot;ClusterName&quot;: &quot;job-243492023836532-run-789780849380605-Predictive-Optimization&quot;,_x000a_  &quot;Creator&quot;: &quot;a25b9e47-2518-438d-90ee-1cd792b5b46d&quot;,_x000a_  &quot;JobId&quot;: &quot;243492023836532.0&quot;,_x000a_  &quot;Predictive Optimization&quot;: &quot;True&quot;,_x000a_  &quot;RunName&quot;: &quot;Predictive Optimization Job-dbd524b2-6a2d-4f43-9582-bc9ada5ebe1f&quot;,_x000a_  &quot;Vendor&quot;: &quot;Databricks&quot;_x000a_}"/>
    <s v="Organization Name=PT Nawa Darsana Teknologi; Publisher=Microsoft; Publisher Customer ID=346fa229-7c19-44ef-85c6-29e00edf66cf; Unit Price=7676.2399999979; ERP=745.3238668304; BenefitType=Charge; Billing=Loyalty; BillingOriginProduct=PREDICTIVE_OPTIMIZATION; ClusterId=0521-193039-dzibyoi0-v2n; ClusterName=job-243492023836532-run-789780849380605-Predictive-Optimization; Creator=a25b9e47-2518-438d-90ee-1cd792b5b46d; JobId=243492023836532.0; Predictive Optimization=True; RunName=Predictive Optimization Job-dbd524b2-6a2d-4f43-9582-bc9ada5ebe1f; Vendor=Databricks"/>
    <n v="15"/>
    <n v="745.3250043457999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3055625000000002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62.804216875&quot;,_x000a_  &quot;BenefitType&quot;: &quot;Charge&quot;,_x000a_  &quot;Billing&quot;: &quot;Loyalty&quot;,_x000a_  &quot;BillingOriginProduct&quot;: &quot;PREDICTIVE_OPTIMIZATION&quot;,_x000a_  &quot;ClusterId&quot;: &quot;0522-193047-jam1o3is-v2n&quot;,_x000a_  &quot;ClusterName&quot;: &quot;job-484789517833266-run-462816258970261-Predictive-Optimization&quot;,_x000a_  &quot;Creator&quot;: &quot;a25b9e47-2518-438d-90ee-1cd792b5b46d&quot;,_x000a_  &quot;JobId&quot;: &quot;484789517833266.0&quot;,_x000a_  &quot;Predictive Optimization&quot;: &quot;True&quot;,_x000a_  &quot;RunName&quot;: &quot;Predictive Optimization Job-49abbac1-a44b-4d75-a134-2496ee5b1df0&quot;,_x000a_  &quot;Vendor&quot;: &quot;Databricks&quot;_x000a_}"/>
    <s v="Organization Name=PT Nawa Darsana Teknologi; Publisher=Microsoft; Publisher Customer ID=346fa229-7c19-44ef-85c6-29e00edf66cf; Unit Price=7676.24; ERP=462.804216875; BenefitType=Charge; Billing=Loyalty; BillingOriginProduct=PREDICTIVE_OPTIMIZATION; ClusterId=0522-193047-jam1o3is-v2n; ClusterName=job-484789517833266-run-462816258970261-Predictive-Optimization; Creator=a25b9e47-2518-438d-90ee-1cd792b5b46d; JobId=484789517833266.0; Predictive Optimization=True; RunName=Predictive Optimization Job-49abbac1-a44b-4d75-a134-2496ee5b1df0; Vendor=Databricks"/>
    <n v="15"/>
    <n v="462.8077108499999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2.2934189999999999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868&quot;,_x000a_  &quot;ERP&quot;: &quot;0.320086995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868; ERP=0.32008699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.321677366000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3.2276799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90.1445472371&quot;,_x000a_  &quot;ERP&quot;: &quot;45.048082479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090.1445472371; ERP=45.048082479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9.9863774158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7.8230000000000001E-7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2738943&quot;,_x000a_  &quot;ERP&quot;: &quot;0.001090375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2738943; ERP=0.001090375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9.6083300000000002E-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.16645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63334599999999996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23635462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1950.772142004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424221859501833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7; ERP=1950.7721420044; BenefitType=Charge; Billing=Loyalty; BillingOriginProduct=PREDICTIVE_OPTIMIZATION; Creator=a25b9e47-2518-438d-90ee-1cd792b5b46d; JobId=424221859501833.0; Predictive Optimization=True; Vendor=Databricks"/>
    <n v="12"/>
    <n v="1950.769485859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52.81597400000001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7.0002890000000004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43552791210000003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3799.10997637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1442355729308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7; ERP=3799.109976376; BenefitType=Charge; Billing=Loyalty; BillingOriginProduct=PREDICTIVE_OPTIMIZATION; Creator=a25b9e47-2518-438d-90ee-1cd792b5b46d; JobId=61442355729308.0; Predictive Optimization=True; Vendor=Databricks"/>
    <n v="12"/>
    <n v="3799.106779850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1307390399999994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3&quot;,_x000a_  &quot;ERP&quot;: &quot;796.474366459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3446460284542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3; ERP=796.4743664592; BenefitType=Charge; Billing=Loyalty; BillingOriginProduct=PREDICTIVE_OPTIMIZATION; Creator=a25b9e47-2518-438d-90ee-1cd792b5b46d; JobId=634464602845427.0; Predictive Optimization=True; Vendor=Databricks"/>
    <n v="12"/>
    <n v="796.47744261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00249908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9&quot;,_x000a_  &quot;ERP&quot;: &quot;959.747994748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78877269042364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9; ERP=959.7479947484; BenefitType=Charge; Billing=Loyalty; BillingOriginProduct=PREDICTIVE_OPTIMIZATION; Creator=a25b9e47-2518-438d-90ee-1cd792b5b46d; JobId=788772690423647.0; Predictive Optimization=True; Vendor=Databricks"/>
    <n v="12"/>
    <n v="959.7482356342999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Serverless SQL DBU"/>
    <d v="2026-05-01T00:00:00"/>
    <d v="2026-05-31T00:00:00"/>
    <n v="5.2061366667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3510.1824&quot;,_x000a_  &quot;ERP&quot;: &quot;79927.1090511036&quot;,_x000a_  &quot;BenefitType&quot;: &quot;Charge&quot;,_x000a_  &quot;Billing&quot;: &quot;Loyalty&quot;,_x000a_  &quot;BillingOriginProduct&quot;: &quot;SQL&quot;,_x000a_  &quot;ClusterId&quot;: &quot;0514-045159-o3o52r35-v2n&quot;,_x000a_  &quot;Creator&quot;: &quot;deo.haganta@divisiinovasi.onmicrosoft.com&quot;,_x000a_  &quot;databricks-cloud-priority&quot;: &quot;high&quot;,_x000a_  &quot;dbsql-channel&quot;: &quot;CHANNEL_NAME_CURRENT&quot;,_x000a_  &quot;SqlEndpointId&quot;: &quot;91031cbec48bd645&quot;,_x000a_  &quot;Vendor&quot;: &quot;Databricks&quot;_x000a_}"/>
    <s v="Organization Name=PT Nawa Darsana Teknologi; Publisher=Microsoft; Publisher Customer ID=346fa229-7c19-44ef-85c6-29e00edf66cf; Unit Price=13510.1824; ERP=79927.1090511036; BenefitType=Charge; Billing=Loyalty; BillingOriginProduct=SQL; ClusterId=0514-045159-o3o52r35-v2n; Creator=deo.haganta@divisiinovasi.onmicrosoft.com; databricks-cloud-priority=high; dbsql-channel=CHANNEL_NAME_CURRENT; SqlEndpointId=91031cbec48bd645; Vendor=Databricks"/>
    <n v="14"/>
    <n v="79927.10596599470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4.2080069000000001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14&quot;,_x000a_  &quot;ERP&quot;: &quot;0.7341276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14; ERP=0.7341276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.73603341700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1.4947640058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5494.5765274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5494.5765274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5494.5773450291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0.53968257920000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5327.953021162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5327.953021162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5327.948660039300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5870666699999996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4&quot;,_x000a_  &quot;ERP&quot;: &quot;836.279824751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724250487608703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4; ERP=836.2798247518; BenefitType=Charge; Billing=Loyalty; BillingOriginProduct=PREDICTIVE_OPTIMIZATION; Creator=a25b9e47-2518-438d-90ee-1cd792b5b46d; JobId=724250487608703.0; Predictive Optimization=True; Vendor=Databricks"/>
    <n v="12"/>
    <n v="836.2762462933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6.10690450390000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810.01055907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810.01055907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810.009292577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49.723002629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8674.675037085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8674.675037085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8674.6740340711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.6480048200000001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8&quot;,_x000a_  &quot;ERP&quot;: &quot;9.853507778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8; ERP=9.853507778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9.8510881074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1.5905887457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022.0941115804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022.0941115804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2022.0928190586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7.7807249999999994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678.71264175&quot;,_x000a_  &quot;BenefitType&quot;: &quot;Charge&quot;,_x000a_  &quot;Billing&quot;: &quot;Loyalty&quot;,_x000a_  &quot;BillingOriginProduct&quot;: &quot;PREDICTIVE_OPTIMIZATION&quot;,_x000a_  &quot;ClusterId&quot;: &quot;0502-174841-rm04z541-v2n&quot;,_x000a_  &quot;ClusterName&quot;: &quot;job-107765286918661-run-587790173855446-Predictive-Optimization&quot;,_x000a_  &quot;Creator&quot;: &quot;a25b9e47-2518-438d-90ee-1cd792b5b46d&quot;,_x000a_  &quot;JobId&quot;: &quot;107765286918661.0&quot;,_x000a_  &quot;Predictive Optimization&quot;: &quot;True&quot;,_x000a_  &quot;RunName&quot;: &quot;Predictive Optimization Job-e51c40bb-2d08-436d-898a-3cd476177b5e&quot;,_x000a_  &quot;Vendor&quot;: &quot;Databricks&quot;_x000a_}"/>
    <s v="Organization Name=PT Nawa Darsana Teknologi; Publisher=Microsoft; Publisher Customer ID=346fa229-7c19-44ef-85c6-29e00edf66cf; Unit Price=7676.24; ERP=678.71264175; BenefitType=Charge; Billing=Loyalty; BillingOriginProduct=PREDICTIVE_OPTIMIZATION; ClusterId=0502-174841-rm04z541-v2n; ClusterName=job-107765286918661-run-587790173855446-Predictive-Optimization; Creator=a25b9e47-2518-438d-90ee-1cd792b5b46d; JobId=107765286918661.0; Predictive Optimization=True; RunName=Predictive Optimization Job-e51c40bb-2d08-436d-898a-3cd476177b5e; Vendor=Databricks"/>
    <n v="15"/>
    <n v="678.7171247400000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6625300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93.9424919&quot;,_x000a_  &quot;BenefitType&quot;: &quot;Charge&quot;,_x000a_  &quot;Billing&quot;: &quot;Loyalty&quot;,_x000a_  &quot;BillingOriginProduct&quot;: &quot;PREDICTIVE_OPTIMIZATION&quot;,_x000a_  &quot;ClusterId&quot;: &quot;0504-145756-bq39spph-v2n&quot;,_x000a_  &quot;ClusterName&quot;: &quot;job-200354564160484-run-989427719293376-Predictive-Optimization&quot;,_x000a_  &quot;Creator&quot;: &quot;a25b9e47-2518-438d-90ee-1cd792b5b46d&quot;,_x000a_  &quot;JobId&quot;: &quot;200354564160484.0&quot;,_x000a_  &quot;Predictive Optimization&quot;: &quot;True&quot;,_x000a_  &quot;RunName&quot;: &quot;Predictive Optimization Job-1d6c7119-4825-4b48-ad4e-baa1e771e99f&quot;,_x000a_  &quot;Vendor&quot;: &quot;Databricks&quot;_x000a_}"/>
    <s v="Organization Name=PT Nawa Darsana Teknologi; Publisher=Microsoft; Publisher Customer ID=346fa229-7c19-44ef-85c6-29e00edf66cf; Unit Price=7676.24; ERP=493.9424919; BenefitType=Charge; Billing=Loyalty; BillingOriginProduct=PREDICTIVE_OPTIMIZATION; ClusterId=0504-145756-bq39spph-v2n; ClusterName=job-200354564160484-run-989427719293376-Predictive-Optimization; Creator=a25b9e47-2518-438d-90ee-1cd792b5b46d; JobId=200354564160484.0; Predictive Optimization=True; RunName=Predictive Optimization Job-1d6c7119-4825-4b48-ad4e-baa1e771e99f; Vendor=Databricks"/>
    <n v="15"/>
    <n v="493.939392871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586831939999999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3&quot;,_x000a_  &quot;ERP&quot;: &quot;836.259350126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713267706753462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3; ERP=836.2593501262; BenefitType=Charge; Billing=Loyalty; BillingOriginProduct=PREDICTIVE_OPTIMIZATION; Creator=a25b9e47-2518-438d-90ee-1cd792b5b46d; JobId=713267706753462.0; Predictive Optimization=True; Vendor=Databricks"/>
    <n v="12"/>
    <n v="836.2582284521000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214714016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1931.895036156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87026066238048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7; ERP=1931.8950361568; BenefitType=Charge; Billing=Loyalty; BillingOriginProduct=PREDICTIVE_OPTIMIZATION; Creator=a25b9e47-2518-438d-90ee-1cd792b5b46d; JobId=870260662380481.0; Predictive Optimization=True; Vendor=Databricks"/>
    <n v="12"/>
    <n v="1931.8976323296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41.979469097200003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9&quot;,_x000a_  &quot;ERP&quot;: &quot;366186.9089348756&quot;,_x000a_  &quot;BenefitType&quot;: &quot;Charge&quot;,_x000a_  &quot;Billing&quot;: &quot;Loyalty&quot;,_x000a_  &quot;BillingOriginProduct&quot;: &quot;JOBS&quot;,_x000a_  &quot;Creator&quot;: &quot;deo.haganta@divisiinovasi.onmicrosoft.com&quot;,_x000a_  &quot;JobId&quot;: &quot;866641465762645.0&quot;,_x000a_  &quot;Vendor&quot;: &quot;Databricks&quot;_x000a_}"/>
    <s v="Organization Name=PT Nawa Darsana Teknologi; Publisher=Microsoft; Publisher Customer ID=346fa229-7c19-44ef-85c6-29e00edf66cf; Unit Price=7676.2399999999; ERP=366186.9089348756; BenefitType=Charge; Billing=Loyalty; BillingOriginProduct=JOBS; Creator=deo.haganta@divisiinovasi.onmicrosoft.com; JobId=866641465762645.0; Vendor=Databricks"/>
    <n v="11"/>
    <n v="366186.909862856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0102236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6&quot;,_x000a_  &quot;ERP&quot;: &quot;960.42180462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88513859814253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6; ERP=960.421804628; BenefitType=Charge; Billing=Loyalty; BillingOriginProduct=PREDICTIVE_OPTIMIZATION; Creator=a25b9e47-2518-438d-90ee-1cd792b5b46d; JobId=885138598142531.0; Predictive Optimization=True; Vendor=Databricks"/>
    <n v="12"/>
    <n v="960.4211889255000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465940966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2151.040304641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799086360095856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2151.0403046418; BenefitType=Charge; Billing=Loyalty; BillingOriginProduct=PREDICTIVE_OPTIMIZATION; Creator=a25b9e47-2518-438d-90ee-1cd792b5b46d; JobId=799086360095856.0; Predictive Optimization=True; Vendor=Databricks"/>
    <n v="12"/>
    <n v="2151.0354685964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3918224999999995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57.558676675&quot;,_x000a_  &quot;BenefitType&quot;: &quot;Charge&quot;,_x000a_  &quot;Billing&quot;: &quot;Loyalty&quot;,_x000a_  &quot;BillingOriginProduct&quot;: &quot;PREDICTIVE_OPTIMIZATION&quot;,_x000a_  &quot;ClusterId&quot;: &quot;0504-211940-2r2sck9v-v2n&quot;,_x000a_  &quot;ClusterName&quot;: &quot;job-819513377154230-run-908857844626181-Predictive-Optimization&quot;,_x000a_  &quot;Creator&quot;: &quot;a25b9e47-2518-438d-90ee-1cd792b5b46d&quot;,_x000a_  &quot;JobId&quot;: &quot;819513377154230.0&quot;,_x000a_  &quot;Predictive Optimization&quot;: &quot;True&quot;,_x000a_  &quot;RunName&quot;: &quot;Predictive Optimization Job-319f69d6-3520-447c-b909-1391a614667f&quot;,_x000a_  &quot;Vendor&quot;: &quot;Databricks&quot;_x000a_}"/>
    <s v="Organization Name=PT Nawa Darsana Teknologi; Publisher=Microsoft; Publisher Customer ID=346fa229-7c19-44ef-85c6-29e00edf66cf; Unit Price=7676.24; ERP=557.558676675; BenefitType=Charge; Billing=Loyalty; BillingOriginProduct=PREDICTIVE_OPTIMIZATION; ClusterId=0504-211940-2r2sck9v-v2n; ClusterName=job-819513377154230-run-908857844626181-Predictive-Optimization; Creator=a25b9e47-2518-438d-90ee-1cd792b5b46d; JobId=819513377154230.0; Predictive Optimization=True; RunName=Predictive Optimization Job-319f69d6-3520-447c-b909-1391a614667f; Vendor=Databricks"/>
    <n v="15"/>
    <n v="557.561635474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3883750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57.25795125&quot;,_x000a_  &quot;BenefitType&quot;: &quot;Charge&quot;,_x000a_  &quot;Billing&quot;: &quot;Loyalty&quot;,_x000a_  &quot;BillingOriginProduct&quot;: &quot;PREDICTIVE_OPTIMIZATION&quot;,_x000a_  &quot;ClusterId&quot;: &quot;0505-000809-vouw8nwz-v2n&quot;,_x000a_  &quot;ClusterName&quot;: &quot;job-860023668428954-run-919592652264745-Predictive-Optimization&quot;,_x000a_  &quot;Creator&quot;: &quot;a25b9e47-2518-438d-90ee-1cd792b5b46d&quot;,_x000a_  &quot;JobId&quot;: &quot;860023668428954.0&quot;,_x000a_  &quot;Predictive Optimization&quot;: &quot;True&quot;,_x000a_  &quot;RunName&quot;: &quot;Predictive Optimization Job-447d6ebd-d174-4b9f-9059-1b58c32e8897&quot;,_x000a_  &quot;Vendor&quot;: &quot;Databricks&quot;_x000a_}"/>
    <s v="Organization Name=PT Nawa Darsana Teknologi; Publisher=Microsoft; Publisher Customer ID=346fa229-7c19-44ef-85c6-29e00edf66cf; Unit Price=7676.24; ERP=557.25795125; BenefitType=Charge; Billing=Loyalty; BillingOriginProduct=PREDICTIVE_OPTIMIZATION; ClusterId=0505-000809-vouw8nwz-v2n; ClusterName=job-860023668428954-run-919592652264745-Predictive-Optimization; Creator=a25b9e47-2518-438d-90ee-1cd792b5b46d; JobId=860023668428954.0; Predictive Optimization=True; RunName=Predictive Optimization Job-447d6ebd-d174-4b9f-9059-1b58c32e8897; Vendor=Databricks"/>
    <n v="15"/>
    <n v="557.2569971000000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2546500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58.3631195&quot;,_x000a_  &quot;BenefitType&quot;: &quot;Charge&quot;,_x000a_  &quot;Billing&quot;: &quot;Loyalty&quot;,_x000a_  &quot;BillingOriginProduct&quot;: &quot;PREDICTIVE_OPTIMIZATION&quot;,_x000a_  &quot;ClusterId&quot;: &quot;0507-204927-jodd4j7n-v2n&quot;,_x000a_  &quot;ClusterName&quot;: &quot;job-813403450018733-run-1054949139150701-Predictive-Optimizatio&quot;,_x000a_  &quot;Creator&quot;: &quot;a25b9e47-2518-438d-90ee-1cd792b5b46d&quot;,_x000a_  &quot;JobId&quot;: &quot;813403450018733.0&quot;,_x000a_  &quot;Predictive Optimization&quot;: &quot;True&quot;,_x000a_  &quot;RunName&quot;: &quot;Predictive Optimization Job-70b84e72-44fd-46d4-b641-47ec31bc1a09&quot;,_x000a_  &quot;Vendor&quot;: &quot;Databricks&quot;_x000a_}"/>
    <s v="Organization Name=PT Nawa Darsana Teknologi; Publisher=Microsoft; Publisher Customer ID=346fa229-7c19-44ef-85c6-29e00edf66cf; Unit Price=7676.24; ERP=458.3631195; BenefitType=Charge; Billing=Loyalty; BillingOriginProduct=PREDICTIVE_OPTIMIZATION; ClusterId=0507-204927-jodd4j7n-v2n; ClusterName=job-813403450018733-run-1054949139150701-Predictive-Optimizatio; Creator=a25b9e47-2518-438d-90ee-1cd792b5b46d; JobId=813403450018733.0; Predictive Optimization=True; RunName=Predictive Optimization Job-70b84e72-44fd-46d4-b641-47ec31bc1a09; Vendor=Databricks"/>
    <n v="15"/>
    <n v="458.359545159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6640875000000001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842.998352625&quot;,_x000a_  &quot;BenefitType&quot;: &quot;Charge&quot;,_x000a_  &quot;Billing&quot;: &quot;Loyalty&quot;,_x000a_  &quot;BillingOriginProduct&quot;: &quot;PREDICTIVE_OPTIMIZATION&quot;,_x000a_  &quot;ClusterId&quot;: &quot;0512-225428-nrn66hy0-v2n&quot;,_x000a_  &quot;ClusterName&quot;: &quot;job-788772690423647-run-164438190630093-Predictive-Optimization&quot;,_x000a_  &quot;Creator&quot;: &quot;a25b9e47-2518-438d-90ee-1cd792b5b46d&quot;,_x000a_  &quot;JobId&quot;: &quot;788772690423647.0&quot;,_x000a_  &quot;Predictive Optimization&quot;: &quot;True&quot;,_x000a_  &quot;RunName&quot;: &quot;Predictive Optimization Job-eb437fde-a397-4906-924a-5747be18c0af&quot;,_x000a_  &quot;Vendor&quot;: &quot;Databricks&quot;_x000a_}"/>
    <s v="Organization Name=PT Nawa Darsana Teknologi; Publisher=Microsoft; Publisher Customer ID=346fa229-7c19-44ef-85c6-29e00edf66cf; Unit Price=7676.24; ERP=842.998352625; BenefitType=Charge; Billing=Loyalty; BillingOriginProduct=PREDICTIVE_OPTIMIZATION; ClusterId=0512-225428-nrn66hy0-v2n; ClusterName=job-788772690423647-run-164438190630093-Predictive-Optimization; Creator=a25b9e47-2518-438d-90ee-1cd792b5b46d; JobId=788772690423647.0; Predictive Optimization=True; RunName=Predictive Optimization Job-eb437fde-a397-4906-924a-5747be18c0af; Vendor=Databricks"/>
    <n v="15"/>
    <n v="842.9985503099999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7068000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85.034164&quot;,_x000a_  &quot;BenefitType&quot;: &quot;Charge&quot;,_x000a_  &quot;Billing&quot;: &quot;Loyalty&quot;,_x000a_  &quot;BillingOriginProduct&quot;: &quot;PREDICTIVE_OPTIMIZATION&quot;,_x000a_  &quot;ClusterId&quot;: &quot;0509-231840-jtsckdp-v2n&quot;,_x000a_  &quot;ClusterName&quot;: &quot;job-611660451978296-run-730043066005989-Predictive-Optimization&quot;,_x000a_  &quot;Creator&quot;: &quot;a25b9e47-2518-438d-90ee-1cd792b5b46d&quot;,_x000a_  &quot;JobId&quot;: &quot;611660451978296.0&quot;,_x000a_  &quot;Predictive Optimization&quot;: &quot;True&quot;,_x000a_  &quot;RunName&quot;: &quot;Predictive Optimization Job-a2587040-d557-44ec-8f88-652f16248f67&quot;,_x000a_  &quot;Vendor&quot;: &quot;Databricks&quot;_x000a_}"/>
    <s v="Organization Name=PT Nawa Darsana Teknologi; Publisher=Microsoft; Publisher Customer ID=346fa229-7c19-44ef-85c6-29e00edf66cf; Unit Price=7676.24; ERP=585.034164; BenefitType=Charge; Billing=Loyalty; BillingOriginProduct=PREDICTIVE_OPTIMIZATION; ClusterId=0509-231840-jtsckdp-v2n; ClusterName=job-611660451978296-run-730043066005989-Predictive-Optimization; Creator=a25b9e47-2518-438d-90ee-1cd792b5b46d; JobId=611660451978296.0; Predictive Optimization=True; RunName=Predictive Optimization Job-a2587040-d557-44ec-8f88-652f16248f67; Vendor=Databricks"/>
    <n v="15"/>
    <n v="585.03006432000006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9864900000000006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871.1215227&quot;,_x000a_  &quot;BenefitType&quot;: &quot;Charge&quot;,_x000a_  &quot;Billing&quot;: &quot;Loyalty&quot;,_x000a_  &quot;BillingOriginProduct&quot;: &quot;PREDICTIVE_OPTIMIZATION&quot;,_x000a_  &quot;ClusterId&quot;: &quot;0513-204245-zw5eti5c-v2n&quot;,_x000a_  &quot;ClusterName&quot;: &quot;job-61442355729308-run-353899210092400-Predictive-Optimization&quot;,_x000a_  &quot;Creator&quot;: &quot;a25b9e47-2518-438d-90ee-1cd792b5b46d&quot;,_x000a_  &quot;JobId&quot;: &quot;61442355729308.0&quot;,_x000a_  &quot;Predictive Optimization&quot;: &quot;True&quot;,_x000a_  &quot;RunName&quot;: &quot;Predictive Optimization Job-472c47b4-c660-49ac-8963-3bcf97262e51&quot;,_x000a_  &quot;Vendor&quot;: &quot;Databricks&quot;_x000a_}"/>
    <s v="Organization Name=PT Nawa Darsana Teknologi; Publisher=Microsoft; Publisher Customer ID=346fa229-7c19-44ef-85c6-29e00edf66cf; Unit Price=7676.24; ERP=871.1215227; BenefitType=Charge; Billing=Loyalty; BillingOriginProduct=PREDICTIVE_OPTIMIZATION; ClusterId=0513-204245-zw5eti5c-v2n; ClusterName=job-61442355729308-run-353899210092400-Predictive-Optimization; Creator=a25b9e47-2518-438d-90ee-1cd792b5b46d; JobId=61442355729308.0; Predictive Optimization=True; RunName=Predictive Optimization Job-472c47b4-c660-49ac-8963-3bcf97262e51; Vendor=Databricks"/>
    <n v="15"/>
    <n v="871.1169399760000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042285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27.06852055&quot;,_x000a_  &quot;BenefitType&quot;: &quot;Charge&quot;,_x000a_  &quot;Billing&quot;: &quot;Loyalty&quot;,_x000a_  &quot;BillingOriginProduct&quot;: &quot;PREDICTIVE_OPTIMIZATION&quot;,_x000a_  &quot;ClusterId&quot;: &quot;0513-194149-8ubsmqhb-v2n&quot;,_x000a_  &quot;ClusterName&quot;: &quot;job-1032887894802721-run-643412116466860-Predictive-Optimizatio&quot;,_x000a_  &quot;Creator&quot;: &quot;a25b9e47-2518-438d-90ee-1cd792b5b46d&quot;,_x000a_  &quot;JobId&quot;: &quot;1032887894802721.0&quot;,_x000a_  &quot;Predictive Optimization&quot;: &quot;True&quot;,_x000a_  &quot;RunName&quot;: &quot;Predictive Optimization Job-42b55462-d2c2-4d26-8993-dd66b3073a67&quot;,_x000a_  &quot;Vendor&quot;: &quot;Databricks&quot;_x000a_}"/>
    <s v="Organization Name=PT Nawa Darsana Teknologi; Publisher=Microsoft; Publisher Customer ID=346fa229-7c19-44ef-85c6-29e00edf66cf; Unit Price=7676.24; ERP=527.06852055; BenefitType=Charge; Billing=Loyalty; BillingOriginProduct=PREDICTIVE_OPTIMIZATION; ClusterId=0513-194149-8ubsmqhb-v2n; ClusterName=job-1032887894802721-run-643412116466860-Predictive-Optimizatio; Creator=a25b9e47-2518-438d-90ee-1cd792b5b46d; JobId=1032887894802721.0; Predictive Optimization=True; RunName=Predictive Optimization Job-42b55462-d2c2-4d26-8993-dd66b3073a67; Vendor=Databricks"/>
    <n v="15"/>
    <n v="527.07029808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4124550000000002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59.35844965&quot;,_x000a_  &quot;BenefitType&quot;: &quot;Charge&quot;,_x000a_  &quot;Billing&quot;: &quot;Loyalty&quot;,_x000a_  &quot;BillingOriginProduct&quot;: &quot;PREDICTIVE_OPTIMIZATION&quot;,_x000a_  &quot;ClusterId&quot;: &quot;0514-193152-46q69oa8-v2n&quot;,_x000a_  &quot;ClusterName&quot;: &quot;job-346839596728733-run-460456727660295-Predictive-Optimization&quot;,_x000a_  &quot;Creator&quot;: &quot;a25b9e47-2518-438d-90ee-1cd792b5b46d&quot;,_x000a_  &quot;JobId&quot;: &quot;346839596728733.0&quot;,_x000a_  &quot;Predictive Optimization&quot;: &quot;True&quot;,_x000a_  &quot;RunName&quot;: &quot;Predictive Optimization Job-5c9dcdf0-9ead-4ba3-9f25-8cbfd5b70eb3&quot;,_x000a_  &quot;Vendor&quot;: &quot;Databricks&quot;_x000a_}"/>
    <s v="Organization Name=PT Nawa Darsana Teknologi; Publisher=Microsoft; Publisher Customer ID=346fa229-7c19-44ef-85c6-29e00edf66cf; Unit Price=7676.24; ERP=559.35844965; BenefitType=Charge; Billing=Loyalty; BillingOriginProduct=PREDICTIVE_OPTIMIZATION; ClusterId=0514-193152-46q69oa8-v2n; ClusterName=job-346839596728733-run-460456727660295-Predictive-Optimization; Creator=a25b9e47-2518-438d-90ee-1cd792b5b46d; JobId=346839596728733.0; Predictive Optimization=True; RunName=Predictive Optimization Job-5c9dcdf0-9ead-4ba3-9f25-8cbfd5b70eb3; Vendor=Databricks"/>
    <n v="15"/>
    <n v="559.355435692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3060395000000000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2669.5825585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37904629620840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2669.5825585; BenefitType=Charge; Billing=Loyalty; BillingOriginProduct=PREDICTIVE_OPTIMIZATION; Creator=a25b9e47-2518-438d-90ee-1cd792b5b46d; JobId=379046296208407.0; Predictive Optimization=True; Vendor=Databricks"/>
    <n v="12"/>
    <n v="2669.58265148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810670417000000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2451.747803876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388144725527400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2451.7478038768; BenefitType=Charge; Billing=Loyalty; BillingOriginProduct=PREDICTIVE_OPTIMIZATION; Creator=a25b9e47-2518-438d-90ee-1cd792b5b46d; JobId=388144725527400.0; Predictive Optimization=True; Vendor=Databricks"/>
    <n v="12"/>
    <n v="2451.7480679232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20764504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5&quot;,_x000a_  &quot;ERP&quot;: &quot;977.642876839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641610945423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5; ERP=977.6428768392; BenefitType=Charge; Billing=Loyalty; BillingOriginProduct=PREDICTIVE_OPTIMIZATION; Creator=a25b9e47-2518-438d-90ee-1cd792b5b46d; JobId=56416109454235.0; Predictive Optimization=True; Vendor=Databricks"/>
    <n v="12"/>
    <n v="977.6457317464000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5330646699999994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4&quot;,_x000a_  &quot;ERP&quot;: &quot;831.569230291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63705760099312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4; ERP=831.5692302918; BenefitType=Charge; Billing=Loyalty; BillingOriginProduct=PREDICTIVE_OPTIMIZATION; Creator=a25b9e47-2518-438d-90ee-1cd792b5b46d; JobId=563705760099312.0; Predictive Optimization=True; Vendor=Databricks"/>
    <n v="12"/>
    <n v="831.57092316849992"/>
  </r>
  <r>
    <s v="May"/>
    <s v="Microsoft CSP Azure Plan"/>
    <s v="Divisi Inovasi"/>
    <s v="divisiinovasi.onmicrosoft.com"/>
    <s v="a4cdaa2e-caa7-440f-b849-928a3ceb7e31"/>
    <s v="AzureCSP_DivisiInovasi"/>
    <n v="1141685"/>
    <s v="Bsv2 Series VM"/>
    <x v="2"/>
    <x v="21"/>
    <s v="B2s v2"/>
    <d v="2026-05-01T00:00:00"/>
    <d v="2026-05-31T00:00:00"/>
    <n v="0.66668000000000005"/>
    <s v="1 Hour"/>
    <s v="IDR"/>
    <s v="RG-Loyalty-Prod"/>
    <s v="github-runner-loyalty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27.36288&quot;,_x000a_  &quot;ERP&quot;: &quot;1232.87532368&quot;,_x000a_  &quot;BenefitType&quot;: &quot;Charge&quot;_x000a_}"/>
    <s v="Organization Name=PT Nawa Darsana Teknologi; Publisher=Microsoft; Publisher Customer ID=346fa229-7c19-44ef-85c6-29e00edf66cf; Unit Price=1627.36288; ERP=1232.87532368; BenefitType=Charge"/>
    <n v="6"/>
    <n v="1232.8802848384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833529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Tables"/>
    <x v="11"/>
    <x v="28"/>
    <s v="Read Operations"/>
    <d v="2026-05-01T00:00:00"/>
    <d v="2026-05-31T00:00:00"/>
    <n v="4.0000000000000002E-4"/>
    <s v="10K"/>
    <s v="IDR"/>
    <s v="RG-Loyalty"/>
    <s v="adx-dvlp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5.5268928&quot;,_x000a_  &quot;ERP&quot;: &quot;0.002512224&quot;,_x000a_  &quot;BenefitType&quot;: &quot;Charge&quot;_x000a_}"/>
    <s v="Organization Name=PT Nawa Darsana Teknologi; Publisher=Microsoft; Publisher Customer ID=346fa229-7c19-44ef-85c6-29e00edf66cf; Unit Price=5.5268928; ERP=0.002512224; BenefitType=Charge"/>
    <n v="6"/>
    <n v="2.2107570999999999E-3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0.70742000000000005"/>
    <s v="1/Month"/>
    <s v="IDR"/>
    <s v="mc_rg-loyalty-prod_locksmith_southeastasia"/>
    <s v="aks-newuserpool-2591aks-newuserpool-25919OS__1_6c453b07774d4b969d3cd089158a88c8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43253.9080972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7999999; ERP=243253.9080972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243253.90912553601"/>
  </r>
  <r>
    <s v="May"/>
    <s v="Microsoft CSP Azure Plan"/>
    <s v="Divisi Inovasi"/>
    <s v="divisiinovasi.onmicrosoft.com"/>
    <s v="a4cdaa2e-caa7-440f-b849-928a3ceb7e31"/>
    <s v="AzureCSP_DivisiInovasi"/>
    <n v="1141685"/>
    <s v="Event Hubs"/>
    <x v="14"/>
    <x v="29"/>
    <s v="Standard Throughput Unit"/>
    <d v="2026-05-01T00:00:00"/>
    <d v="2026-05-31T00:00:00"/>
    <n v="744"/>
    <s v="1 Hour"/>
    <s v="IDR"/>
    <s v="RG-Loyalty"/>
    <s v="leafbu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389394.72&quot;,_x000a_  &quot;BenefitType&quot;: &quot;Charge&quot;,_x000a_  &quot;Environment&quot;: &quot;Loyalty-Analytic&quot;_x000a_}"/>
    <s v="Organization Name=PT Nawa Darsana Teknologi; Publisher=Microsoft; Publisher Customer ID=346fa229-7c19-44ef-85c6-29e00edf66cf; Unit Price=460.5744; ERP=389394.72; BenefitType=Charge; Environment=Loyalty-Analytic"/>
    <n v="7"/>
    <n v="389394.72360000003"/>
  </r>
  <r>
    <s v="May"/>
    <s v="Microsoft CSP Azure Plan"/>
    <s v="Divisi Inovasi"/>
    <s v="divisiinovasi.onmicrosoft.com"/>
    <s v="a4cdaa2e-caa7-440f-b849-928a3ceb7e31"/>
    <s v="AzureCSP_DivisiInovasi"/>
    <n v="1141685"/>
    <s v="Key Vault"/>
    <x v="15"/>
    <x v="30"/>
    <s v="Operations"/>
    <d v="2026-05-01T00:00:00"/>
    <d v="2026-05-31T00:00:00"/>
    <n v="1594.7171000000001"/>
    <s v="10K"/>
    <s v="IDR"/>
    <s v="RG-Loyalty-Prod"/>
    <s v="lugin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0.5744&quot;,_x000a_  &quot;ERP&quot;: &quot;834643.0357962555&quot;,_x000a_  &quot;BenefitType&quot;: &quot;Charge&quot;_x000a_}"/>
    <s v="Organization Name=PT Nawa Darsana Teknologi; Publisher=Microsoft; Publisher Customer ID=346fa229-7c19-44ef-85c6-29e00edf66cf; Unit Price=460.5744; ERP=834643.0357962555; BenefitType=Charge"/>
    <n v="6"/>
    <n v="834643.03150223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172975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895.4860925&quot;,_x000a_  &quot;BenefitType&quot;: &quot;Charge&quot;,_x000a_  &quot;Billing&quot;: &quot;Loyalty&quot;,_x000a_  &quot;BillingOriginProduct&quot;: &quot;JOBS&quot;,_x000a_  &quot;ClusterId&quot;: &quot;0501-180949-14ww0w1r-v2n&quot;,_x000a_  &quot;ClusterName&quot;: &quot;job-866641465762645-run-747025618774360-X_Databricks_Computeles&quot;,_x000a_  &quot;Creator&quot;: &quot;deo.haganta@divisiinovasi.onmicrosoft.com&quot;,_x000a_  &quot;JobId&quot;: &quot;866641465762645.0&quot;,_x000a_  &quot;RunName&quot;: &quot;Job Daily DWH Production&quot;,_x000a_  &quot;Vendor&quot;: &quot;Databricks&quot;_x000a_}"/>
    <s v="Organization Name=PT Nawa Darsana Teknologi; Publisher=Microsoft; Publisher Customer ID=346fa229-7c19-44ef-85c6-29e00edf66cf; Unit Price=7676.24; ERP=1895.4860925; BenefitType=Charge; Billing=Loyalty; BillingOriginProduct=JOBS; ClusterId=0501-180949-14ww0w1r-v2n; ClusterName=job-866641465762645-run-747025618774360-X_Databricks_Computeles; Creator=deo.haganta@divisiinovasi.onmicrosoft.com; JobId=866641465762645.0; RunName=Job Daily DWH Production; Vendor=Databricks"/>
    <n v="14"/>
    <n v="1895.4877614"/>
  </r>
  <r>
    <s v="May"/>
    <s v="Microsoft CSP Azure Plan"/>
    <s v="Divisi Inovasi"/>
    <s v="divisiinovasi.onmicrosoft.com"/>
    <s v="a4cdaa2e-caa7-440f-b849-928a3ceb7e31"/>
    <s v="AzureCSP_DivisiInovasi"/>
    <n v="1141685"/>
    <s v="Service Bus"/>
    <x v="16"/>
    <x v="31"/>
    <s v="Standard Messaging Operations"/>
    <d v="2026-05-01T00:00:00"/>
    <d v="2026-05-31T00:00:00"/>
    <n v="3.57E-4"/>
    <s v="1M"/>
    <s v="IDR"/>
    <s v="RG-Loyalty"/>
    <s v="leafbu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9825776&quot;,_x000a_  &quot;BenefitType&quot;: &quot;Charge&quot;,_x000a_  &quot;Environment&quot;: &quot;Loyalty-Analytic&quot;_x000a_}"/>
    <s v="Organization Name=PT Nawa Darsana Teknologi; Publisher=Microsoft; Publisher Customer ID=346fa229-7c19-44ef-85c6-29e00edf66cf; Unit Price=0.0; ERP=4.9825776; BenefitType=Charge; Environment=Loyalty-Analytic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Data Factory v2"/>
    <x v="17"/>
    <x v="32"/>
    <s v="Cloud Read Write Operations"/>
    <d v="2026-05-01T00:00:00"/>
    <d v="2026-05-31T00:00:00"/>
    <n v="9.3999999999999997E-4"/>
    <s v="50K"/>
    <s v="IDR"/>
    <s v="RG-Loyalty"/>
    <s v="ANALYTICS-DATA-FACTORI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8.19962&quot;,_x000a_  &quot;BenefitType&quot;: &quot;Charge&quot;_x000a_}"/>
    <s v="Organization Name=PT Nawa Darsana Teknologi; Publisher=Microsoft; Publisher Customer ID=346fa229-7c19-44ef-85c6-29e00edf66cf; Unit Price=7676.24; ERP=8.19962; BenefitType=Charge"/>
    <n v="6"/>
    <n v="8.1956655999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8208000000000002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44877&quot;,_x000a_  &quot;ERP&quot;: &quot;0.001015357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44877; ERP=0.001015357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8.9363189999999996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9.9303489999999998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49&quot;,_x000a_  &quot;ERP&quot;: &quot;1.732447116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49; ERP=1.732447116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.7345548370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7620789999999997E-4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&quot;,_x000a_  &quot;ERP&quot;: &quot;0.048185852&quot;,_x000a_  &quot;BenefitType&quot;: &quot;Charge&quot;,_x000a_  &quot;aks-managed-consolidated-additional-properties&quot;: &quot;19870c8d-3b89-11f1-a232-aa2dec2b26a1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e84d395-fd42-4464-9926-826e4ae94f75&quot;,_x000a_  &quot;aks-managed-orchestrator&quot;: &quot;Kubernetes:1.33.8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; ERP=0.048185852; BenefitType=Charge; aks-managed-consolidated-additional-properties=19870c8d-3b89-11f1-a232-aa2dec2b26a1; aks-managed-creationSource=vmssclient-aks-systemeph-33281046-vmss; aks-managed-enable-imds-restriction=False; aks-managed-kubeletIdentityClientID=b2aa22d3-2063-4e90-a9df-47ffb8a7aae1; aks-managed-operationID=9e84d395-fd42-4464-9926-826e4ae94f75; aks-managed-orchestrator=Kubernetes:1.33.8; aks-managed-poolName=systemeph; aks-managed-resourceNameSuffix=11712142.0; aks-managed-ssh-access=LocalUser; compute.aks.billing=linux"/>
    <n v="16"/>
    <n v="5.2404766200000001E-2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2.0638882000000001E-2"/>
    <s v="1 GB"/>
    <s v="IDR"/>
    <s v="RG-Loyalty"/>
    <s v="frontdoor-lakeside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19.47776&quot;,_x000a_  &quot;ERP&quot;: &quot;40.3273832962&quot;,_x000a_  &quot;BenefitType&quot;: &quot;Charge&quot;,_x000a_  &quot;env&quot;: &quot;Development-Loyalty&quot;_x000a_}"/>
    <s v="Organization Name=PT Nawa Darsana Teknologi; Publisher=Microsoft; Publisher Customer ID=346fa229-7c19-44ef-85c6-29e00edf66cf; Unit Price=1719.47776; ERP=40.3273832962; BenefitType=Charge; env=Development-Loyalty"/>
    <n v="7"/>
    <n v="40.32809859030000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7.0825833300000002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3&quot;,_x000a_  &quot;ERP&quot;: &quot;617.8137430036&quot;,_x000a_  &quot;BenefitType&quot;: &quot;Charge&quot;,_x000a_  &quot;Billing&quot;: &quot;Loyalty&quot;,_x000a_  &quot;BillingOriginProduct&quot;: &quot;PREDICTIVE_OPTIMIZATION&quot;,_x000a_  &quot;ClusterId&quot;: &quot;0503-232033-ouz6499k-v2n&quot;,_x000a_  &quot;ClusterName&quot;: &quot;job-81755581213425-run-943424483475399-Predictive-Optimization&quot;,_x000a_  &quot;Creator&quot;: &quot;a25b9e47-2518-438d-90ee-1cd792b5b46d&quot;,_x000a_  &quot;JobId&quot;: &quot;81755581213425.0&quot;,_x000a_  &quot;Predictive Optimization&quot;: &quot;True&quot;,_x000a_  &quot;RunName&quot;: &quot;Predictive Optimization Job-7cc2484f-c1f2-40d5-8422-008ebcf8a065&quot;,_x000a_  &quot;Vendor&quot;: &quot;Databricks&quot;_x000a_}"/>
    <s v="Organization Name=PT Nawa Darsana Teknologi; Publisher=Microsoft; Publisher Customer ID=346fa229-7c19-44ef-85c6-29e00edf66cf; Unit Price=7676.2399999983; ERP=617.8137430036; BenefitType=Charge; Billing=Loyalty; BillingOriginProduct=PREDICTIVE_OPTIMIZATION; ClusterId=0503-232033-ouz6499k-v2n; ClusterName=job-81755581213425-run-943424483475399-Predictive-Optimization; Creator=a25b9e47-2518-438d-90ee-1cd792b5b46d; JobId=81755581213425.0; Predictive Optimization=True; RunName=Predictive Optimization Job-7cc2484f-c1f2-40d5-8422-008ebcf8a065; Vendor=Databricks"/>
    <n v="15"/>
    <n v="617.8160948664999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3775125000000002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56.310415375&quot;,_x000a_  &quot;BenefitType&quot;: &quot;Charge&quot;,_x000a_  &quot;Billing&quot;: &quot;Loyalty&quot;,_x000a_  &quot;BillingOriginProduct&quot;: &quot;PREDICTIVE_OPTIMIZATION&quot;,_x000a_  &quot;ClusterId&quot;: &quot;0507-214950-9xt91inx-v2n&quot;,_x000a_  &quot;ClusterName&quot;: &quot;job-891356624583584-run-172034074152333-Predictive-Optimization&quot;,_x000a_  &quot;Creator&quot;: &quot;a25b9e47-2518-438d-90ee-1cd792b5b46d&quot;,_x000a_  &quot;JobId&quot;: &quot;891356624583584.0&quot;,_x000a_  &quot;Predictive Optimization&quot;: &quot;True&quot;,_x000a_  &quot;RunName&quot;: &quot;Predictive Optimization Job-ffacb88b-d500-49f6-bd0f-c7acb74e0a51&quot;,_x000a_  &quot;Vendor&quot;: &quot;Databricks&quot;_x000a_}"/>
    <s v="Organization Name=PT Nawa Darsana Teknologi; Publisher=Microsoft; Publisher Customer ID=346fa229-7c19-44ef-85c6-29e00edf66cf; Unit Price=7676.24; ERP=556.310415375; BenefitType=Charge; Billing=Loyalty; BillingOriginProduct=PREDICTIVE_OPTIMIZATION; ClusterId=0507-214950-9xt91inx-v2n; ClusterName=job-891356624583584-run-172034074152333-Predictive-Optimization; Creator=a25b9e47-2518-438d-90ee-1cd792b5b46d; JobId=891356624583584.0; Predictive Optimization=True; RunName=Predictive Optimization Job-ffacb88b-d500-49f6-bd0f-c7acb74e0a51; Vendor=Databricks"/>
    <n v="15"/>
    <n v="556.313165529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2915950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61.58583185&quot;,_x000a_  &quot;BenefitType&quot;: &quot;Charge&quot;,_x000a_  &quot;Billing&quot;: &quot;Loyalty&quot;,_x000a_  &quot;BillingOriginProduct&quot;: &quot;PREDICTIVE_OPTIMIZATION&quot;,_x000a_  &quot;ClusterId&quot;: &quot;0507-091156-xs01kfhf-v2n&quot;,_x000a_  &quot;ClusterName&quot;: &quot;job-318084985277759-run-648520873387914-Predictive-Optimization&quot;,_x000a_  &quot;Creator&quot;: &quot;a25b9e47-2518-438d-90ee-1cd792b5b46d&quot;,_x000a_  &quot;JobId&quot;: &quot;318084985277759.0&quot;,_x000a_  &quot;Predictive Optimization&quot;: &quot;True&quot;,_x000a_  &quot;RunName&quot;: &quot;Predictive Optimization Job-87bcf1dc-93c3-4857-9e0c-4f234916e334&quot;,_x000a_  &quot;Vendor&quot;: &quot;Databricks&quot;_x000a_}"/>
    <s v="Organization Name=PT Nawa Darsana Teknologi; Publisher=Microsoft; Publisher Customer ID=346fa229-7c19-44ef-85c6-29e00edf66cf; Unit Price=7676.24; ERP=461.58583185; BenefitType=Charge; Billing=Loyalty; BillingOriginProduct=PREDICTIVE_OPTIMIZATION; ClusterId=0507-091156-xs01kfhf-v2n; ClusterName=job-318084985277759-run-648520873387914-Predictive-Optimization; Creator=a25b9e47-2518-438d-90ee-1cd792b5b46d; JobId=318084985277759.0; Predictive Optimization=True; RunName=Predictive Optimization Job-87bcf1dc-93c3-4857-9e0c-4f234916e334; Vendor=Databricks"/>
    <n v="15"/>
    <n v="461.585532027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85556999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98.0113711&quot;,_x000a_  &quot;BenefitType&quot;: &quot;Charge&quot;,_x000a_  &quot;Billing&quot;: &quot;Loyalty&quot;,_x000a_  &quot;BillingOriginProduct&quot;: &quot;PREDICTIVE_OPTIMIZATION&quot;,_x000a_  &quot;ClusterId&quot;: &quot;0501-220929-82lq2rp-v2n&quot;,_x000a_  &quot;ClusterName&quot;: &quot;job-424221859501833-run-93730330906031-Predictive-Optimization&quot;,_x000a_  &quot;Creator&quot;: &quot;a25b9e47-2518-438d-90ee-1cd792b5b46d&quot;,_x000a_  &quot;JobId&quot;: &quot;424221859501833.0&quot;,_x000a_  &quot;Predictive Optimization&quot;: &quot;True&quot;,_x000a_  &quot;RunName&quot;: &quot;Predictive Optimization Job-203f488c-f863-4a41-a806-9ba8294d698c&quot;,_x000a_  &quot;Vendor&quot;: &quot;Databricks&quot;_x000a_}"/>
    <s v="Organization Name=PT Nawa Darsana Teknologi; Publisher=Microsoft; Publisher Customer ID=346fa229-7c19-44ef-85c6-29e00edf66cf; Unit Price=7676.24; ERP=598.0113711; BenefitType=Charge; Billing=Loyalty; BillingOriginProduct=PREDICTIVE_OPTIMIZATION; ClusterId=0501-220929-82lq2rp-v2n; ClusterName=job-424221859501833-run-93730330906031-Predictive-Optimization; Creator=a25b9e47-2518-438d-90ee-1cd792b5b46d; JobId=424221859501833.0; Predictive Optimization=True; RunName=Predictive Optimization Job-203f488c-f863-4a41-a806-9ba8294d698c; Vendor=Databricks"/>
    <n v="15"/>
    <n v="598.010006567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849979170000000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1&quot;,_x000a_  &quot;ERP&quot;: &quot;597.5236821268&quot;,_x000a_  &quot;BenefitType&quot;: &quot;Charge&quot;,_x000a_  &quot;Billing&quot;: &quot;Loyalty&quot;,_x000a_  &quot;BillingOriginProduct&quot;: &quot;PREDICTIVE_OPTIMIZATION&quot;,_x000a_  &quot;ClusterId&quot;: &quot;0527-194617-zg28td8x-v2n&quot;,_x000a_  &quot;ClusterName&quot;: &quot;job-500666096077475-run-732566900303524-Predictive-Optimization&quot;,_x000a_  &quot;Creator&quot;: &quot;a25b9e47-2518-438d-90ee-1cd792b5b46d&quot;,_x000a_  &quot;JobId&quot;: &quot;500666096077475.0&quot;,_x000a_  &quot;Predictive Optimization&quot;: &quot;True&quot;,_x000a_  &quot;RunName&quot;: &quot;Predictive Optimization Job-55cb87c9-30c4-4d00-a7bf-b90c345690c7&quot;,_x000a_  &quot;Vendor&quot;: &quot;Databricks&quot;_x000a_}"/>
    <s v="Organization Name=PT Nawa Darsana Teknologi; Publisher=Microsoft; Publisher Customer ID=346fa229-7c19-44ef-85c6-29e00edf66cf; Unit Price=7676.2399999991; ERP=597.5236821268; BenefitType=Charge; Billing=Loyalty; BillingOriginProduct=PREDICTIVE_OPTIMIZATION; ClusterId=0527-194617-zg28td8x-v2n; ClusterName=job-500666096077475-run-732566900303524-Predictive-Optimization; Creator=a25b9e47-2518-438d-90ee-1cd792b5b46d; JobId=500666096077475.0; Predictive Optimization=True; RunName=Predictive Optimization Job-55cb87c9-30c4-4d00-a7bf-b90c345690c7; Vendor=Databricks"/>
    <n v="15"/>
    <n v="597.52084078330006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220204167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5&quot;,_x000a_  &quot;ERP&quot;: &quot;1064.3840940018&quot;,_x000a_  &quot;BenefitType&quot;: &quot;Charge&quot;,_x000a_  &quot;Billing&quot;: &quot;Loyalty&quot;,_x000a_  &quot;BillingOriginProduct&quot;: &quot;PREDICTIVE_OPTIMIZATION&quot;,_x000a_  &quot;ClusterId&quot;: &quot;0527-224933-nl1sn85q-v2n&quot;,_x000a_  &quot;ClusterName&quot;: &quot;job-128148533042399-run-967155326290785-Predictive-Optimization&quot;,_x000a_  &quot;Creator&quot;: &quot;a25b9e47-2518-438d-90ee-1cd792b5b46d&quot;,_x000a_  &quot;JobId&quot;: &quot;128148533042399.0&quot;,_x000a_  &quot;Predictive Optimization&quot;: &quot;True&quot;,_x000a_  &quot;RunName&quot;: &quot;Predictive Optimization Job-59040c87-359a-4cb8-8a10-eddc5b130e83&quot;,_x000a_  &quot;Vendor&quot;: &quot;Databricks&quot;_x000a_}"/>
    <s v="Organization Name=PT Nawa Darsana Teknologi; Publisher=Microsoft; Publisher Customer ID=346fa229-7c19-44ef-85c6-29e00edf66cf; Unit Price=7676.2399999995; ERP=1064.3840940018; BenefitType=Charge; Billing=Loyalty; BillingOriginProduct=PREDICTIVE_OPTIMIZATION; ClusterId=0527-224933-nl1sn85q-v2n; ClusterName=job-128148533042399-run-967155326290785-Predictive-Optimization; Creator=a25b9e47-2518-438d-90ee-1cd792b5b46d; JobId=128148533042399.0; Predictive Optimization=True; RunName=Predictive Optimization Job-59040c87-359a-4cb8-8a10-eddc5b130e83; Vendor=Databricks"/>
    <n v="15"/>
    <n v="1064.388003233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4.9213541700000002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8&quot;,_x000a_  &quot;ERP&quot;: &quot;429.2897233768&quot;,_x000a_  &quot;BenefitType&quot;: &quot;Charge&quot;,_x000a_  &quot;Billing&quot;: &quot;Loyalty&quot;,_x000a_  &quot;BillingOriginProduct&quot;: &quot;PREDICTIVE_OPTIMIZATION&quot;,_x000a_  &quot;ClusterId&quot;: &quot;0529-184753-97ow2dzr-v2n&quot;,_x000a_  &quot;ClusterName&quot;: &quot;job-958323303512147-run-728929203817381-Predictive-Optimization&quot;,_x000a_  &quot;Creator&quot;: &quot;a25b9e47-2518-438d-90ee-1cd792b5b46d&quot;,_x000a_  &quot;JobId&quot;: &quot;958323303512147.0&quot;,_x000a_  &quot;Predictive Optimization&quot;: &quot;True&quot;,_x000a_  &quot;RunName&quot;: &quot;Predictive Optimization Job-5cb86b57-8dd5-4e7b-9761-d621a6851aaa&quot;,_x000a_  &quot;Vendor&quot;: &quot;Databricks&quot;_x000a_}"/>
    <s v="Organization Name=PT Nawa Darsana Teknologi; Publisher=Microsoft; Publisher Customer ID=346fa229-7c19-44ef-85c6-29e00edf66cf; Unit Price=7676.2399999988; ERP=429.2897233768; BenefitType=Charge; Billing=Loyalty; BillingOriginProduct=PREDICTIVE_OPTIMIZATION; ClusterId=0529-184753-97ow2dzr-v2n; ClusterName=job-958323303512147-run-728929203817381-Predictive-Optimization; Creator=a25b9e47-2518-438d-90ee-1cd792b5b46d; JobId=958323303512147.0; Predictive Optimization=True; RunName=Predictive Optimization Job-5cb86b57-8dd5-4e7b-9761-d621a6851aaa; Vendor=Databricks"/>
    <n v="15"/>
    <n v="429.2849570833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5405625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83.303266875&quot;,_x000a_  &quot;BenefitType&quot;: &quot;Charge&quot;,_x000a_  &quot;Billing&quot;: &quot;Loyalty&quot;,_x000a_  &quot;BillingOriginProduct&quot;: &quot;PREDICTIVE_OPTIMIZATION&quot;,_x000a_  &quot;ClusterId&quot;: &quot;0530-235535-ic50sgn2-v2n&quot;,_x000a_  &quot;ClusterName&quot;: &quot;job-252004207833228-run-388241249670654-Predictive-Optimization&quot;,_x000a_  &quot;Creator&quot;: &quot;a25b9e47-2518-438d-90ee-1cd792b5b46d&quot;,_x000a_  &quot;JobId&quot;: &quot;252004207833228.0&quot;,_x000a_  &quot;Predictive Optimization&quot;: &quot;True&quot;,_x000a_  &quot;RunName&quot;: &quot;Predictive Optimization Job-7902f8af-52b3-44b4-bdfd-28c43f52a5c4&quot;,_x000a_  &quot;Vendor&quot;: &quot;Databricks&quot;_x000a_}"/>
    <s v="Organization Name=PT Nawa Darsana Teknologi; Publisher=Microsoft; Publisher Customer ID=346fa229-7c19-44ef-85c6-29e00edf66cf; Unit Price=7676.24; ERP=483.303266875; BenefitType=Charge; Billing=Loyalty; BillingOriginProduct=PREDICTIVE_OPTIMIZATION; ClusterId=0530-235535-ic50sgn2-v2n; ClusterName=job-252004207833228-run-388241249670654-Predictive-Optimization; Creator=a25b9e47-2518-438d-90ee-1cd792b5b46d; JobId=252004207833228.0; Predictive Optimization=True; RunName=Predictive Optimization Job-7902f8af-52b3-44b4-bdfd-28c43f52a5c4; Vendor=Databricks"/>
    <n v="15"/>
    <n v="483.306874849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45877083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78&quot;,_x000a_  &quot;ERP&quot;: &quot;476.1685786286&quot;,_x000a_  &quot;BenefitType&quot;: &quot;Charge&quot;,_x000a_  &quot;Billing&quot;: &quot;Loyalty&quot;,_x000a_  &quot;BillingOriginProduct&quot;: &quot;PREDICTIVE_OPTIMIZATION&quot;,_x000a_  &quot;ClusterId&quot;: &quot;0531-225926-jk1apjdg-v2n&quot;,_x000a_  &quot;ClusterName&quot;: &quot;job-105268098860806-run-439689492139071-Predictive-Optimization&quot;,_x000a_  &quot;Creator&quot;: &quot;a25b9e47-2518-438d-90ee-1cd792b5b46d&quot;,_x000a_  &quot;JobId&quot;: &quot;105268098860806.0&quot;,_x000a_  &quot;Predictive Optimization&quot;: &quot;True&quot;,_x000a_  &quot;RunName&quot;: &quot;Predictive Optimization Job-204da27c-6378-476e-8563-ffde35c5a105&quot;,_x000a_  &quot;Vendor&quot;: &quot;Databricks&quot;_x000a_}"/>
    <s v="Organization Name=PT Nawa Darsana Teknologi; Publisher=Microsoft; Publisher Customer ID=346fa229-7c19-44ef-85c6-29e00edf66cf; Unit Price=7676.2399999978; ERP=476.1685786286; BenefitType=Charge; Billing=Loyalty; BillingOriginProduct=PREDICTIVE_OPTIMIZATION; ClusterId=0531-225926-jk1apjdg-v2n; ClusterName=job-105268098860806-run-439689492139071-Predictive-Optimization; Creator=a25b9e47-2518-438d-90ee-1cd792b5b46d; JobId=105268098860806.0; Predictive Optimization=True; RunName=Predictive Optimization Job-204da27c-6378-476e-8563-ffde35c5a105; Vendor=Databricks"/>
    <n v="15"/>
    <n v="476.1683502165000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7.6761041700000004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2&quot;,_x000a_  &quot;ERP&quot;: &quot;669.5865658768&quot;,_x000a_  &quot;BenefitType&quot;: &quot;Charge&quot;,_x000a_  &quot;Billing&quot;: &quot;Loyalty&quot;,_x000a_  &quot;BillingOriginProduct&quot;: &quot;PREDICTIVE_OPTIMIZATION&quot;,_x000a_  &quot;ClusterId&quot;: &quot;0531-033021-3qmcg7b7-v2n&quot;,_x000a_  &quot;ClusterName&quot;: &quot;job-193240235434935-run-1072141012736059-Predictive-Optimizatio&quot;,_x000a_  &quot;Creator&quot;: &quot;a25b9e47-2518-438d-90ee-1cd792b5b46d&quot;,_x000a_  &quot;JobId&quot;: &quot;193240235434935.0&quot;,_x000a_  &quot;Predictive Optimization&quot;: &quot;True&quot;,_x000a_  &quot;RunName&quot;: &quot;Predictive Optimization Job-61f71d3c-8d22-4670-b2f1-3b04746b1ad5&quot;,_x000a_  &quot;Vendor&quot;: &quot;Databricks&quot;_x000a_}"/>
    <s v="Organization Name=PT Nawa Darsana Teknologi; Publisher=Microsoft; Publisher Customer ID=346fa229-7c19-44ef-85c6-29e00edf66cf; Unit Price=7676.2399999992; ERP=669.5865658768; BenefitType=Charge; Billing=Loyalty; BillingOriginProduct=PREDICTIVE_OPTIMIZATION; ClusterId=0531-033021-3qmcg7b7-v2n; ClusterName=job-193240235434935-run-1072141012736059-Predictive-Optimizatio; Creator=a25b9e47-2518-438d-90ee-1cd792b5b46d; JobId=193240235434935.0; Predictive Optimization=True; RunName=Predictive Optimization Job-61f71d3c-8d22-4670-b2f1-3b04746b1ad5; Vendor=Databricks"/>
    <n v="15"/>
    <n v="669.5861784833000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4.2872763199999997E-2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51&quot;,_x000a_  &quot;ERP&quot;: &quot;59.836657166&quot;,_x000a_  &quot;BenefitType&quot;: &quot;Charge&quot;,_x000a_  &quot;aks-managed-consolidated-additional-properties&quot;: &quot;311cf8b6-57da-11f1-a161-cad1f54d4175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51; ERP=59.836657166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"/>
    <n v="16"/>
    <n v="59.83625921330000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2.66116923E-2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91.3847617107&quot;,_x000a_  &quot;ERP&quot;: &quot;37.1414052438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091.3847617107; ERP=37.1414052438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33.00359542910000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311437249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143.966713175&quot;,_x000a_  &quot;BenefitType&quot;: &quot;Charge&quot;,_x000a_  &quot;Billing&quot;: &quot;Loyalty&quot;,_x000a_  &quot;BillingOriginProduct&quot;: &quot;PREDICTIVE_OPTIMIZATION&quot;,_x000a_  &quot;ClusterId&quot;: &quot;0501-141642-758vohe2-v2n&quot;,_x000a_  &quot;ClusterName&quot;: &quot;job-634464602845427-run-955188034414858-Predictive-Optimization&quot;,_x000a_  &quot;Creator&quot;: &quot;a25b9e47-2518-438d-90ee-1cd792b5b46d&quot;,_x000a_  &quot;JobId&quot;: &quot;634464602845427.0&quot;,_x000a_  &quot;Predictive Optimization&quot;: &quot;True&quot;,_x000a_  &quot;RunName&quot;: &quot;Predictive Optimization Job-89dd4c51-288d-457e-b596-4ab626cccd81&quot;,_x000a_  &quot;Vendor&quot;: &quot;Databricks&quot;_x000a_}"/>
    <s v="Organization Name=PT Nawa Darsana Teknologi; Publisher=Microsoft; Publisher Customer ID=346fa229-7c19-44ef-85c6-29e00edf66cf; Unit Price=7676.24; ERP=1143.966713175; BenefitType=Charge; Billing=Loyalty; BillingOriginProduct=PREDICTIVE_OPTIMIZATION; ClusterId=0501-141642-758vohe2-v2n; ClusterName=job-634464602845427-run-955188034414858-Predictive-Optimization; Creator=a25b9e47-2518-438d-90ee-1cd792b5b46d; JobId=634464602845427.0; Predictive Optimization=True; RunName=Predictive Optimization Job-89dd4c51-288d-457e-b596-4ab626cccd81; Vendor=Databricks"/>
    <n v="15"/>
    <n v="1143.97070759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4.877887499999999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25.498126625&quot;,_x000a_  &quot;BenefitType&quot;: &quot;Charge&quot;,_x000a_  &quot;Billing&quot;: &quot;Loyalty&quot;,_x000a_  &quot;BillingOriginProduct&quot;: &quot;PREDICTIVE_OPTIMIZATION&quot;,_x000a_  &quot;ClusterId&quot;: &quot;0501-202717-bwxix35q-v2n&quot;,_x000a_  &quot;ClusterName&quot;: &quot;job-894640926867521-run-690144568821013-Predictive-Optimization&quot;,_x000a_  &quot;Creator&quot;: &quot;a25b9e47-2518-438d-90ee-1cd792b5b46d&quot;,_x000a_  &quot;JobId&quot;: &quot;894640926867521.0&quot;,_x000a_  &quot;Predictive Optimization&quot;: &quot;True&quot;,_x000a_  &quot;RunName&quot;: &quot;Predictive Optimization Job-ba73f496-c708-4356-9e8e-01c3937a2915&quot;,_x000a_  &quot;Vendor&quot;: &quot;Databricks&quot;_x000a_}"/>
    <s v="Organization Name=PT Nawa Darsana Teknologi; Publisher=Microsoft; Publisher Customer ID=346fa229-7c19-44ef-85c6-29e00edf66cf; Unit Price=7676.24; ERP=425.498126625; BenefitType=Charge; Billing=Loyalty; BillingOriginProduct=PREDICTIVE_OPTIMIZATION; ClusterId=0501-202717-bwxix35q-v2n; ClusterName=job-894640926867521-run-690144568821013-Predictive-Optimization; Creator=a25b9e47-2518-438d-90ee-1cd792b5b46d; JobId=894640926867521.0; Predictive Optimization=True; RunName=Predictive Optimization Job-ba73f496-c708-4356-9e8e-01c3937a2915; Vendor=Databricks"/>
    <n v="15"/>
    <n v="425.498351430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4.434704999999999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386.83931715&quot;,_x000a_  &quot;BenefitType&quot;: &quot;Charge&quot;,_x000a_  &quot;Billing&quot;: &quot;Loyalty&quot;,_x000a_  &quot;BillingOriginProduct&quot;: &quot;PREDICTIVE_OPTIMIZATION&quot;,_x000a_  &quot;ClusterId&quot;: &quot;0506-000123-ud7l13ql-v2n&quot;,_x000a_  &quot;ClusterName&quot;: &quot;job-534849875485636-run-391339103081032-Predictive-Optimization&quot;,_x000a_  &quot;Creator&quot;: &quot;a25b9e47-2518-438d-90ee-1cd792b5b46d&quot;,_x000a_  &quot;JobId&quot;: &quot;534849875485636.0&quot;,_x000a_  &quot;Predictive Optimization&quot;: &quot;True&quot;,_x000a_  &quot;RunName&quot;: &quot;Predictive Optimization Job-8dbc3a6d-b6ff-4506-8f3a-29beb47fcd1b&quot;,_x000a_  &quot;Vendor&quot;: &quot;Databricks&quot;_x000a_}"/>
    <s v="Organization Name=PT Nawa Darsana Teknologi; Publisher=Microsoft; Publisher Customer ID=346fa229-7c19-44ef-85c6-29e00edf66cf; Unit Price=7676.24; ERP=386.83931715; BenefitType=Charge; Billing=Loyalty; BillingOriginProduct=PREDICTIVE_OPTIMIZATION; ClusterId=0506-000123-ud7l13ql-v2n; ClusterName=job-534849875485636-run-391339103081032-Predictive-Optimization; Creator=a25b9e47-2518-438d-90ee-1cd792b5b46d; JobId=534849875485636.0; Predictive Optimization=True; RunName=Predictive Optimization Job-8dbc3a6d-b6ff-4506-8f3a-29beb47fcd1b; Vendor=Databricks"/>
    <n v="15"/>
    <n v="386.838599091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7335300000000001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87.3658219&quot;,_x000a_  &quot;BenefitType&quot;: &quot;Charge&quot;,_x000a_  &quot;Billing&quot;: &quot;Loyalty&quot;,_x000a_  &quot;BillingOriginProduct&quot;: &quot;PREDICTIVE_OPTIMIZATION&quot;,_x000a_  &quot;ClusterId&quot;: &quot;0507-162625-susxv6wp-v2n&quot;,_x000a_  &quot;ClusterName&quot;: &quot;job-316731109833281-run-245033472132746-Predictive-Optimization&quot;,_x000a_  &quot;Creator&quot;: &quot;a25b9e47-2518-438d-90ee-1cd792b5b46d&quot;,_x000a_  &quot;JobId&quot;: &quot;316731109833281.0&quot;,_x000a_  &quot;Predictive Optimization&quot;: &quot;True&quot;,_x000a_  &quot;RunName&quot;: &quot;Predictive Optimization Job-900b2470-124d-4269-9285-8d5c997e9b35&quot;,_x000a_  &quot;Vendor&quot;: &quot;Databricks&quot;_x000a_}"/>
    <s v="Organization Name=PT Nawa Darsana Teknologi; Publisher=Microsoft; Publisher Customer ID=346fa229-7c19-44ef-85c6-29e00edf66cf; Unit Price=7676.24; ERP=587.3658219; BenefitType=Charge; Billing=Loyalty; BillingOriginProduct=PREDICTIVE_OPTIMIZATION; ClusterId=0507-162625-susxv6wp-v2n; ClusterName=job-316731109833281-run-245033472132746-Predictive-Optimization; Creator=a25b9e47-2518-438d-90ee-1cd792b5b46d; JobId=316731109833281.0; Predictive Optimization=True; RunName=Predictive Optimization Job-900b2470-124d-4269-9285-8d5c997e9b35; Vendor=Databricks"/>
    <n v="15"/>
    <n v="587.361923272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7870625000000004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92.035461875&quot;,_x000a_  &quot;BenefitType&quot;: &quot;Charge&quot;,_x000a_  &quot;Billing&quot;: &quot;Loyalty&quot;,_x000a_  &quot;BillingOriginProduct&quot;: &quot;PREDICTIVE_OPTIMIZATION&quot;,_x000a_  &quot;ClusterId&quot;: &quot;0522-104001-ghi5rjy5-v2n&quot;,_x000a_  &quot;ClusterName&quot;: &quot;job-60314101284241-run-296928306106277-Predictive-Optimization&quot;,_x000a_  &quot;Creator&quot;: &quot;a25b9e47-2518-438d-90ee-1cd792b5b46d&quot;,_x000a_  &quot;JobId&quot;: &quot;60314101284241.0&quot;,_x000a_  &quot;Predictive Optimization&quot;: &quot;True&quot;,_x000a_  &quot;RunName&quot;: &quot;Predictive Optimization Job-6120d555-32e1-4971-8c05-2f5ade332006&quot;,_x000a_  &quot;Vendor&quot;: &quot;Databricks&quot;_x000a_}"/>
    <s v="Organization Name=PT Nawa Darsana Teknologi; Publisher=Microsoft; Publisher Customer ID=346fa229-7c19-44ef-85c6-29e00edf66cf; Unit Price=7676.24; ERP=592.035461875; BenefitType=Charge; Billing=Loyalty; BillingOriginProduct=PREDICTIVE_OPTIMIZATION; ClusterId=0522-104001-ghi5rjy5-v2n; ClusterName=job-60314101284241-run-296928306106277-Predictive-Optimization; Creator=a25b9e47-2518-438d-90ee-1cd792b5b46d; JobId=60314101284241.0; Predictive Optimization=True; RunName=Predictive Optimization Job-6120d555-32e1-4971-8c05-2f5ade332006; Vendor=Databricks"/>
    <n v="15"/>
    <n v="592.031206450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227640512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943.170818617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318084985277759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1943.1708186176; BenefitType=Charge; Billing=Loyalty; BillingOriginProduct=PREDICTIVE_OPTIMIZATION; Creator=a25b9e47-2518-438d-90ee-1cd792b5b46d; JobId=318084985277759.0; Predictive Optimization=True; Vendor=Databricks"/>
    <n v="12"/>
    <n v="1943.1703207672999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1.8200000000000001E-4"/>
    <s v="1/Month"/>
    <s v="IDR"/>
    <s v="mc_rg-loyalty-prod_locksmith_southeastasia"/>
    <s v="aks-monitoring-70266aks-monitoring-702666OS__1_df8c0eacd0be49a289b4abd53eec4b88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62.58264012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8; ERP=62.58264012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62.582723305599998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0.29164800000000002"/>
    <s v="1/Month"/>
    <s v="IDR"/>
    <s v="mc_rg-loyalty-prod_locksmith_southeastasia"/>
    <s v="aks-monitoring-70266aks-monitoring-702666OS__1_612a38a6e75d488db97145390da6bc0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100286.27376768&quot;,_x000a_  &quot;BenefitType&quot;: &quot;Charge&quot;,_x000a_  &quot;aks-managed-consolidated-additional-properties&quot;: &quot;87926557-3b8a-11f1-95e3-2e4ba821b3e8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2f321416-f628-4de1-b867-706e0a18a60d&quot;,_x000a_  &quot;aks-managed-orchestrator&quot;: &quot;Kubernetes:1.33.8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7999999; ERP=100286.27376768; BenefitType=Charge; aks-managed-consolidated-additional-properties=87926557-3b8a-11f1-95e3-2e4ba821b3e8; aks-managed-creationSource=vmssclient-aks-monitoring-70266679-vmss; aks-managed-enable-imds-restriction=False; aks-managed-kubeletIdentityClientID=d31d2c4f-e3b8-4665-b69b-b18c5ed27c30; aks-managed-operationID=2f321416-f628-4de1-b867-706e0a18a60d; aks-managed-orchestrator=Kubernetes:1.33.8; aks-managed-poolName=monitoring; aks-managed-resourceNameSuffix=36864977.0; aks-managed-ssh-access=LocalUser; compute.aks.billing=linux"/>
    <n v="16"/>
    <n v="100286.270915558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3.85006499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335.84116995&quot;,_x000a_  &quot;BenefitType&quot;: &quot;Charge&quot;,_x000a_  &quot;Billing&quot;: &quot;Loyalty&quot;,_x000a_  &quot;BillingOriginProduct&quot;: &quot;PREDICTIVE_OPTIMIZATION&quot;,_x000a_  &quot;ClusterId&quot;: &quot;0512-014216-okoxksvt-v2n&quot;,_x000a_  &quot;ClusterName&quot;: &quot;job-630206508016888-run-447428941228440-Predictive-Optimization&quot;,_x000a_  &quot;Creator&quot;: &quot;a25b9e47-2518-438d-90ee-1cd792b5b46d&quot;,_x000a_  &quot;JobId&quot;: &quot;630206508016888.0&quot;,_x000a_  &quot;Predictive Optimization&quot;: &quot;True&quot;,_x000a_  &quot;RunName&quot;: &quot;Predictive Optimization Job-6bfa8f89-86be-470a-8fdc-486d6444e3e9&quot;,_x000a_  &quot;Vendor&quot;: &quot;Databricks&quot;_x000a_}"/>
    <s v="Organization Name=PT Nawa Darsana Teknologi; Publisher=Microsoft; Publisher Customer ID=346fa229-7c19-44ef-85c6-29e00edf66cf; Unit Price=7676.24; ERP=335.84116995; BenefitType=Charge; Billing=Loyalty; BillingOriginProduct=PREDICTIVE_OPTIMIZATION; ClusterId=0512-014216-okoxksvt-v2n; ClusterName=job-630206508016888-run-447428941228440-Predictive-Optimization; Creator=a25b9e47-2518-438d-90ee-1cd792b5b46d; JobId=630206508016888.0; Predictive Optimization=True; RunName=Predictive Optimization Job-6bfa8f89-86be-470a-8fdc-486d6444e3e9; Vendor=Databricks"/>
    <n v="15"/>
    <n v="335.84022955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2999999999999999E-5"/>
    <s v="1 GB"/>
    <s v="IDR"/>
    <s v="RG-Loyalty-Prod"/>
    <s v="curl-api-repor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0.02721576&quot;,_x000a_  &quot;BenefitType&quot;: &quot;Charge&quot;_x000a_}"/>
    <s v="Organization Name=PT Nawa Darsana Teknologi; Publisher=Microsoft; Publisher Customer ID=346fa229-7c19-44ef-85c6-29e00edf66cf; Unit Price=1842.2976; ERP=0.02721576; BenefitType=Charge"/>
    <n v="6"/>
    <n v="2.3949868799999999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7.6205500000000001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484&quot;,_x000a_  &quot;ERP&quot;: &quot;0.01329385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484; ERP=0.01329385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16994295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6462614300000001E-2"/>
    <s v="1 GB"/>
    <s v="IDR"/>
    <s v="RG-Loyalty"/>
    <s v="salacca-dev-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11&quot;,_x000a_  &quot;ERP&quot;: &quot;6.3612669406&quot;,_x000a_  &quot;BenefitType&quot;: &quot;Charge&quot;,_x000a_  &quot;Loyalty&quot;: &quot;Loyalty&quot;_x000a_}"/>
    <s v="Organization Name=PT Nawa Darsana Teknologi; Publisher=Microsoft; Publisher Customer ID=346fa229-7c19-44ef-85c6-29e00edf66cf; Unit Price=153.5247999611; ERP=6.3612669406; BenefitType=Charge; Loyalty=Loyalty"/>
    <n v="7"/>
    <n v="6.3579155684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1131424466"/>
    <s v="1 GB"/>
    <s v="IDR"/>
    <s v="RG-Loyalty"/>
    <s v="salacca-dev-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83&quot;,_x000a_  &quot;ERP&quot;: &quot;19.7388300824&quot;,_x000a_  &quot;BenefitType&quot;: &quot;Charge&quot;,_x000a_  &quot;Loyalty&quot;: &quot;Loyalty&quot;_x000a_}"/>
    <s v="Organization Name=PT Nawa Darsana Teknologi; Publisher=Microsoft; Publisher Customer ID=346fa229-7c19-44ef-85c6-29e00edf66cf; Unit Price=153.5247999783; ERP=19.7388300824; BenefitType=Charge; Loyalty=Loyalty"/>
    <n v="7"/>
    <n v="19.74017148560000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2439817000000002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495&quot;,_x000a_  &quot;ERP&quot;: &quot;3.131879751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495; ERP=3.131879751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.13605472779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3682283332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3212.0557505036&quot;,_x000a_  &quot;BenefitType&quot;: &quot;Charge&quot;,_x000a_  &quot;Billing&quot;: &quot;Loyalty&quot;,_x000a_  &quot;BillingOriginProduct&quot;: &quot;JOBS&quot;,_x000a_  &quot;ClusterId&quot;: &quot;0513-181854-1fruo56a-v2n&quot;,_x000a_  &quot;ClusterName&quot;: &quot;job-866641465762645-run-270437857160952-X_Databricks_Computeles&quot;,_x000a_  &quot;Creator&quot;: &quot;deo.haganta@divisiinovasi.onmicrosoft.com&quot;,_x000a_  &quot;JobId&quot;: &quot;866641465762645.0&quot;,_x000a_  &quot;RunName&quot;: &quot;Job Daily DWH Production&quot;,_x000a_  &quot;Vendor&quot;: &quot;Databricks&quot;_x000a_}"/>
    <s v="Organization Name=PT Nawa Darsana Teknologi; Publisher=Microsoft; Publisher Customer ID=346fa229-7c19-44ef-85c6-29e00edf66cf; Unit Price=7676.2399999997; ERP=3212.0557505036; BenefitType=Charge; Billing=Loyalty; BillingOriginProduct=JOBS; ClusterId=0513-181854-1fruo56a-v2n; ClusterName=job-866641465762645-run-270437857160952-X_Databricks_Computeles; Creator=deo.haganta@divisiinovasi.onmicrosoft.com; JobId=866641465762645.0; RunName=Job Daily DWH Production; Vendor=Databricks"/>
    <n v="14"/>
    <n v="3212.0590614665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4238174999999995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60.349600525&quot;,_x000a_  &quot;BenefitType&quot;: &quot;Charge&quot;,_x000a_  &quot;Billing&quot;: &quot;Loyalty&quot;,_x000a_  &quot;BillingOriginProduct&quot;: &quot;PREDICTIVE_OPTIMIZATION&quot;,_x000a_  &quot;ClusterId&quot;: &quot;0513-192049-bfpu8yik-v2n&quot;,_x000a_  &quot;ClusterName&quot;: &quot;job-951142286848050-run-598509601294368-Predictive-Optimization&quot;,_x000a_  &quot;Creator&quot;: &quot;a25b9e47-2518-438d-90ee-1cd792b5b46d&quot;,_x000a_  &quot;JobId&quot;: &quot;951142286848050.0&quot;,_x000a_  &quot;Predictive Optimization&quot;: &quot;True&quot;,_x000a_  &quot;RunName&quot;: &quot;Predictive Optimization Job-d2af3a36-c1d3-4f5f-8d72-d5b7f7018d37&quot;,_x000a_  &quot;Vendor&quot;: &quot;Databricks&quot;_x000a_}"/>
    <s v="Organization Name=PT Nawa Darsana Teknologi; Publisher=Microsoft; Publisher Customer ID=346fa229-7c19-44ef-85c6-29e00edf66cf; Unit Price=7676.24; ERP=560.349600525; BenefitType=Charge; Billing=Loyalty; BillingOriginProduct=PREDICTIVE_OPTIMIZATION; ClusterId=0513-192049-bfpu8yik-v2n; ClusterName=job-951142286848050-run-598509601294368-Predictive-Optimization; Creator=a25b9e47-2518-438d-90ee-1cd792b5b46d; JobId=951142286848050.0; Predictive Optimization=True; RunName=Predictive Optimization Job-d2af3a36-c1d3-4f5f-8d72-d5b7f7018d37; Vendor=Databricks"/>
    <n v="15"/>
    <n v="560.3476484619999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35543999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54.3850312&quot;,_x000a_  &quot;BenefitType&quot;: &quot;Charge&quot;,_x000a_  &quot;Billing&quot;: &quot;Loyalty&quot;,_x000a_  &quot;BillingOriginProduct&quot;: &quot;PREDICTIVE_OPTIMIZATION&quot;,_x000a_  &quot;ClusterId&quot;: &quot;0513-181856-im61t4ms-v2n&quot;,_x000a_  &quot;ClusterName&quot;: &quot;job-807197459561084-run-115261522753369-Predictive-Optimization&quot;,_x000a_  &quot;Creator&quot;: &quot;a25b9e47-2518-438d-90ee-1cd792b5b46d&quot;,_x000a_  &quot;JobId&quot;: &quot;807197459561084.0&quot;,_x000a_  &quot;Predictive Optimization&quot;: &quot;True&quot;,_x000a_  &quot;RunName&quot;: &quot;Predictive Optimization Job-d3bd7d92-3a14-4118-85cb-006e18c12b73&quot;,_x000a_  &quot;Vendor&quot;: &quot;Databricks&quot;_x000a_}"/>
    <s v="Organization Name=PT Nawa Darsana Teknologi; Publisher=Microsoft; Publisher Customer ID=346fa229-7c19-44ef-85c6-29e00edf66cf; Unit Price=7676.24; ERP=554.3850312; BenefitType=Charge; Billing=Loyalty; BillingOriginProduct=PREDICTIVE_OPTIMIZATION; ClusterId=0513-181856-im61t4ms-v2n; ClusterName=job-807197459561084-run-115261522753369-Predictive-Optimization; Creator=a25b9e47-2518-438d-90ee-1cd792b5b46d; JobId=807197459561084.0; Predictive Optimization=True; RunName=Predictive Optimization Job-d3bd7d92-3a14-4118-85cb-006e18c12b73; Vendor=Databricks"/>
    <n v="15"/>
    <n v="554.3888274559999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6.4124088699999998E-2"/>
    <s v="1 GB"/>
    <s v="IDR"/>
    <s v="mc_rg-loyalty-prod_limesee_southeastasia"/>
    <s v="aks-monitoring-1759503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25&quot;,_x000a_  &quot;ERP&quot;: &quot;11.1870869968&quot;,_x000a_  &quot;BenefitType&quot;: &quot;Charge&quot;,_x000a_  &quot;aks-managed-consolidated-additional-properties&quot;: &quot;7fbc0e22-3b8a-11f1-ad93-229365f5b931&quot;,_x000a_  &quot;aks-managed-creationSource&quot;: &quot;vmssclient-aks-monitoring-17595035-vmss&quot;,_x000a_  &quot;aks-managed-enable-imds-restriction&quot;: &quot;False&quot;,_x000a_  &quot;aks-managed-kubeletIdentityClientID&quot;: &quot;f876420b-ca69-40d9-b52b-83d95239c056&quot;,_x000a_  &quot;aks-managed-operationID&quot;: &quot;efdc0013-0c43-4a2e-82d7-dcc18b8419e2&quot;,_x000a_  &quot;aks-managed-orchestrator&quot;: &quot;Kubernetes:1.33.8&quot;,_x000a_  &quot;aks-managed-poolName&quot;: &quot;monitoring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25; ERP=11.1870869968; BenefitType=Charge; aks-managed-consolidated-additional-properties=7fbc0e22-3b8a-11f1-ad93-229365f5b931; aks-managed-creationSource=vmssclient-aks-monitoring-17595035-vmss; aks-managed-enable-imds-restriction=False; aks-managed-kubeletIdentityClientID=f876420b-ca69-40d9-b52b-83d95239c056; aks-managed-operationID=efdc0013-0c43-4a2e-82d7-dcc18b8419e2; aks-managed-orchestrator=Kubernetes:1.33.8; aks-managed-poolName=monitoring; aks-managed-resourceNameSuffix=10784077.0; aks-managed-ssh-access=LocalUser; compute.aks.billing=linux"/>
    <n v="16"/>
    <n v="11.1846378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.1920650638999999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556.8876703676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556.8876703676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556.8911505160999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9923924999999998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609.946397775&quot;,_x000a_  &quot;BenefitType&quot;: &quot;Charge&quot;,_x000a_  &quot;Billing&quot;: &quot;Loyalty&quot;,_x000a_  &quot;BillingOriginProduct&quot;: &quot;PREDICTIVE_OPTIMIZATION&quot;,_x000a_  &quot;ClusterId&quot;: &quot;0518-171434-ynvgnmsi-v2n&quot;,_x000a_  &quot;ClusterName&quot;: &quot;job-16025540782636-run-732479026849787-Predictive-Optimization&quot;,_x000a_  &quot;Creator&quot;: &quot;a25b9e47-2518-438d-90ee-1cd792b5b46d&quot;,_x000a_  &quot;JobId&quot;: &quot;16025540782636.0&quot;,_x000a_  &quot;Predictive Optimization&quot;: &quot;True&quot;,_x000a_  &quot;RunName&quot;: &quot;Predictive Optimization Job-18c6ee98-dd1f-41e7-be9f-9a24a2515fd3&quot;,_x000a_  &quot;Vendor&quot;: &quot;Databricks&quot;_x000a_}"/>
    <s v="Organization Name=PT Nawa Darsana Teknologi; Publisher=Microsoft; Publisher Customer ID=346fa229-7c19-44ef-85c6-29e00edf66cf; Unit Price=7676.24; ERP=609.946397775; BenefitType=Charge; Billing=Loyalty; BillingOriginProduct=PREDICTIVE_OPTIMIZATION; ClusterId=0518-171434-ynvgnmsi-v2n; ClusterName=job-16025540782636-run-732479026849787-Predictive-Optimization; Creator=a25b9e47-2518-438d-90ee-1cd792b5b46d; JobId=16025540782636.0; Predictive Optimization=True; RunName=Predictive Optimization Job-18c6ee98-dd1f-41e7-be9f-9a24a2515fd3; Vendor=Databricks"/>
    <n v="15"/>
    <n v="609.9428300419999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20874999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41.5892625&quot;,_x000a_  &quot;BenefitType&quot;: &quot;Charge&quot;,_x000a_  &quot;Billing&quot;: &quot;Loyalty&quot;,_x000a_  &quot;BillingOriginProduct&quot;: &quot;PREDICTIVE_OPTIMIZATION&quot;,_x000a_  &quot;ClusterId&quot;: &quot;0526-185352-tsi6ikh1-v2n&quot;,_x000a_  &quot;ClusterName&quot;: &quot;job-203778139190629-run-68014754892791-Predictive-Optimization&quot;,_x000a_  &quot;Creator&quot;: &quot;a25b9e47-2518-438d-90ee-1cd792b5b46d&quot;,_x000a_  &quot;JobId&quot;: &quot;203778139190629.0&quot;,_x000a_  &quot;Predictive Optimization&quot;: &quot;True&quot;,_x000a_  &quot;RunName&quot;: &quot;Predictive Optimization Job-70603a36-7351-4d40-89b0-c07876053734&quot;,_x000a_  &quot;Vendor&quot;: &quot;Databricks&quot;_x000a_}"/>
    <s v="Organization Name=PT Nawa Darsana Teknologi; Publisher=Microsoft; Publisher Customer ID=346fa229-7c19-44ef-85c6-29e00edf66cf; Unit Price=7676.24; ERP=541.5892625; BenefitType=Charge; Billing=Loyalty; BillingOriginProduct=PREDICTIVE_OPTIMIZATION; ClusterId=0526-185352-tsi6ikh1-v2n; ClusterName=job-203778139190629-run-68014754892791-Predictive-Optimization; Creator=a25b9e47-2518-438d-90ee-1cd792b5b46d; JobId=203778139190629.0; Predictive Optimization=True; RunName=Predictive Optimization Job-70603a36-7351-4d40-89b0-c07876053734; Vendor=Databricks"/>
    <n v="15"/>
    <n v="541.5885509999999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1.104286317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937.253789642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937.253789642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937.253336069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210034938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927.813474672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30206508016888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1927.8134746728; BenefitType=Charge; Billing=Loyalty; BillingOriginProduct=PREDICTIVE_OPTIMIZATION; Creator=a25b9e47-2518-438d-90ee-1cd792b5b46d; JobId=630206508016888.0; Predictive Optimization=True; Vendor=Databricks"/>
    <n v="12"/>
    <n v="1927.8158588634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185758610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1906.637235503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88249423711559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1906.637235503; BenefitType=Charge; Billing=Loyalty; BillingOriginProduct=PREDICTIVE_OPTIMIZATION; Creator=a25b9e47-2518-438d-90ee-1cd792b5b46d; JobId=588249423711559.0; Predictive Optimization=True; Vendor=Databricks"/>
    <n v="12"/>
    <n v="1906.6407680955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2354486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6&quot;,_x000a_  &quot;ERP&quot;: &quot;980.06818137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94840343286019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6; ERP=980.068181378; BenefitType=Charge; Billing=Loyalty; BillingOriginProduct=PREDICTIVE_OPTIMIZATION; Creator=a25b9e47-2518-438d-90ee-1cd792b5b46d; JobId=694840343286019.0; Predictive Optimization=True; Vendor=Databricks"/>
    <n v="12"/>
    <n v="980.0700004655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0.1974116358999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4.440432969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4.440432969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4.43758191780000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21621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68376&quot;,_x000a_  &quot;ERP&quot;: &quot;0.016973213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68376; ERP=0.016973213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4937522700000001E-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3.3098999999999999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495108&quot;,_x000a_  &quot;ERP&quot;: &quot;0.004617956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495108; ERP=0.004617956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4.0652387999999999E-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9130416700000001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4&quot;,_x000a_  &quot;ERP&quot;: &quot;864.714624001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37918540285485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4; ERP=864.7146240018; BenefitType=Charge; Billing=Loyalty; BillingOriginProduct=PREDICTIVE_OPTIMIZATION; Creator=a25b9e47-2518-438d-90ee-1cd792b5b46d; JobId=379185402854855.0; Predictive Optimization=True; Vendor=Databricks"/>
    <n v="12"/>
    <n v="864.71886963329996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9320451879999998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2557.623015747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29674872534102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2557.6230157478; BenefitType=Charge; Billing=Loyalty; BillingOriginProduct=PREDICTIVE_OPTIMIZATION; Creator=a25b9e47-2518-438d-90ee-1cd792b5b46d; JobId=296748725341021.0; Predictive Optimization=True; Vendor=Databricks"/>
    <n v="12"/>
    <n v="2557.618255009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4226888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5&quot;,_x000a_  &quot;ERP&quot;: &quot;821.941151002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217125118376430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5; ERP=821.9411510024; BenefitType=Charge; Billing=Loyalty; BillingOriginProduct=PREDICTIVE_OPTIMIZATION; Creator=a25b9e47-2518-438d-90ee-1cd792b5b46d; JobId=217125118376430.0; Predictive Optimization=True; Vendor=Databricks"/>
    <n v="12"/>
    <n v="821.9382135642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30216694440000003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5&quot;,_x000a_  &quot;ERP&quot;: &quot;2635.802256001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18555073474602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5; ERP=2635.8022560012; BenefitType=Charge; Billing=Loyalty; BillingOriginProduct=PREDICTIVE_OPTIMIZATION; Creator=a25b9e47-2518-438d-90ee-1cd792b5b46d; JobId=185550734746027.0; Predictive Optimization=True; Vendor=Databricks"/>
    <n v="12"/>
    <n v="2635.8059856220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5116856E-3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795&quot;,_x000a_  &quot;ERP&quot;: &quot;3.1647427812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795; ERP=3.1647427812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3.164974661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641503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9368001&quot;,_x000a_  &quot;ERP&quot;: &quot;0.343651308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9368001; ERP=0.343651308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0.342413630600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15084564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755&quot;,_x000a_  &quot;ERP&quot;: &quot;24.0931824562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755; ERP=24.0931824562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24.092001662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4034942700000001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759&quot;,_x000a_  &quot;ERP&quot;: &quot;29.3824328226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759; ERP=29.3824328226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29.3865412958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0283699999999999E-5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18712&quot;,_x000a_  &quot;ERP&quot;: &quot;0.021528364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18712; ERP=0.021528364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1.8945569200000002E-2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4"/>
    <x v="33"/>
    <s v="Usage"/>
    <d v="2026-05-01T00:00:00"/>
    <d v="2026-05-31T00:00:00"/>
    <n v="7"/>
    <s v="1 Hour"/>
    <s v="IDR"/>
    <s v="RG-Loyalty-Prod"/>
    <s v="loyalty_RST_2026_0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SQL RI"/>
    <x v="4"/>
    <x v="33"/>
    <s v="Usage"/>
    <d v="2026-05-01T00:00:00"/>
    <d v="2026-05-31T00:00:00"/>
    <n v="740"/>
    <s v="1 Hour"/>
    <s v="IDR"/>
    <s v="RG-Loyalty-Prod"/>
    <s v="loyalty_Replic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49"/>
    <s v="1 Hour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Standard Memory Duration"/>
    <d v="2026-05-01T00:00:00"/>
    <d v="2026-05-31T00:00:00"/>
    <n v="0.25090099999999999"/>
    <s v="1 GiB Hour"/>
    <s v="IDR"/>
    <s v="RG-Loyalty-Prod"/>
    <s v="asp-rgloyaltyprod-bc4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2.61096&quot;,_x000a_  &quot;ERP&quot;: &quot;63.469673267&quot;,_x000a_  &quot;BenefitType&quot;: &quot;Charge&quot;,_x000a_  &quot;Environment&quot;: &quot;Production&quot;,_x000a_  &quot;Name&quot;: &quot;Curl-api-report&quot;_x000a_}"/>
    <s v="Organization Name=PT Nawa Darsana Teknologi; Publisher=Microsoft; Publisher Customer ID=346fa229-7c19-44ef-85c6-29e00edf66cf; Unit Price=222.61096; ERP=63.469673267; BenefitType=Charge; Environment=Production; Name=Curl-api-report"/>
    <n v="8"/>
    <n v="63.473312475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53"/>
    <s v="1 Hour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11cf8b6-57da-11f1-a161-cad1f54d4175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98335300000000003"/>
    <s v="1 Hour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19870c8d-3b89-11f1-a232-aa2dec2b26a1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e84d395-fd42-4464-9926-826e4ae94f75&quot;,_x000a_  &quot;aks-managed-orchestrator&quot;: &quot;Kubernetes:1.33.8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19870c8d-3b89-11f1-a232-aa2dec2b26a1; aks-managed-creationSource=vmssclient-aks-systemeph-33281046-vmss; aks-managed-enable-imds-restriction=False; aks-managed-kubeletIdentityClientID=b2aa22d3-2063-4e90-a9df-47ffb8a7aae1; aks-managed-operationID=9e84d395-fd42-4464-9926-826e4ae94f75; aks-managed-orchestrator=Kubernetes:1.33.8; aks-managed-poolName=syste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20000399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966704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3.449770000000001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8962155099999999E-2"/>
    <s v="1 GB"/>
    <s v="IDR"/>
    <s v="mc_rg-loyalty-prod_limesee_southeastasia"/>
    <s v="aks-systemeph-2476500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43&quot;,_x000a_  &quot;ERP&quot;: &quot;3.308136689&quot;,_x000a_  &quot;BenefitType&quot;: &quot;Charge&quot;,_x000a_  &quot;aks-managed-consolidated-additional-properties&quot;: &quot;15045eb0-3b89-11f1-a6a3-86db6cef6fbe&quot;,_x000a_  &quot;aks-managed-creationSource&quot;: &quot;vmssclient-aks-systemeph-24765003-vmss&quot;,_x000a_  &quot;aks-managed-enable-imds-restriction&quot;: &quot;False&quot;,_x000a_  &quot;aks-managed-kubeletIdentityClientID&quot;: &quot;f876420b-ca69-40d9-b52b-83d95239c056&quot;,_x000a_  &quot;aks-managed-operationID&quot;: &quot;38fa9548-8e62-44fd-b77d-ad28dae20f6a&quot;,_x000a_  &quot;aks-managed-orchestrator&quot;: &quot;Kubernetes:1.33.8&quot;,_x000a_  &quot;aks-managed-poolName&quot;: &quot;system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43; ERP=3.308136689; BenefitType=Charge; aks-managed-consolidated-additional-properties=15045eb0-3b89-11f1-a6a3-86db6cef6fbe; aks-managed-creationSource=vmssclient-aks-systemeph-24765003-vmss; aks-managed-enable-imds-restriction=False; aks-managed-kubeletIdentityClientID=f876420b-ca69-40d9-b52b-83d95239c056; aks-managed-operationID=38fa9548-8e62-44fd-b77d-ad28dae20f6a; aks-managed-orchestrator=Kubernetes:1.33.8; aks-managed-poolName=systemeph; aks-managed-resourceNameSuffix=10784077.0; aks-managed-ssh-access=LocalUser; compute.aks.billing=linux"/>
    <n v="16"/>
    <n v="3.3111610679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9485137400000001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63&quot;,_x000a_  &quot;ERP&quot;: &quot;3.399375779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63; ERP=3.399375779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401451825700000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5789166699999997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9&quot;,_x000a_  &quot;ERP&quot;: &quot;486.6489002518&quot;,_x000a_  &quot;BenefitType&quot;: &quot;Charge&quot;,_x000a_  &quot;Billing&quot;: &quot;Loyalty&quot;,_x000a_  &quot;BillingOriginProduct&quot;: &quot;PREDICTIVE_OPTIMIZATION&quot;,_x000a_  &quot;ClusterId&quot;: &quot;0524-215120-ahxgh6nz-v2n&quot;,_x000a_  &quot;ClusterName&quot;: &quot;job-255608475467687-run-558392318718092-Predictive-Optimization&quot;,_x000a_  &quot;Creator&quot;: &quot;a25b9e47-2518-438d-90ee-1cd792b5b46d&quot;,_x000a_  &quot;JobId&quot;: &quot;255608475467687.0&quot;,_x000a_  &quot;Predictive Optimization&quot;: &quot;True&quot;,_x000a_  &quot;RunName&quot;: &quot;Predictive Optimization Job-f398cf70-b5e9-425f-bd3e-9a584a9393bc&quot;,_x000a_  &quot;Vendor&quot;: &quot;Databricks&quot;_x000a_}"/>
    <s v="Organization Name=PT Nawa Darsana Teknologi; Publisher=Microsoft; Publisher Customer ID=346fa229-7c19-44ef-85c6-29e00edf66cf; Unit Price=7676.2399999989; ERP=486.6489002518; BenefitType=Charge; Billing=Loyalty; BillingOriginProduct=PREDICTIVE_OPTIMIZATION; ClusterId=0524-215120-ahxgh6nz-v2n; ClusterName=job-255608475467687-run-558392318718092-Predictive-Optimization; Creator=a25b9e47-2518-438d-90ee-1cd792b5b46d; JobId=255608475467687.0; Predictive Optimization=True; RunName=Predictive Optimization Job-f398cf70-b5e9-425f-bd3e-9a584a9393bc; Vendor=Databricks"/>
    <n v="15"/>
    <n v="486.6510327332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6591250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68&quot;,_x000a_  &quot;ERP&quot;: &quot;493.6454720054&quot;,_x000a_  &quot;BenefitType&quot;: &quot;Charge&quot;,_x000a_  &quot;Billing&quot;: &quot;Loyalty&quot;,_x000a_  &quot;BillingOriginProduct&quot;: &quot;PREDICTIVE_OPTIMIZATION&quot;,_x000a_  &quot;ClusterId&quot;: &quot;0524-184931-g8hcm7g5-v2n&quot;,_x000a_  &quot;ClusterName&quot;: &quot;job-885138598142531-run-183374124254221-Predictive-Optimization&quot;,_x000a_  &quot;Creator&quot;: &quot;a25b9e47-2518-438d-90ee-1cd792b5b46d&quot;,_x000a_  &quot;JobId&quot;: &quot;885138598142531.0&quot;,_x000a_  &quot;Predictive Optimization&quot;: &quot;True&quot;,_x000a_  &quot;RunName&quot;: &quot;Predictive Optimization Job-865ddf18-5451-4059-b7fd-5b830d661268&quot;,_x000a_  &quot;Vendor&quot;: &quot;Databricks&quot;_x000a_}"/>
    <s v="Organization Name=PT Nawa Darsana Teknologi; Publisher=Microsoft; Publisher Customer ID=346fa229-7c19-44ef-85c6-29e00edf66cf; Unit Price=7676.2399999968; ERP=493.6454720054; BenefitType=Charge; Billing=Loyalty; BillingOriginProduct=PREDICTIVE_OPTIMIZATION; ClusterId=0524-184931-g8hcm7g5-v2n; ClusterName=job-885138598142531-run-183374124254221-Predictive-Optimization; Creator=a25b9e47-2518-438d-90ee-1cd792b5b46d; JobId=885138598142531.0; Predictive Optimization=True; RunName=Predictive Optimization Job-865ddf18-5451-4059-b7fd-5b830d661268; Vendor=Databricks"/>
    <n v="15"/>
    <n v="493.6480168997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260315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895.00727745&quot;,_x000a_  &quot;BenefitType&quot;: &quot;Charge&quot;,_x000a_  &quot;Billing&quot;: &quot;Loyalty&quot;,_x000a_  &quot;BillingOriginProduct&quot;: &quot;PREDICTIVE_OPTIMIZATION&quot;,_x000a_  &quot;ClusterId&quot;: &quot;0509-135330-5dvft8e4-v2n&quot;,_x000a_  &quot;ClusterName&quot;: &quot;job-609332099796807-run-176901246366591-Predictive-Optimization&quot;,_x000a_  &quot;Creator&quot;: &quot;a25b9e47-2518-438d-90ee-1cd792b5b46d&quot;,_x000a_  &quot;JobId&quot;: &quot;609332099796807.0&quot;,_x000a_  &quot;Predictive Optimization&quot;: &quot;True&quot;,_x000a_  &quot;RunName&quot;: &quot;Predictive Optimization Job-68f13c86-164c-47a3-86ff-482b95ee9fb0&quot;,_x000a_  &quot;Vendor&quot;: &quot;Databricks&quot;_x000a_}"/>
    <s v="Organization Name=PT Nawa Darsana Teknologi; Publisher=Microsoft; Publisher Customer ID=346fa229-7c19-44ef-85c6-29e00edf66cf; Unit Price=7676.24; ERP=895.00727745; BenefitType=Charge; Billing=Loyalty; BillingOriginProduct=PREDICTIVE_OPTIMIZATION; ClusterId=0509-135330-5dvft8e4-v2n; ClusterName=job-609332099796807-run-176901246366591-Predictive-Optimization; Creator=a25b9e47-2518-438d-90ee-1cd792b5b46d; JobId=609332099796807.0; Predictive Optimization=True; RunName=Predictive Optimization Job-68f13c86-164c-47a3-86ff-482b95ee9fb0; Vendor=Databricks"/>
    <n v="15"/>
    <n v="895.0064041560000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7931875000000001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05.339745625&quot;,_x000a_  &quot;BenefitType&quot;: &quot;Charge&quot;,_x000a_  &quot;Billing&quot;: &quot;Loyalty&quot;,_x000a_  &quot;BillingOriginProduct&quot;: &quot;PREDICTIVE_OPTIMIZATION&quot;,_x000a_  &quot;ClusterId&quot;: &quot;0507-193119-ph9fpwgy-v2n&quot;,_x000a_  &quot;ClusterName&quot;: &quot;job-176275866601631-run-78645982055277-Predictive-Optimization&quot;,_x000a_  &quot;Creator&quot;: &quot;a25b9e47-2518-438d-90ee-1cd792b5b46d&quot;,_x000a_  &quot;JobId&quot;: &quot;176275866601631.0&quot;,_x000a_  &quot;Predictive Optimization&quot;: &quot;True&quot;,_x000a_  &quot;RunName&quot;: &quot;Predictive Optimization Job-8d17d7dd-24fe-44a4-923f-beee726f2ad2&quot;,_x000a_  &quot;Vendor&quot;: &quot;Databricks&quot;_x000a_}"/>
    <s v="Organization Name=PT Nawa Darsana Teknologi; Publisher=Microsoft; Publisher Customer ID=346fa229-7c19-44ef-85c6-29e00edf66cf; Unit Price=7676.24; ERP=505.339745625; BenefitType=Charge; Billing=Loyalty; BillingOriginProduct=PREDICTIVE_OPTIMIZATION; ClusterId=0507-193119-ph9fpwgy-v2n; ClusterName=job-176275866601631-run-78645982055277-Predictive-Optimization; Creator=a25b9e47-2518-438d-90ee-1cd792b5b46d; JobId=176275866601631.0; Predictive Optimization=True; RunName=Predictive Optimization Job-8d17d7dd-24fe-44a4-923f-beee726f2ad2; Vendor=Databricks"/>
    <n v="15"/>
    <n v="505.3389761500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878756913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638.839654337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1030500060096279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1638.8396543376; BenefitType=Charge; Billing=Loyalty; BillingOriginProduct=PREDICTIVE_OPTIMIZATION; Creator=a25b9e47-2518-438d-90ee-1cd792b5b46d; JobId=1030500060096279.0; Predictive Optimization=True; Vendor=Databricks"/>
    <n v="12"/>
    <n v="1638.8388962009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6041925400000006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4&quot;,_x000a_  &quot;ERP&quot;: &quot;837.773715264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10776528691866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4; ERP=837.7737152642; BenefitType=Charge; Billing=Loyalty; BillingOriginProduct=PREDICTIVE_OPTIMIZATION; Creator=a25b9e47-2518-438d-90ee-1cd792b5b46d; JobId=107765286918661.0; Predictive Optimization=True; Vendor=Databricks"/>
    <n v="12"/>
    <n v="837.770869560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319160278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6&quot;,_x000a_  &quot;ERP&quot;: &quot;2023.003508754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34953438366358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6; ERP=2023.0035087548; BenefitType=Charge; Billing=Loyalty; BillingOriginProduct=PREDICTIVE_OPTIMIZATION; Creator=a25b9e47-2518-438d-90ee-1cd792b5b46d; JobId=349534383663587.0; Predictive Optimization=True; Vendor=Databricks"/>
    <n v="12"/>
    <n v="2023.0030890687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9000847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3&quot;,_x000a_  &quot;ERP&quot;: &quot;950.814390125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48439968370523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3; ERP=950.8143901256; BenefitType=Charge; Billing=Loyalty; BillingOriginProduct=PREDICTIVE_OPTIMIZATION; Creator=a25b9e47-2518-438d-90ee-1cd792b5b46d; JobId=484399683705235.0; Predictive Optimization=True; Vendor=Databricks"/>
    <n v="12"/>
    <n v="950.816663480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27696263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4&quot;,_x000a_  &quot;ERP&quot;: &quot;1986.194509127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3874539522908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4; ERP=1986.1945091274; BenefitType=Charge; Billing=Loyalty; BillingOriginProduct=PREDICTIVE_OPTIMIZATION; Creator=a25b9e47-2518-438d-90ee-1cd792b5b46d; JobId=538745395229081.0; Predictive Optimization=True; Vendor=Databricks"/>
    <n v="12"/>
    <n v="1986.1911687142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441773966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2129.9594305418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6549212627902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2129.9594305418; BenefitType=Charge; Billing=Loyalty; BillingOriginProduct=PREDICTIVE_OPTIMIZATION; Creator=a25b9e47-2518-438d-90ee-1cd792b5b46d; JobId=565492126279021.0; Predictive Optimization=True; Vendor=Databricks"/>
    <n v="12"/>
    <n v="2129.964299388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057782891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1795.004014947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8990176235449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7; ERP=1795.004014947; BenefitType=Charge; Billing=Loyalty; BillingOriginProduct=PREDICTIVE_OPTIMIZATION; Creator=a25b9e47-2518-438d-90ee-1cd792b5b46d; JobId=589901762354495.0; Predictive Optimization=True; Vendor=Databricks"/>
    <n v="12"/>
    <n v="1795.003534432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556117499999999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71.890129525&quot;,_x000a_  &quot;BenefitType&quot;: &quot;Charge&quot;,_x000a_  &quot;Billing&quot;: &quot;Loyalty&quot;,_x000a_  &quot;BillingOriginProduct&quot;: &quot;PREDICTIVE_OPTIMIZATION&quot;,_x000a_  &quot;ClusterId&quot;: &quot;0503-210632-pvm95ujj-v2n&quot;,_x000a_  &quot;ClusterName&quot;: &quot;job-799086360095856-run-1084015308511422-Predictive-Optimizatio&quot;,_x000a_  &quot;Creator&quot;: &quot;a25b9e47-2518-438d-90ee-1cd792b5b46d&quot;,_x000a_  &quot;JobId&quot;: &quot;799086360095856.0&quot;,_x000a_  &quot;Predictive Optimization&quot;: &quot;True&quot;,_x000a_  &quot;RunName&quot;: &quot;Predictive Optimization Job-623485be-6ba4-4873-acc0-f215e62f7398&quot;,_x000a_  &quot;Vendor&quot;: &quot;Databricks&quot;_x000a_}"/>
    <s v="Organization Name=PT Nawa Darsana Teknologi; Publisher=Microsoft; Publisher Customer ID=346fa229-7c19-44ef-85c6-29e00edf66cf; Unit Price=7676.24; ERP=571.890129525; BenefitType=Charge; Billing=Loyalty; BillingOriginProduct=PREDICTIVE_OPTIMIZATION; ClusterId=0503-210632-pvm95ujj-v2n; ClusterName=job-799086360095856-run-1084015308511422-Predictive-Optimizatio; Creator=a25b9e47-2518-438d-90ee-1cd792b5b46d; JobId=799086360095856.0; Predictive Optimization=True; RunName=Predictive Optimization Job-623485be-6ba4-4873-acc0-f215e62f7398; Vendor=Databricks"/>
    <n v="15"/>
    <n v="571.89331398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3742375000000002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68.794737125&quot;,_x000a_  &quot;BenefitType&quot;: &quot;Charge&quot;,_x000a_  &quot;Billing&quot;: &quot;Loyalty&quot;,_x000a_  &quot;BillingOriginProduct&quot;: &quot;PREDICTIVE_OPTIMIZATION&quot;,_x000a_  &quot;ClusterId&quot;: &quot;0501-220228-wnfq1zx4-v2n&quot;,_x000a_  &quot;ClusterName&quot;: &quot;job-596778738350987-run-794547388817783-Predictive-Optimization&quot;,_x000a_  &quot;Creator&quot;: &quot;a25b9e47-2518-438d-90ee-1cd792b5b46d&quot;,_x000a_  &quot;JobId&quot;: &quot;596778738350987.0&quot;,_x000a_  &quot;Predictive Optimization&quot;: &quot;True&quot;,_x000a_  &quot;RunName&quot;: &quot;Predictive Optimization Job-c6e0e4ea-39da-4b6b-a72f-2a9baf2a1355&quot;,_x000a_  &quot;Vendor&quot;: &quot;Databricks&quot;_x000a_}"/>
    <s v="Organization Name=PT Nawa Darsana Teknologi; Publisher=Microsoft; Publisher Customer ID=346fa229-7c19-44ef-85c6-29e00edf66cf; Unit Price=7676.24; ERP=468.794737125; BenefitType=Charge; Billing=Loyalty; BillingOriginProduct=PREDICTIVE_OPTIMIZATION; ClusterId=0501-220228-wnfq1zx4-v2n; ClusterName=job-596778738350987-run-794547388817783-Predictive-Optimization; Creator=a25b9e47-2518-438d-90ee-1cd792b5b46d; JobId=596778738350987.0; Predictive Optimization=True; RunName=Predictive Optimization Job-c6e0e4ea-39da-4b6b-a72f-2a9baf2a1355; Vendor=Databricks"/>
    <n v="15"/>
    <n v="468.799368669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5106192757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4454.131942803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419569603264634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4454.1319428034; BenefitType=Charge; Billing=Loyalty; BillingOriginProduct=PREDICTIVE_OPTIMIZATION; Creator=a25b9e47-2518-438d-90ee-1cd792b5b46d; JobId=419569603264634.0; Predictive Optimization=True; Vendor=Databricks"/>
    <n v="12"/>
    <n v="4454.136109922799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5920150749999998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2261.014749050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383266173904234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2261.0147490502; BenefitType=Charge; Billing=Loyalty; BillingOriginProduct=PREDICTIVE_OPTIMIZATION; Creator=a25b9e47-2518-438d-90ee-1cd792b5b46d; JobId=383266173904234.0; Predictive Optimization=True; Vendor=Databricks"/>
    <n v="12"/>
    <n v="2261.0129799318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5696267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9&quot;,_x000a_  &quot;ERP&quot;: &quot;921.988537041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46970968690395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9; ERP=921.988537041; BenefitType=Charge; Billing=Loyalty; BillingOriginProduct=PREDICTIVE_OPTIMIZATION; Creator=a25b9e47-2518-438d-90ee-1cd792b5b46d; JobId=469709686903955.0; Predictive Optimization=True; Vendor=Databricks"/>
    <n v="12"/>
    <n v="921.9899132356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435206943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3&quot;,_x000a_  &quot;ERP&quot;: &quot;2124.231017251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484789517833266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3; ERP=2124.2310172512; BenefitType=Charge; Billing=Loyalty; BillingOriginProduct=PREDICTIVE_OPTIMIZATION; Creator=a25b9e47-2518-438d-90ee-1cd792b5b46d; JobId=484789517833266.0; Predictive Optimization=True; Vendor=Databricks"/>
    <n v="12"/>
    <n v="2124.233295522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0762729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4&quot;,_x000a_  &quot;ERP&quot;: &quot;878.953285067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25980731808470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4; ERP=878.953285067; BenefitType=Charge; Billing=Loyalty; BillingOriginProduct=PREDICTIVE_OPTIMIZATION; Creator=a25b9e47-2518-438d-90ee-1cd792b5b46d; JobId=259807318084701.0; Predictive Optimization=True; Vendor=Databricks"/>
    <n v="12"/>
    <n v="878.9488921383000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659674496000000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5&quot;,_x000a_  &quot;ERP&quot;: &quot;2320.034061116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237695071456746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5; ERP=2320.0340611162; BenefitType=Charge; Billing=Loyalty; BillingOriginProduct=PREDICTIVE_OPTIMIZATION; Creator=a25b9e47-2518-438d-90ee-1cd792b5b46d; JobId=237695071456746.0; Predictive Optimization=True; Vendor=Databricks"/>
    <n v="12"/>
    <n v="2320.0299751893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22541605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941.230420415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921772859891158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1941.230420415; BenefitType=Charge; Billing=Loyalty; BillingOriginProduct=PREDICTIVE_OPTIMIZATION; Creator=a25b9e47-2518-438d-90ee-1cd792b5b46d; JobId=921772859891158.0; Predictive Optimization=True; Vendor=Databricks"/>
    <n v="12"/>
    <n v="1941.2327699652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540641133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5&quot;,_x000a_  &quot;ERP&quot;: &quot;2216.201259443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891356624583584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5; ERP=2216.2012594436; BenefitType=Charge; Billing=Loyalty; BillingOriginProduct=PREDICTIVE_OPTIMIZATION; Creator=a25b9e47-2518-438d-90ee-1cd792b5b46d; JobId=891356624583584.0; Predictive Optimization=True; Vendor=Databricks"/>
    <n v="12"/>
    <n v="2216.1971093337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6.1750000000000002E-7"/>
    <s v="1 GB"/>
    <s v="IDR"/>
    <s v="RG-Loyalty-Prod"/>
    <s v="lilac-to-salacc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5551883&quot;,_x000a_  &quot;ERP&quot;: &quot;0.0001064206&quot;,_x000a_  &quot;BenefitType&quot;: &quot;Charge&quot;_x000a_}"/>
    <s v="Organization Name=PT Nawa Darsana Teknologi; Publisher=Microsoft; Publisher Customer ID=346fa229-7c19-44ef-85c6-29e00edf66cf; Unit Price=153.5245551883; ERP=0.0001064206; BenefitType=Charge"/>
    <n v="6"/>
    <n v="9.4796299999999999E-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.077987E-3"/>
    <s v="1 GB"/>
    <s v="IDR"/>
    <s v="RG-Loyalty"/>
    <s v="vpn-s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184&quot;,_x000a_  &quot;ERP&quot;: &quot;0.8859043908&quot;,_x000a_  &quot;BenefitType&quot;: &quot;Charge&quot;,_x000a_  &quot;Billing&quot;: &quot;Loyalty&quot;_x000a_}"/>
    <s v="Organization Name=PT Nawa Darsana Teknologi; Publisher=Microsoft; Publisher Customer ID=346fa229-7c19-44ef-85c6-29e00edf66cf; Unit Price=153.5247999184; ERP=0.8859043908; BenefitType=Charge; Billing=Loyalty"/>
    <n v="7"/>
    <n v="0.88959693480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0.51656680369999997"/>
    <s v="1 GB"/>
    <s v="IDR"/>
    <s v="RG-Loyalty-Prod"/>
    <s v="loyalty-to-salacc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8&quot;,_x000a_  &quot;ERP&quot;: &quot;90.120243928&quot;,_x000a_  &quot;BenefitType&quot;: &quot;Charge&quot;_x000a_}"/>
    <s v="Organization Name=PT Nawa Darsana Teknologi; Publisher=Microsoft; Publisher Customer ID=346fa229-7c19-44ef-85c6-29e00edf66cf; Unit Price=153.5247999968; ERP=90.120243928; BenefitType=Charge"/>
    <n v="6"/>
    <n v="90.1158152197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.9519849700000001E-2"/>
    <s v="1 GB"/>
    <s v="IDR"/>
    <s v="RG-Loyalty"/>
    <s v="lunatrade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86&quot;,_x000a_  &quot;ERP&quot;: &quot;3.4054312864&quot;,_x000a_  &quot;BenefitType&quot;: &quot;Charge&quot;,_x000a_  &quot;Environment&quot;: &quot;Loyalty&quot;_x000a_}"/>
    <s v="Organization Name=PT Nawa Darsana Teknologi; Publisher=Microsoft; Publisher Customer ID=346fa229-7c19-44ef-85c6-29e00edf66cf; Unit Price=153.5247999786; ERP=3.4054312864; BenefitType=Charge; Environment=Loyalty"/>
    <n v="7"/>
    <n v="3.40678101780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8146419999999995E-4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7772&quot;,_x000a_  &quot;ERP&quot;: &quot;1.2302413266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87772; ERP=1.2302413266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1.232612944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8.3516169999999998E-4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89704&quot;,_x000a_  &quot;ERP&quot;: &quot;1.1656178534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89704; ERP=1.1656178534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1.1657442090000001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4.6724790000000002E-3"/>
    <s v="1 GB"/>
    <s v="IDR"/>
    <s v="RG-Loyalty"/>
    <s v="frontdoor-lakeside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73.42032&quot;,_x000a_  &quot;ERP&quot;: &quot;8.8852512892&quot;,_x000a_  &quot;BenefitType&quot;: &quot;Charge&quot;,_x000a_  &quot;env&quot;: &quot;Development-Loyalty&quot;_x000a_}"/>
    <s v="Organization Name=PT Nawa Darsana Teknologi; Publisher=Microsoft; Publisher Customer ID=346fa229-7c19-44ef-85c6-29e00edf66cf; Unit Price=1673.42032; ERP=8.8852512892; BenefitType=Charge; env=Development-Loyalty"/>
    <n v="7"/>
    <n v="8.88902130339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1.482368E-4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89&quot;,_x000a_  &quot;ERP&quot;: &quot;0.2068903694&quot;,_x000a_  &quot;BenefitType&quot;: &quot;Charge&quot;,_x000a_  &quot;aks-managed-consolidated-additional-properties&quot;: &quot;311f4bef-57da-11f1-a161-cad1f54d4175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89; ERP=0.2068903694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"/>
    <n v="16"/>
    <n v="0.20206414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2061160000000002E-3"/>
    <s v="1 GB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0748&quot;,_x000a_  &quot;ERP&quot;: &quot;3.0790305832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0748; ERP=3.0790305832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3.07954811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9.4182599999999999E-4"/>
    <s v="1 GB"/>
    <s v="IDR"/>
    <s v="mc_rg-loyalty-prod_locksmith_southeastasia"/>
    <s v="aks-newagentpool-2203105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2019&quot;,_x000a_  &quot;ERP&quot;: &quot;1.314486316&quot;,_x000a_  &quot;BenefitType&quot;: &quot;Charge&quot;,_x000a_  &quot;aks-managed-consolidated-additional-properties&quot;: &quot;c05a7699-3b82-11f1-9f86-8e3cee5b163a&quot;,_x000a_  &quot;aks-managed-creationSource&quot;: &quot;vmssclient-aks-newagentpool-22031053-vmss&quot;,_x000a_  &quot;aks-managed-enable-imds-restriction&quot;: &quot;False&quot;,_x000a_  &quot;aks-managed-kubeletIdentityClientID&quot;: &quot;d31d2c4f-e3b8-4665-b69b-b18c5ed27c30&quot;,_x000a_  &quot;aks-managed-operationID&quot;: &quot;488a37be-07cd-41b9-bcf0-482ff6cb2ad0&quot;,_x000a_  &quot;aks-managed-orchestrator&quot;: &quot;Kubernetes:1.33.8&quot;,_x000a_  &quot;aks-managed-poolName&quot;: &quot;newagent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2019; ERP=1.314486316; BenefitType=Charge; aks-managed-consolidated-additional-properties=c05a7699-3b82-11f1-9f86-8e3cee5b163a; aks-managed-creationSource=vmssclient-aks-newagentpool-22031053-vmss; aks-managed-enable-imds-restriction=False; aks-managed-kubeletIdentityClientID=d31d2c4f-e3b8-4665-b69b-b18c5ed27c30; aks-managed-operationID=488a37be-07cd-41b9-bcf0-482ff6cb2ad0; aks-managed-orchestrator=Kubernetes:1.33.8; aks-managed-poolName=newagentpool; aks-managed-resourceNameSuffix=36864977.0; aks-managed-ssh-access=LocalUser; compute.aks.billing=linux"/>
    <n v="16"/>
    <n v="1.316749223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1.68378324429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5527.552824050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5527.552824050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5527.556485830900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9257999999999999E-2"/>
    <s v="1 GB"/>
    <s v="IDR"/>
    <s v="RG-Loyalty-Prod"/>
    <s v="curl-ap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61.25220816&quot;,_x000a_  &quot;BenefitType&quot;: &quot;Charge&quot;_x000a_}"/>
    <s v="Organization Name=PT Nawa Darsana Teknologi; Publisher=Microsoft; Publisher Customer ID=346fa229-7c19-44ef-85c6-29e00edf66cf; Unit Price=1842.2976; ERP=61.25220816; BenefitType=Charge"/>
    <n v="6"/>
    <n v="61.2519431807999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4.0670305899999999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709.5341567314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709.5341567314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709.5300579275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9082015874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32.9048476468&quot;,_x000a_  &quot;BenefitType&quot;: &quot;Charge&quot;,_x000a_  &quot;aks-managed-consolidated-additional-properties&quot;: &quot;311cf8b6-57da-11f1-a161-cad1f54d4175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32.9048476468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"/>
    <n v="16"/>
    <n v="332.906267062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30.6674532304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5350.2438905058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5350.2438905058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5350.2446237001996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733348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63.599952000000002"/>
    <s v="1 Hour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303.09987799999999"/>
    <s v="1 Hour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Standard SSD Managed Disks"/>
    <x v="11"/>
    <x v="18"/>
    <s v="E4 LRS Disk Operations"/>
    <d v="2026-05-01T00:00:00"/>
    <d v="2026-05-31T00:00:00"/>
    <n v="292.18"/>
    <s v="10K"/>
    <s v="IDR"/>
    <s v="RG-Loyalty"/>
    <s v="salacca-dev-1_OsDisk_1_de6be7252565462c82de91d177ca0a6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.70496&quot;,_x000a_  &quot;ERP&quot;: &quot;10194.74456&quot;,_x000a_  &quot;BenefitType&quot;: &quot;Charge&quot;,_x000a_  &quot;Loyalty&quot;: &quot;Loyalty&quot;_x000a_}"/>
    <s v="Organization Name=PT Nawa Darsana Teknologi; Publisher=Microsoft; Publisher Customer ID=346fa229-7c19-44ef-85c6-29e00edf66cf; Unit Price=30.70496; ERP=10194.74456; BenefitType=Charge; Loyalty=Loyalty"/>
    <n v="7"/>
    <n v="10194.7452128"/>
  </r>
  <r>
    <s v="May"/>
    <s v="Microsoft CSP Azure Plan"/>
    <s v="Divisi Inovasi"/>
    <s v="divisiinovasi.onmicrosoft.com"/>
    <s v="a4cdaa2e-caa7-440f-b849-928a3ceb7e31"/>
    <s v="AzureCSP_DivisiInovasi"/>
    <n v="1141685"/>
    <s v="Dv2 Series VM"/>
    <x v="2"/>
    <x v="20"/>
    <s v="D2 v2/DS2 v2"/>
    <d v="2026-05-01T00:00:00"/>
    <d v="2026-05-31T00:00:00"/>
    <n v="54.90005"/>
    <s v="1 Hour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25.69184&quot;,_x000a_  &quot;ERP&quot;: &quot;151330.2310216554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2425.69184; ERP=151330.2310216554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151330.233300591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5.2852600000000003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76317&quot;,_x000a_  &quot;ERP&quot;: &quot;0.009220211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76317; ERP=0.009220211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8.1141779999999997E-3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68.95005600000002"/>
    <s v="1 Hour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fb66c7-4c03-11f1-ad6b-a26c3881ebea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a8de8d52-26ef-400f-baca-26615e975193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4.9940999999999999E-2"/>
    <s v="1 Hour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8.3335000000000006E-2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52.8857959025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9226.455952714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9226.455952714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9226.4512387660998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2.0799999999999999E-4"/>
    <s v="1/Month"/>
    <s v="IDR"/>
    <s v="mc_rg-loyalty-prod_locksmith_southeastasia"/>
    <s v="aks-newagentpool-220aks-newagentpool-2203OS__1_5752567ef2b8452782507ab1b8e7add3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71.52301728&quot;,_x000a_  &quot;BenefitType&quot;: &quot;Charge&quot;,_x000a_  &quot;aks-managed-consolidated-additional-properties&quot;: &quot;a432e131-4c04-11f1-8cae-6277d8c8ca4f&quot;,_x000a_  &quot;aks-managed-creationSource&quot;: &quot;vmssclient-aks-newagentpool-22031053-vmss&quot;,_x000a_  &quot;aks-managed-enable-imds-restriction&quot;: &quot;False&quot;,_x000a_  &quot;aks-managed-kubeletIdentityClientID&quot;: &quot;d31d2c4f-e3b8-4665-b69b-b18c5ed27c30&quot;,_x000a_  &quot;aks-managed-operationID&quot;: &quot;61c861c4-cc71-476c-bdc8-423df1ba9c46&quot;,_x000a_  &quot;aks-managed-orchestrator&quot;: &quot;Kubernetes:1.33.10&quot;,_x000a_  &quot;aks-managed-poolName&quot;: &quot;newagent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8; ERP=71.52301728; BenefitType=Charge; aks-managed-consolidated-additional-properties=a432e131-4c04-11f1-8cae-6277d8c8ca4f; aks-managed-creationSource=vmssclient-aks-newagentpool-22031053-vmss; aks-managed-enable-imds-restriction=False; aks-managed-kubeletIdentityClientID=d31d2c4f-e3b8-4665-b69b-b18c5ed27c30; aks-managed-operationID=61c861c4-cc71-476c-bdc8-423df1ba9c46; aks-managed-orchestrator=Kubernetes:1.33.10; aks-managed-poolName=newagentpool; aks-managed-resourceNameSuffix=36864977.0; aks-managed-ssh-access=LocalUser; compute.aks.billing=linux"/>
    <n v="16"/>
    <n v="71.520255206400009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1.2799999999999999E-4"/>
    <s v="1/Month"/>
    <s v="IDR"/>
    <s v="mc_rg-loyalty-prod_locksmith_southeastasia"/>
    <s v="aks-newagentpool-220aks-newagentpool-2203OS__1_020362f3d36a4c2b8436ef710394fea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44.01416448&quot;,_x000a_  &quot;BenefitType&quot;: &quot;Charge&quot;,_x000a_  &quot;aks-managed-consolidated-additional-properties&quot;: &quot;a432e131-4c04-11f1-8cae-6277d8c8ca4f&quot;,_x000a_  &quot;aks-managed-creationSource&quot;: &quot;vmssclient-aks-newagentpool-22031053-vmss&quot;,_x000a_  &quot;aks-managed-enable-imds-restriction&quot;: &quot;False&quot;,_x000a_  &quot;aks-managed-kubeletIdentityClientID&quot;: &quot;d31d2c4f-e3b8-4665-b69b-b18c5ed27c30&quot;,_x000a_  &quot;aks-managed-operationID&quot;: &quot;61c861c4-cc71-476c-bdc8-423df1ba9c46&quot;,_x000a_  &quot;aks-managed-orchestrator&quot;: &quot;Kubernetes:1.33.10&quot;,_x000a_  &quot;aks-managed-poolName&quot;: &quot;newagent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8; ERP=44.01416448; BenefitType=Charge; aks-managed-consolidated-additional-properties=a432e131-4c04-11f1-8cae-6277d8c8ca4f; aks-managed-creationSource=vmssclient-aks-newagentpool-22031053-vmss; aks-managed-enable-imds-restriction=False; aks-managed-kubeletIdentityClientID=d31d2c4f-e3b8-4665-b69b-b18c5ed27c30; aks-managed-operationID=61c861c4-cc71-476c-bdc8-423df1ba9c46; aks-managed-orchestrator=Kubernetes:1.33.10; aks-managed-poolName=newagentpool; aks-managed-resourceNameSuffix=36864977.0; aks-managed-ssh-access=LocalUser; compute.aks.billing=linux"/>
    <n v="16"/>
    <n v="44.012464742399999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1.118E-7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043016&quot;,_x000a_  &quot;ERP&quot;: &quot;0.0001552694&quot;,_x000a_  &quot;BenefitType&quot;: &quot;Charge&quot;,_x000a_  &quot;aks-managed-consolidated-additional-properties&quot;: &quot;3252c8ac-59a1-11f1-be0b-d69bb301ee57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043016; ERP=0.0001552694; BenefitType=Charge; aks-managed-consolidated-additional-properties=3252c8ac-59a1-11f1-be0b-d69bb301ee57; aks-managed-creationSource=vmssclient-aks-systemeph-33281046-vmss; aks-managed-enable-imds-restriction=False; aks-managed-kubeletIdentityClientID=b2aa22d3-2063-4e90-a9df-47ffb8a7aae1; aks-managed-operationID=0f13bab3-0fbc-4d58-af43-368d156264e0; aks-managed-orchestrator=Kubernetes:1.33.10; aks-managed-poolName=systemeph; aks-managed-resourceNameSuffix=11712142.0; aks-managed-ssh-access=LocalUser; compute.aks.billing=linux"/>
    <n v="16"/>
    <n v="1.3726179999999999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9660619099999999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97&quot;,_x000a_  &quot;ERP&quot;: &quot;3.4299900206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97; ERP=3.4299900206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3.4283926125000002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2.0726769999999999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515&quot;,_x000a_  &quot;ERP&quot;: &quot;0.289279104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515; ERP=0.289279104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.284565859500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3.8027800000000002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3836&quot;,_x000a_  &quot;ERP&quot;: &quot;0.079611331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3836; ERP=0.079611331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8.0058457099999994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74.9355264166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0519.2519374886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0519.2519374886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30519.2517060089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Serverless SQL DBU"/>
    <d v="2026-05-01T00:00:00"/>
    <d v="2026-05-31T00:00:00"/>
    <n v="1.8621666667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3510.1823999999&quot;,_x000a_  &quot;ERP&quot;: &quot;28588.8765055036&quot;,_x000a_  &quot;BenefitType&quot;: &quot;Charge&quot;,_x000a_  &quot;Billing&quot;: &quot;Loyalty&quot;,_x000a_  &quot;BillingOriginProduct&quot;: &quot;SQL&quot;,_x000a_  &quot;ClusterId&quot;: &quot;0528-025039-u6r12ie2-v2n&quot;,_x000a_  &quot;Creator&quot;: &quot;deo.haganta@divisiinovasi.onmicrosoft.com&quot;,_x000a_  &quot;databricks-cloud-priority&quot;: &quot;high&quot;,_x000a_  &quot;dbsql-channel&quot;: &quot;CHANNEL_NAME_CURRENT&quot;,_x000a_  &quot;SqlEndpointId&quot;: &quot;91031cbec48bd645&quot;,_x000a_  &quot;Vendor&quot;: &quot;Databricks&quot;_x000a_}"/>
    <s v="Organization Name=PT Nawa Darsana Teknologi; Publisher=Microsoft; Publisher Customer ID=346fa229-7c19-44ef-85c6-29e00edf66cf; Unit Price=13510.1823999999; ERP=28588.8765055036; BenefitType=Charge; Billing=Loyalty; BillingOriginProduct=SQL; ClusterId=0528-025039-u6r12ie2-v2n; Creator=deo.haganta@divisiinovasi.onmicrosoft.com; databricks-cloud-priority=high; dbsql-channel=CHANNEL_NAME_CURRENT; SqlEndpointId=91031cbec48bd645; Vendor=Databricks"/>
    <n v="14"/>
    <n v="28588.881325866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Serverless SQL DBU"/>
    <d v="2026-05-01T00:00:00"/>
    <d v="2026-05-31T00:00:00"/>
    <n v="3.3578366666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3510.1824&quot;,_x000a_  &quot;ERP&quot;: &quot;51551.1202671036&quot;,_x000a_  &quot;BenefitType&quot;: &quot;Charge&quot;,_x000a_  &quot;Billing&quot;: &quot;Loyalty&quot;,_x000a_  &quot;BillingOriginProduct&quot;: &quot;SQL&quot;,_x000a_  &quot;ClusterId&quot;: &quot;0528-045356-8vpqnt4z-v2n&quot;,_x000a_  &quot;Creator&quot;: &quot;deo.haganta@divisiinovasi.onmicrosoft.com&quot;,_x000a_  &quot;databricks-cloud-priority&quot;: &quot;high&quot;,_x000a_  &quot;dbsql-channel&quot;: &quot;CHANNEL_NAME_CURRENT&quot;,_x000a_  &quot;SqlEndpointId&quot;: &quot;91031cbec48bd645&quot;,_x000a_  &quot;Vendor&quot;: &quot;Databricks&quot;_x000a_}"/>
    <s v="Organization Name=PT Nawa Darsana Teknologi; Publisher=Microsoft; Publisher Customer ID=346fa229-7c19-44ef-85c6-29e00edf66cf; Unit Price=13510.1824; ERP=51551.1202671036; BenefitType=Charge; Billing=Loyalty; BillingOriginProduct=SQL; ClusterId=0528-045356-8vpqnt4z-v2n; Creator=deo.haganta@divisiinovasi.onmicrosoft.com; databricks-cloud-priority=high; dbsql-channel=CHANNEL_NAME_CURRENT; SqlEndpointId=91031cbec48bd645; Vendor=Databricks"/>
    <n v="14"/>
    <n v="51551.1158360746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Serverless SQL DBU"/>
    <d v="2026-05-01T00:00:00"/>
    <d v="2026-05-31T00:00:00"/>
    <n v="3.6232266666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3510.1824&quot;,_x000a_  &quot;ERP&quot;: &quot;55625.5149343036&quot;,_x000a_  &quot;BenefitType&quot;: &quot;Charge&quot;,_x000a_  &quot;Billing&quot;: &quot;Loyalty&quot;,_x000a_  &quot;BillingOriginProduct&quot;: &quot;SQL&quot;,_x000a_  &quot;ClusterId&quot;: &quot;0514-043744-2mvgoc56-v2n&quot;,_x000a_  &quot;Creator&quot;: &quot;deo.haganta@divisiinovasi.onmicrosoft.com&quot;,_x000a_  &quot;databricks-cloud-priority&quot;: &quot;high&quot;,_x000a_  &quot;dbsql-channel&quot;: &quot;CHANNEL_NAME_CURRENT&quot;,_x000a_  &quot;SqlEndpointId&quot;: &quot;91031cbec48bd645&quot;,_x000a_  &quot;Vendor&quot;: &quot;Databricks&quot;_x000a_}"/>
    <s v="Organization Name=PT Nawa Darsana Teknologi; Publisher=Microsoft; Publisher Customer ID=346fa229-7c19-44ef-85c6-29e00edf66cf; Unit Price=13510.1824; ERP=55625.5149343036; BenefitType=Charge; Billing=Loyalty; BillingOriginProduct=SQL; ClusterId=0514-043744-2mvgoc56-v2n; Creator=deo.haganta@divisiinovasi.onmicrosoft.com; databricks-cloud-priority=high; dbsql-channel=CHANNEL_NAME_CURRENT; SqlEndpointId=91031cbec48bd645; Vendor=Databricks"/>
    <n v="14"/>
    <n v="55625.513143210701"/>
  </r>
  <r>
    <s v="May"/>
    <s v="Microsoft CSP Azure Plan"/>
    <s v="Divisi Inovasi"/>
    <s v="divisiinovasi.onmicrosoft.com"/>
    <s v="a4cdaa2e-caa7-440f-b849-928a3ceb7e31"/>
    <s v="AzureCSP_DivisiInovasi"/>
    <n v="1141685"/>
    <s v="Azure Redis Cache Basic"/>
    <x v="10"/>
    <x v="34"/>
    <s v="C1 Cache"/>
    <d v="2026-05-01T00:00:00"/>
    <d v="2026-05-31T00:00:00"/>
    <n v="741"/>
    <s v="1 Hour"/>
    <s v="IDR"/>
    <s v="RG-Loyalty"/>
    <s v="livelydev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44.3864&quot;,_x000a_  &quot;ERP&quot;: &quot;711011.73&quot;,_x000a_  &quot;BenefitType&quot;: &quot;Charge&quot;,_x000a_  &quot;env&quot;: &quot;Loyalty-Development&quot;_x000a_}"/>
    <s v="Organization Name=PT Nawa Darsana Teknologi; Publisher=Microsoft; Publisher Customer ID=346fa229-7c19-44ef-85c6-29e00edf66cf; Unit Price=844.3864; ERP=711011.73; BenefitType=Charge; env=Loyalty-Development"/>
    <n v="7"/>
    <n v="711011.73239999998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Data Transfer Out"/>
    <d v="2026-05-01T00:00:00"/>
    <d v="2026-05-31T00:00:00"/>
    <n v="69.822475212000001"/>
    <s v="1 GB"/>
    <s v="IDR"/>
    <s v="RG-Loyalty"/>
    <s v="frontdoor-lakeside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90.4779911712&quot;,_x000a_  &quot;ERP&quot;: &quot;140084.1337916878&quot;,_x000a_  &quot;BenefitType&quot;: &quot;Charge&quot;,_x000a_  &quot;env&quot;: &quot;Development-Loyalty&quot;_x000a_}"/>
    <s v="Organization Name=PT Nawa Darsana Teknologi; Publisher=Microsoft; Publisher Customer ID=346fa229-7c19-44ef-85c6-29e00edf66cf; Unit Price=1590.4779911712; ERP=140084.1337916878; BenefitType=Charge; env=Development-Loyalty"/>
    <n v="7"/>
    <n v="126194.44011378269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Standard vCPU Duration"/>
    <d v="2026-05-01T00:00:00"/>
    <d v="2026-05-31T00:00:00"/>
    <n v="7.1686E-2"/>
    <s v="1 Hour"/>
    <s v="IDR"/>
    <s v="RG-Loyalty-Prod"/>
    <s v="asp-rgloyaltyprod-bc4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8.8772&quot;,_x000a_  &quot;ERP&quot;: &quot;253.25337609&quot;,_x000a_  &quot;BenefitType&quot;: &quot;Charge&quot;,_x000a_  &quot;Environment&quot;: &quot;Production&quot;,_x000a_  &quot;Name&quot;: &quot;Curl-api-report&quot;_x000a_}"/>
    <s v="Organization Name=PT Nawa Darsana Teknologi; Publisher=Microsoft; Publisher Customer ID=346fa229-7c19-44ef-85c6-29e00edf66cf; Unit Price=3108.8772; ERP=253.25337609; BenefitType=Charge; Environment=Production; Name=Curl-api-report"/>
    <n v="8"/>
    <n v="253.2529709592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82961389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7&quot;,_x000a_  &quot;ERP&quot;: &quot;944.667218752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870633446407295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7; ERP=944.6672187524; BenefitType=Charge; Billing=Loyalty; BillingOriginProduct=PREDICTIVE_OPTIMIZATION; Creator=a25b9e47-2518-438d-90ee-1cd792b5b46d; JobId=870633446407295.0; Predictive Optimization=True; Vendor=Databricks"/>
    <n v="12"/>
    <n v="944.6671531842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720936263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501.172701342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903542044357103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4; ERP=1501.1727013426; BenefitType=Charge; Billing=Loyalty; BillingOriginProduct=PREDICTIVE_OPTIMIZATION; Creator=a25b9e47-2518-438d-90ee-1cd792b5b46d; JobId=903542044357103.0; Predictive Optimization=True; Vendor=Databricks"/>
    <n v="12"/>
    <n v="1501.171977565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7939999999999997E-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662434&quot;,_x000a_  &quot;ERP&quot;: &quot;0.000389045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662434; ERP=0.00038904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431547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3.8352095999999998E-3"/>
    <s v="1 GB"/>
    <s v="IDR"/>
    <s v="RG-Loyalty-Prod"/>
    <s v="jumpbox-prod-new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866&quot;,_x000a_  &quot;ERP&quot;: &quot;0.669088992&quot;,_x000a_  &quot;BenefitType&quot;: &quot;Charge&quot;,_x000a_  &quot;Environment&quot;: &quot;Production&quot;,_x000a_  &quot;Name&quot;: &quot;Jumpbox-prod-new&quot;_x000a_}"/>
    <s v="Organization Name=PT Nawa Darsana Teknologi; Publisher=Microsoft; Publisher Customer ID=346fa229-7c19-44ef-85c6-29e00edf66cf; Unit Price=153.5247997866; ERP=0.669088992; BenefitType=Charge; Environment=Production; Name=Jumpbox-prod-new"/>
    <n v="8"/>
    <n v="0.6687997928999999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2.2073071823000001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385.0868106228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385.0868106228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385.0863936935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82.64625009060000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14418.464790701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14418.464790701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4418.469015903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ra Continent Data Transfer Out"/>
    <d v="2026-05-01T00:00:00"/>
    <d v="2026-05-31T00:00:00"/>
    <n v="2.6952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859023&quot;,_x000a_  &quot;ERP&quot;: &quot;0.003761357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859023; ERP=0.003761357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.3102987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0.2219851976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783.3275362474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1783.3275362474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1783.3282330674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0.1566420923999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27.327779021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27.327779021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7.328445905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20.27658777130000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3537.453502354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3537.453502354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537.449082263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4.711831639999999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8&quot;,_x000a_  &quot;ERP&quot;: &quot;8.220260362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68; ERP=8.220260362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8.223830102199999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0551483400000001E-2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19&quot;,_x000a_  &quot;ERP&quot;: &quot;1.8408112008&quot;,_x000a_  &quot;BenefitType&quot;: &quot;Charge&quot;,_x000a_  &quot;aks-managed-consolidated-additional-properties&quot;: &quot;47dbf5f1-4c0a-11f1-ad6b-a26c3881ebea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4fb6e4a-1533-4ef7-ab97-16965dda6ad7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19; ERP=1.8408112008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"/>
    <n v="16"/>
    <n v="1.8399143736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5.8002393776999996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1011.9097604902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1011.9097604902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1011.910590405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9260817813"/>
    <s v="1 GB"/>
    <s v="IDR"/>
    <s v="mc_rg-loyalty-prod_limesee_southeastasia"/>
    <s v="aks-monitoring-1759503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&quot;,_x000a_  &quot;ERP&quot;: &quot;336.0242273388&quot;,_x000a_  &quot;BenefitType&quot;: &quot;Charge&quot;,_x000a_  &quot;aks-managed-consolidated-additional-properties&quot;: &quot;7ffa6c5b-4c0e-11f1-a2d8-ea197250a710&quot;,_x000a_  &quot;aks-managed-creationSource&quot;: &quot;vmssclient-aks-monitoring-17595035-vmss&quot;,_x000a_  &quot;aks-managed-enable-imds-restriction&quot;: &quot;False&quot;,_x000a_  &quot;aks-managed-kubeletIdentityClientID&quot;: &quot;f876420b-ca69-40d9-b52b-83d95239c056&quot;,_x000a_  &quot;aks-managed-operationID&quot;: &quot;8e4bb362-7dc0-4b0d-8d9f-785423206752&quot;,_x000a_  &quot;aks-managed-orchestrator&quot;: &quot;Kubernetes:1.33.10&quot;,_x000a_  &quot;aks-managed-poolName&quot;: &quot;monitoring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; ERP=336.0242273388; BenefitType=Charge; aks-managed-consolidated-additional-properties=7ffa6c5b-4c0e-11f1-a2d8-ea197250a710; aks-managed-creationSource=vmssclient-aks-monitoring-17595035-vmss; aks-managed-enable-imds-restriction=False; aks-managed-kubeletIdentityClientID=f876420b-ca69-40d9-b52b-83d95239c056; aks-managed-operationID=8e4bb362-7dc0-4b0d-8d9f-785423206752; aks-managed-orchestrator=Kubernetes:1.33.10; aks-managed-poolName=monitoring; aks-managed-resourceNameSuffix=10784077.0; aks-managed-ssh-access=LocalUser; compute.aks.billing=linux"/>
    <n v="16"/>
    <n v="336.021320252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489.4602238274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85391.230647637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85391.230647637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85391.232971073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6.845821159999999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4&quot;,_x000a_  &quot;ERP&quot;: &quot;11.943219316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4; ERP=11.943219316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1.9400332453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68.8398080496000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9455.792910658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9455.792910658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29455.79776285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91645510399999996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7&quot;,_x000a_  &quot;ERP&quot;: &quot;159.884756746&quot;,_x000a_  &quot;BenefitType&quot;: &quot;Charge&quot;,_x000a_  &quot;aks-managed-consolidated-additional-properties&quot;: &quot;bfea8e67-3b82-11f1-95e3-2e4ba821b3e8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09a74c2-0f20-4db9-a8a5-bbf8d086af00&quot;,_x000a_  &quot;aks-managed-orchestrator&quot;: &quot;Kubernetes:1.33.8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7; ERP=159.884756746; BenefitType=Charge; aks-managed-consolidated-additional-properties=bfea8e67-3b82-11f1-95e3-2e4ba821b3e8; aks-managed-creationSource=vmssclient-aks-udbziumeph-39962470-vmss; aks-managed-enable-imds-restriction=False; aks-managed-kubeletIdentityClientID=b2aa22d3-2063-4e90-a9df-47ffb8a7aae1; aks-managed-operationID=009a74c2-0f20-4db9-a8a5-bbf8d086af00; aks-managed-orchestrator=Kubernetes:1.33.8; aks-managed-poolName=udbziumeph; aks-managed-resourceNameSuffix=11712142.0; aks-managed-ssh-access=LocalUser; compute.aks.billing=linux"/>
    <n v="16"/>
    <n v="159.8885865517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2.0843000000000001E-6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1909&quot;,_x000a_  &quot;ERP&quot;: &quot;0.0003628768&quot;,_x000a_  &quot;BenefitType&quot;: &quot;Charge&quot;,_x000a_  &quot;aks-managed-consolidated-additional-properties&quot;: &quot;311f4bef-57da-11f1-a161-cad1f54d4175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1909; ERP=0.0003628768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"/>
    <n v="16"/>
    <n v="3.1999159999999998E-4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8.0205277642000006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8&quot;,_x000a_  &quot;ERP&quot;: &quot;1399.2612730096&quot;,_x000a_  &quot;BenefitType&quot;: &quot;Charge&quot;,_x000a_  &quot;aks-managed-consolidated-additional-properties&quot;: &quot;ebfb66c7-4c03-11f1-ad6b-a26c3881ebea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a8de8d52-26ef-400f-baca-26615e975193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8; ERP=1399.2612730096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"/>
    <n v="16"/>
    <n v="1399.2599208953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4 LRS Disk"/>
    <d v="2026-05-01T00:00:00"/>
    <d v="2026-05-31T00:00:00"/>
    <n v="0.99993600000000005"/>
    <s v="1/Month"/>
    <s v="IDR"/>
    <s v="RG-Loyalty-Prod"/>
    <s v="Jumpbox-prod-new_OsDisk_1_f6de8f9d9d6f48229a814a068617838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1053.41816&quot;,_x000a_  &quot;ERP&quot;: &quot;92100.262205952&quot;,_x000a_  &quot;BenefitType&quot;: &quot;Charge&quot;,_x000a_  &quot;Environment&quot;: &quot;Production&quot;,_x000a_  &quot;Name&quot;: &quot;Jumpbox-prod-new&quot;_x000a_}"/>
    <s v="Organization Name=PT Nawa Darsana Teknologi; Publisher=Microsoft; Publisher Customer ID=346fa229-7c19-44ef-85c6-29e00edf66cf; Unit Price=81053.41816; ERP=92100.262205952; BenefitType=Charge; Environment=Production; Name=Jumpbox-prod-new"/>
    <n v="8"/>
    <n v="92100.26074123779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20152825490000001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3&quot;,_x000a_  &quot;ERP&quot;: &quot;35.158618495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3; ERP=35.158618495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35.159585026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4.1332279999999999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92&quot;,_x000a_  &quot;ERP&quot;: &quot;0.0721078072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692; ERP=0.0721078072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7.3455303499999999E-2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"/>
    <s v="privatelink.datafactory.azure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77.1581935474&quot;,_x000a_  &quot;ERP&quot;: &quot;8722.9999982554&quot;,_x000a_  &quot;BenefitType&quot;: &quot;Charge&quot;,_x000a_  &quot;env&quot;: &quot;Development-Loyalty&quot;_x000a_}"/>
    <s v="Organization Name=PT Nawa Darsana Teknologi; Publisher=Microsoft; Publisher Customer ID=346fa229-7c19-44ef-85c6-29e00edf66cf; Unit Price=2377.1581935474; ERP=8722.9999982554; BenefitType=Charge; env=Development-Loyalty"/>
    <n v="7"/>
    <n v="2701.3181935473999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"/>
    <s v="lucario.private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_x000a_}"/>
    <s v="Organization Name=PT Nawa Darsana Teknologi; Publisher=Microsoft; Publisher Customer ID=346fa229-7c19-44ef-85c6-29e00edf66cf; Unit Price=2368.904172042; ERP=8722.9999982554; BenefitType=Charge"/>
    <n v="6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B for PostgreSQL Flexible BS Compute"/>
    <x v="18"/>
    <x v="35"/>
    <s v="B1MS"/>
    <d v="2026-05-01T00:00:00"/>
    <d v="2026-05-31T00:00:00"/>
    <n v="559"/>
    <s v="1 Hour"/>
    <s v="IDR"/>
    <s v="RG-Loyalty"/>
    <s v="luca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9.16448&quot;,_x000a_  &quot;ERP&quot;: &quot;253560.164&quot;,_x000a_  &quot;BenefitType&quot;: &quot;Charge&quot;,_x000a_  &quot;Billing&quot;: &quot;Loyalty&quot;,_x000a_  &quot;env&quot;: &quot;Loyalty-Development&quot;_x000a_}"/>
    <s v="Organization Name=PT Nawa Darsana Teknologi; Publisher=Microsoft; Publisher Customer ID=346fa229-7c19-44ef-85c6-29e00edf66cf; Unit Price=399.16448; ERP=253560.164; BenefitType=Charge; Billing=Loyalty; env=Loyalty-Development"/>
    <n v="8"/>
    <n v="253560.16432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37.41266701739999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6527.013886564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6527.013886564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6527.0122213175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.121167179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95.598824478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195.598824478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95.5969669527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4368249262000000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6&quot;,_x000a_  &quot;ERP&quot;: &quot;76.208475543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6; ERP=76.208475543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76.21345942590001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2.417687699999999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86&quot;,_x000a_  &quot;ERP&quot;: &quot;4.217896740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86; ERP=4.217896740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4.22175020480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0.9691971950000000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99&quot;,_x000a_  &quot;ERP&quot;: &quot;169.086141767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99; ERP=169.086141767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69.0858055264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122.488031065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21369.261898727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21369.261898727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1369.260471662001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Queries"/>
    <d v="2026-05-01T00:00:00"/>
    <d v="2026-05-31T00:00:00"/>
    <n v="0.24990599999999999"/>
    <s v="1M"/>
    <s v="IDR"/>
    <s v="RG-Loyalty-Prod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40.992&quot;,_x000a_  &quot;ERP&quot;: &quot;1743.9440304&quot;,_x000a_  &quot;BenefitType&quot;: &quot;Charge&quot;_x000a_}"/>
    <s v="Organization Name=PT Nawa Darsana Teknologi; Publisher=Microsoft; Publisher Customer ID=346fa229-7c19-44ef-85c6-29e00edf66cf; Unit Price=6140.992; ERP=1743.9440304; BenefitType=Charge"/>
    <n v="6"/>
    <n v="1743.94074675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25.583243600100001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4463.252678456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4463.252678456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4463.2523570554986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Ingress"/>
    <d v="2026-05-01T00:00:00"/>
    <d v="2026-05-31T00:00:00"/>
    <n v="36.852324587299996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8&quot;,_x000a_  &quot;ERP&quot;: &quot;6429.2565462268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8; ERP=6429.2565462268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6429.2557617992006"/>
  </r>
  <r>
    <s v="May"/>
    <s v="Microsoft CSP Azure Plan"/>
    <s v="Divisi Inovasi"/>
    <s v="divisiinovasi.onmicrosoft.com"/>
    <s v="a4cdaa2e-caa7-440f-b849-928a3ceb7e31"/>
    <s v="AzureCSP_DivisiInovasi"/>
    <n v="1141685"/>
    <s v="Azure Front Door"/>
    <x v="3"/>
    <x v="6"/>
    <s v="Premium Requests"/>
    <d v="2026-05-01T00:00:00"/>
    <d v="2026-05-31T00:00:00"/>
    <n v="0.99729999999999996"/>
    <s v="10K"/>
    <s v="IDR"/>
    <s v="RG-Loyalty"/>
    <s v="frontdoor-lakeside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7.629232&quot;,_x000a_  &quot;ERP&quot;: &quot;450.6313994754&quot;,_x000a_  &quot;BenefitType&quot;: &quot;Charge&quot;,_x000a_  &quot;env&quot;: &quot;Development-Loyalty&quot;_x000a_}"/>
    <s v="Organization Name=PT Nawa Darsana Teknologi; Publisher=Microsoft; Publisher Customer ID=346fa229-7c19-44ef-85c6-29e00edf66cf; Unit Price=397.629232; ERP=450.6313994754; BenefitType=Charge; env=Development-Loyalty"/>
    <n v="7"/>
    <n v="450.6356330735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0.12992080950000001"/>
    <s v="1 GB"/>
    <s v="IDR"/>
    <s v="RG-Loyalty"/>
    <s v="lunatrade-to-lakesid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43&quot;,_x000a_  &quot;ERP&quot;: &quot;22.665982768&quot;,_x000a_  &quot;BenefitType&quot;: &quot;Charge&quot;,_x000a_  &quot;env&quot;: &quot;Loyalty-Development&quot;_x000a_}"/>
    <s v="Organization Name=PT Nawa Darsana Teknologi; Publisher=Microsoft; Publisher Customer ID=346fa229-7c19-44ef-85c6-29e00edf66cf; Unit Price=153.5247999843; ERP=22.665982768; BenefitType=Charge; env=Loyalty-Development"/>
    <n v="7"/>
    <n v="22.6660662968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0.46447099650000001"/>
    <s v="1 GB"/>
    <s v="IDR"/>
    <s v="RG-Loyalty-Prod"/>
    <s v="to-giant-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6&quot;,_x000a_  &quot;ERP&quot;: &quot;81.0316089154&quot;,_x000a_  &quot;BenefitType&quot;: &quot;Charge&quot;_x000a_}"/>
    <s v="Organization Name=PT Nawa Darsana Teknologi; Publisher=Microsoft; Publisher Customer ID=346fa229-7c19-44ef-85c6-29e00edf66cf; Unit Price=153.524799996; ERP=81.0316089154; BenefitType=Charge"/>
    <n v="6"/>
    <n v="81.0278168449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5"/>
    <s v="Standard Data Processed - Egress"/>
    <d v="2026-05-01T00:00:00"/>
    <d v="2026-05-31T00:00:00"/>
    <n v="1.0664480000000001E-4"/>
    <s v="1 GB"/>
    <s v="IDR"/>
    <s v="RG-Loyalty-Prod"/>
    <s v="vpn-to-sa-lilypond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62873&quot;,_x000a_  &quot;ERP&quot;: &quot;0.0186044144&quot;,_x000a_  &quot;BenefitType&quot;: &quot;Charge&quot;,_x000a_  &quot;Billing&quot;: &quot;Loyalty&quot;_x000a_}"/>
    <s v="Organization Name=PT Nawa Darsana Teknologi; Publisher=Microsoft; Publisher Customer ID=346fa229-7c19-44ef-85c6-29e00edf66cf; Unit Price=153.5247962873; ERP=0.0186044144; BenefitType=Charge; Billing=Loyalty"/>
    <n v="7"/>
    <n v="1.63726238E-2"/>
  </r>
  <r>
    <s v="May"/>
    <s v="Microsoft CSP Azure Plan"/>
    <s v="Divisi Inovasi"/>
    <s v="divisiinovasi.onmicrosoft.com"/>
    <s v="a4cdaa2e-caa7-440f-b849-928a3ceb7e31"/>
    <s v="AzureCSP_DivisiInovasi"/>
    <n v="1141685"/>
    <s v="SQL Database Hyperscale - Storage"/>
    <x v="4"/>
    <x v="36"/>
    <s v="Hyperscale Data Stored"/>
    <d v="2026-05-01T00:00:00"/>
    <d v="2026-05-31T00:00:00"/>
    <n v="988"/>
    <s v="1 GB/Month"/>
    <s v="IDR"/>
    <s v="RG-Loyalty-Prod"/>
    <s v="loyalty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632.21167552&quot;,_x000a_  &quot;ERP&quot;: &quot;5200710.381152&quot;,_x000a_  &quot;BenefitType&quot;: &quot;Charge&quot;_x000a_}"/>
    <s v="Organization Name=PT Nawa Darsana Teknologi; Publisher=Microsoft; Publisher Customer ID=346fa229-7c19-44ef-85c6-29e00edf66cf; Unit Price=4632.21167552; ERP=5200710.381152; BenefitType=Charge"/>
    <n v="6"/>
    <n v="5200710.385413760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517158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351&quot;,_x000a_  &quot;ERP&quot;: &quot;31.762006161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351; ERP=31.762006161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1.7605654518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3.0472900000000001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79702&quot;,_x000a_  &quot;ERP&quot;: &quot;0.063794788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79702; ERP=0.063794788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6.6140103800000002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5.7595344000000003E-3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517&quot;,_x000a_  &quot;ERP&quot;: &quot;12.0576999686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517; ERP=12.0576999686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12.0607764499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2252222700000001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51.5108656866&quot;,_x000a_  &quot;ERP&quot;: &quot;25.6502728482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751.5108656866; ERP=25.6502728482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24.3899012695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6.3562113999999998E-3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563&quot;,_x000a_  &quot;ERP&quot;: &quot;13.3068545038&quot;,_x000a_  &quot;BenefitType&quot;: &quot;Charge&quot;,_x000a_  &quot;aks-managed-consolidated-additional-properties&quot;: &quot;325204be-59a1-11f1-be0b-d69bb301ee57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563; ERP=13.3068545038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"/>
    <n v="16"/>
    <n v="13.3100329687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5-01T00:00:00"/>
    <d v="2026-05-31T00:00:00"/>
    <n v="744"/>
    <s v="1 Hour"/>
    <s v="IDR"/>
    <s v="mc_rg-loyalty-prod_locksmith_southeastasia"/>
    <s v="kubernetes-ab3ed862f1dbe48918345f77a93f149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64899.12&quot;,_x000a_  &quot;BenefitType&quot;: &quot;Charge&quot;,_x000a_  &quot;aks-managed-cluster-name&quot;: &quot;locksmith&quot;,_x000a_  &quot;aks-managed-cluster-rg&quot;: &quot;rg-loyalty-prod&quot;,_x000a_  &quot;Environment&quot;: &quot;Production&quot;,_x000a_  &quot;k8s-azure-cluster-name&quot;: &quot;kubernetes&quot;,_x000a_  &quot;k8s-azure-service&quot;: &quot;app-routing-system/nginx&quot;,_x000a_  &quot;MD&quot;: &quot;Shared&quot;,_x000a_  &quot;Product&quot;: &quot;Loyalty&quot;_x000a_}"/>
    <s v="Organization Name=PT Nawa Darsana Teknologi; Publisher=Microsoft; Publisher Customer ID=346fa229-7c19-44ef-85c6-29e00edf66cf; Unit Price=76.7624; ERP=64899.12; BenefitType=Charge; aks-managed-cluster-name=locksmith; aks-managed-cluster-rg=rg-loyalty-prod; Environment=Production; k8s-azure-cluster-name=kubernetes; k8s-azure-service=app-routing-system/nginx; MD=Shared; Product=Loyalty"/>
    <n v="13"/>
    <n v="64899.11559999999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2 v3/D2s v3"/>
    <d v="2026-05-01T00:00:00"/>
    <d v="2026-05-31T00:00:00"/>
    <n v="360"/>
    <s v="1 Hour"/>
    <s v="IDR"/>
    <s v="RG-Loyalty-Prod"/>
    <s v="Jumpbox-prod-new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785070.0&quot;,_x000a_  &quot;BenefitType&quot;: &quot;Charge&quot;,_x000a_  &quot;Environment&quot;: &quot;Production&quot;,_x000a_  &quot;Name&quot;: &quot;Jumpbox-prod-new&quot;_x000a_}"/>
    <s v="Organization Name=PT Nawa Darsana Teknologi; Publisher=Microsoft; Publisher Customer ID=346fa229-7c19-44ef-85c6-29e00edf66cf; Unit Price=1919.06; ERP=785070.0; BenefitType=Charge; Environment=Production; Name=Jumpbox-prod-new"/>
    <n v="8"/>
    <n v="78507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08462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03329&quot;,_x000a_  &quot;ERP&quot;: &quot;0.022705969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03329; ERP=0.022705969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.99818963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50804576E-2"/>
    <s v="1 GB"/>
    <s v="IDR"/>
    <s v="mc_rg-loyalty-prod_limesee_southeastasia"/>
    <s v="aks-monitoring-1759503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43.8724267546&quot;,_x000a_  &quot;ERP&quot;: &quot;31.5712393854&quot;,_x000a_  &quot;BenefitType&quot;: &quot;Charge&quot;,_x000a_  &quot;aks-managed-consolidated-additional-properties&quot;: &quot;7fbc0e22-3b8a-11f1-ad93-229365f5b931&quot;,_x000a_  &quot;aks-managed-creationSource&quot;: &quot;vmssclient-aks-monitoring-17595035-vmss&quot;,_x000a_  &quot;aks-managed-enable-imds-restriction&quot;: &quot;False&quot;,_x000a_  &quot;aks-managed-kubeletIdentityClientID&quot;: &quot;f876420b-ca69-40d9-b52b-83d95239c056&quot;,_x000a_  &quot;aks-managed-operationID&quot;: &quot;efdc0013-0c43-4a2e-82d7-dcc18b8419e2&quot;,_x000a_  &quot;aks-managed-orchestrator&quot;: &quot;Kubernetes:1.33.8&quot;,_x000a_  &quot;aks-managed-poolName&quot;: &quot;monitoring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743.8724267546; ERP=31.5712393854; BenefitType=Charge; aks-managed-consolidated-additional-properties=7fbc0e22-3b8a-11f1-ad93-229365f5b931; aks-managed-creationSource=vmssclient-aks-monitoring-17595035-vmss; aks-managed-enable-imds-restriction=False; aks-managed-kubeletIdentityClientID=f876420b-ca69-40d9-b52b-83d95239c056; aks-managed-operationID=efdc0013-0c43-4a2e-82d7-dcc18b8419e2; aks-managed-orchestrator=Kubernetes:1.33.8; aks-managed-poolName=monitoring; aks-managed-resourceNameSuffix=10784077.0; aks-managed-ssh-access=LocalUser; compute.aks.billing=linux"/>
    <n v="16"/>
    <n v="29.8883941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3327841060000000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47&quot;,_x000a_  &quot;ERP&quot;: &quot;696.690181244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47; ERP=696.690181244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696.6873598437000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42513328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54&quot;,_x000a_  &quot;ERP&quot;: &quot;890.025036557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54; ERP=890.025036557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890.0220325569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6.7524565000000002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805&quot;,_x000a_  &quot;ERP&quot;: &quot;14.136401336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805; ERP=14.136401336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4.140034474"/>
  </r>
  <r>
    <s v="May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5-01T00:00:00"/>
    <d v="2026-05-31T00:00:00"/>
    <n v="153"/>
    <s v="1 Hour"/>
    <s v="IDR"/>
    <s v="RG-Loyalty"/>
    <s v="salacca-dev-gw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13346.19&quot;,_x000a_  &quot;BenefitType&quot;: &quot;Charge&quot;_x000a_}"/>
    <s v="Organization Name=PT Nawa Darsana Teknologi; Publisher=Microsoft; Publisher Customer ID=346fa229-7c19-44ef-85c6-29e00edf66cf; Unit Price=76.7624; ERP=13346.19; BenefitType=Charge"/>
    <n v="6"/>
    <n v="13346.1872"/>
  </r>
  <r>
    <s v="May"/>
    <s v="Microsoft CSP Azure Plan"/>
    <s v="Divisi Inovasi"/>
    <s v="divisiinovasi.onmicrosoft.com"/>
    <s v="a4cdaa2e-caa7-440f-b849-928a3ceb7e31"/>
    <s v="AzureCSP_DivisiInovasi"/>
    <n v="1141685"/>
    <s v="Queues v2"/>
    <x v="11"/>
    <x v="37"/>
    <s v="ZRS Class 2 Operations"/>
    <d v="2026-05-01T00:00:00"/>
    <d v="2026-05-31T00:00:00"/>
    <n v="0.46500000000000002"/>
    <s v="10K"/>
    <s v="IDR"/>
    <s v="RG-Loyalty"/>
    <s v="adx-dvlp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1.40992&quot;,_x000a_  &quot;ERP&quot;: &quot;32.44956&quot;,_x000a_  &quot;BenefitType&quot;: &quot;Charge&quot;_x000a_}"/>
    <s v="Organization Name=PT Nawa Darsana Teknologi; Publisher=Microsoft; Publisher Customer ID=346fa229-7c19-44ef-85c6-29e00edf66cf; Unit Price=61.40992; ERP=32.44956; BenefitType=Charge"/>
    <n v="6"/>
    <n v="32.445612799999999"/>
  </r>
  <r>
    <s v="May"/>
    <s v="Microsoft CSP Azure Plan"/>
    <s v="Divisi Inovasi"/>
    <s v="divisiinovasi.onmicrosoft.com"/>
    <s v="a4cdaa2e-caa7-440f-b849-928a3ceb7e31"/>
    <s v="AzureCSP_DivisiInovasi"/>
    <n v="1141685"/>
    <s v="Tables"/>
    <x v="11"/>
    <x v="28"/>
    <s v="Delete Operations"/>
    <d v="2026-05-01T00:00:00"/>
    <d v="2026-05-31T00:00:00"/>
    <n v="2.9999999999999997E-4"/>
    <s v="10K"/>
    <s v="IDR"/>
    <s v="RG-Loyalty-Prod"/>
    <s v="logicapp4str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5.5268928&quot;,_x000a_  &quot;ERP&quot;: &quot;0.001884168&quot;,_x000a_  &quot;BenefitType&quot;: &quot;Charge&quot;,_x000a_  &quot;Environment&quot;: &quot;Production&quot;,_x000a_  &quot;Name&quot;: &quot;Curl-api-report&quot;_x000a_}"/>
    <s v="Organization Name=PT Nawa Darsana Teknologi; Publisher=Microsoft; Publisher Customer ID=346fa229-7c19-44ef-85c6-29e00edf66cf; Unit Price=5.5268928; ERP=0.001884168; BenefitType=Charge; Environment=Production; Name=Curl-api-report"/>
    <n v="8"/>
    <n v="1.6580678000000001E-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097489713699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85&quot;,_x000a_  &quot;ERP&quot;: &quot;2297.616664657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85; ERP=2297.616664657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2297.6126655562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5.4035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34618&quot;,_x000a_  &quot;ERP&quot;: &quot;0.011311986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34618; ERP=0.011311986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9.9549168999999993E-3"/>
  </r>
  <r>
    <s v="May"/>
    <s v="Microsoft CSP Azure Plan"/>
    <s v="Divisi Inovasi"/>
    <s v="divisiinovasi.onmicrosoft.com"/>
    <s v="a4cdaa2e-caa7-440f-b849-928a3ceb7e31"/>
    <s v="AzureCSP_DivisiInovasi"/>
    <n v="1141685"/>
    <s v="Tables"/>
    <x v="11"/>
    <x v="28"/>
    <s v="LRS Data Stored"/>
    <d v="2026-05-01T00:00:00"/>
    <d v="2026-05-31T00:00:00"/>
    <n v="3.5712000000000001E-2"/>
    <s v="1 GB/Month"/>
    <s v="IDR"/>
    <s v="RG-Loyalty-Prod"/>
    <s v="rgloyaltyprod85d6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90.8616&quot;,_x000a_  &quot;ERP&quot;: &quot;28.03641984&quot;,_x000a_  &quot;BenefitType&quot;: &quot;Charge&quot;,_x000a_  &quot;Environment&quot;: &quot;Production&quot;,_x000a_  &quot;Name&quot;: &quot;Grafana-Production-alert&quot;_x000a_}"/>
    <s v="Organization Name=PT Nawa Darsana Teknologi; Publisher=Microsoft; Publisher Customer ID=346fa229-7c19-44ef-85c6-29e00edf66cf; Unit Price=690.8616; ERP=28.03641984; BenefitType=Charge; Environment=Production; Name=Grafana-Production-alert"/>
    <n v="8"/>
    <n v="28.032049459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5888606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73.5751584232&quot;,_x000a_  &quot;ERP&quot;: &quot;54.198315828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773.5751584232; ERP=54.198315828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52.1753900945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4297760000000001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5314&quot;,_x000a_  &quot;ERP&quot;: &quot;0.299326255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5314; ERP=0.29932625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.3034072394999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5.4391569999999998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7589&quot;,_x000a_  &quot;ERP&quot;: &quot;1.138696930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7589; ERP=1.138696930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142054527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6.1500000000000001E-8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2895&quot;,_x000a_  &quot;ERP&quot;: &quot;0.000127355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2895; ERP=0.00012735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13241E-4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Consumption Standard Connector Actions"/>
    <d v="2026-05-01T00:00:00"/>
    <d v="2026-05-31T00:00:00"/>
    <n v="21"/>
    <s v="1"/>
    <s v="IDR"/>
    <s v="RG-Loyalty"/>
    <s v="MESSAG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.91906&quot;,_x000a_  &quot;ERP&quot;: &quot;45.79575&quot;,_x000a_  &quot;BenefitType&quot;: &quot;Charge&quot;,_x000a_  &quot;Billing&quot;: &quot;Loyalty&quot;,_x000a_  &quot;Environment&quot;: &quot;Staging&quot;,_x000a_  &quot;Name&quot;: &quot;message&quot;_x000a_}"/>
    <s v="Organization Name=PT Nawa Darsana Teknologi; Publisher=Microsoft; Publisher Customer ID=346fa229-7c19-44ef-85c6-29e00edf66cf; Unit Price=1.91906; ERP=45.79575; BenefitType=Charge; Billing=Loyalty; Environment=Staging; Name=message"/>
    <n v="9"/>
    <n v="45.800260000000002"/>
  </r>
  <r>
    <s v="May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LRS List and Create Container Operations"/>
    <d v="2026-05-01T00:00:00"/>
    <d v="2026-05-31T00:00:00"/>
    <n v="7.4000000000000003E-3"/>
    <s v="10K"/>
    <s v="IDR"/>
    <s v="RG-Loyalty"/>
    <s v="lus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6.45502&quot;,_x000a_  &quot;BenefitType&quot;: &quot;Charge&quot;,_x000a_  &quot;env&quot;: &quot;Loyalty-Development&quot;_x000a_}"/>
    <s v="Organization Name=PT Nawa Darsana Teknologi; Publisher=Microsoft; Publisher Customer ID=346fa229-7c19-44ef-85c6-29e00edf66cf; Unit Price=767.624; ERP=6.45502; BenefitType=Charge; env=Loyalty-Development"/>
    <n v="7"/>
    <n v="6.4504175999999998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Standard vCPU Duration"/>
    <d v="2026-05-01T00:00:00"/>
    <d v="2026-05-31T00:00:00"/>
    <n v="119.315929"/>
    <s v="1 Hour"/>
    <s v="IDR"/>
    <s v="RG-Loyalty-Prod"/>
    <s v="asp-rgloyaltyprod-b62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8.8772&quot;,_x000a_  &quot;ERP&quot;: &quot;421521.103710135&quot;,_x000a_  &quot;BenefitType&quot;: &quot;Charge&quot;_x000a_}"/>
    <s v="Organization Name=PT Nawa Darsana Teknologi; Publisher=Microsoft; Publisher Customer ID=346fa229-7c19-44ef-85c6-29e00edf66cf; Unit Price=3108.8772; ERP=421521.103710135; BenefitType=Charge"/>
    <n v="6"/>
    <n v="421521.10126491881"/>
  </r>
  <r>
    <s v="May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Standard Memory Duration"/>
    <d v="2026-05-01T00:00:00"/>
    <d v="2026-05-31T00:00:00"/>
    <n v="417.6057515"/>
    <s v="1 GiB Hour"/>
    <s v="IDR"/>
    <s v="RG-Loyalty-Prod"/>
    <s v="asp-rgloyaltyprod-b62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2.61096&quot;,_x000a_  &quot;ERP&quot;: &quot;105640.4741388282&quot;,_x000a_  &quot;BenefitType&quot;: &quot;Charge&quot;_x000a_}"/>
    <s v="Organization Name=PT Nawa Darsana Teknologi; Publisher=Microsoft; Publisher Customer ID=346fa229-7c19-44ef-85c6-29e00edf66cf; Unit Price=222.61096; ERP=105640.4741388282; BenefitType=Charge"/>
    <n v="6"/>
    <n v="105640.47724293639"/>
  </r>
  <r>
    <s v="May"/>
    <s v="Microsoft CSP Azure Plan"/>
    <s v="Divisi Inovasi"/>
    <s v="divisiinovasi.onmicrosoft.com"/>
    <s v="a4cdaa2e-caa7-440f-b849-928a3ceb7e31"/>
    <s v="AzureCSP_DivisiInovasi"/>
    <n v="1141685"/>
    <s v="SQL DB Single Std"/>
    <x v="4"/>
    <x v="7"/>
    <s v="S0 DTUs"/>
    <d v="2026-05-01T00:00:00"/>
    <d v="2026-05-31T00:00:00"/>
    <n v="31"/>
    <s v="1/Day"/>
    <s v="IDR"/>
    <s v="RG-Loyalty"/>
    <s v="mdm-stagi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429.065072&quot;,_x000a_  &quot;ERP&quot;: &quot;261705.7014&quot;,_x000a_  &quot;BenefitType&quot;: &quot;Charge&quot;_x000a_}"/>
    <s v="Organization Name=PT Nawa Darsana Teknologi; Publisher=Microsoft; Publisher Customer ID=346fa229-7c19-44ef-85c6-29e00edf66cf; Unit Price=7429.065072; ERP=261705.7014; BenefitType=Charge"/>
    <n v="6"/>
    <n v="261705.69723200021"/>
  </r>
  <r>
    <s v="May"/>
    <s v="Microsoft CSP Azure Plan"/>
    <s v="Divisi Inovasi"/>
    <s v="divisiinovasi.onmicrosoft.com"/>
    <s v="a4cdaa2e-caa7-440f-b849-928a3ceb7e31"/>
    <s v="AzureCSP_DivisiInovasi"/>
    <n v="1141685"/>
    <s v="Azure App Service Free Plan"/>
    <x v="19"/>
    <x v="38"/>
    <s v="F1 App"/>
    <d v="2026-05-01T00:00:00"/>
    <d v="2026-05-31T00:00:00"/>
    <n v="0.16128000000000001"/>
    <s v="1 Hour"/>
    <s v="IDR"/>
    <s v="RG-Loyalty-Prod"/>
    <s v="curl-ap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App Service Free Plan"/>
    <x v="19"/>
    <x v="38"/>
    <s v="F1 App"/>
    <d v="2026-05-01T00:00:00"/>
    <d v="2026-05-31T00:00:00"/>
    <n v="1.3439999999999999E-3"/>
    <s v="1 Hour"/>
    <s v="IDR"/>
    <s v="RG-Loyalty-Prod"/>
    <s v="curl-ap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hidden-link: /app-insights-resource-id&quot;: &quot;/subscriptions/a4cdaa2e-caa7-440f-b849-928a3ceb7e31/resourceGroups/RG-Loyalty-Prod/providers/microsoft.insights/components/loyalty-production&quot;_x000a_}"/>
    <s v="Organization Name=PT Nawa Darsana Teknologi; Publisher=Microsoft; Publisher Customer ID=346fa229-7c19-44ef-85c6-29e00edf66cf; Unit Price=0.0; ERP=0.0; BenefitType=Charge; hidden-link: /app-insights-resource-id=/subscriptions/a4cdaa2e-caa7-440f-b849-928a3ceb7e31/resourceGroups/RG-Loyalty-Prod/providers/microsoft.insights/components/loyalty-production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"/>
    <s v="dev.modakita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env&quot;: &quot;Loyalty-Development&quot;_x000a_}"/>
    <s v="Organization Name=PT Nawa Darsana Teknologi; Publisher=Microsoft; Publisher Customer ID=346fa229-7c19-44ef-85c6-29e00edf66cf; Unit Price=2368.904172042; ERP=8722.9999982554; BenefitType=Charge; env=Loyalty-Development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1.05E-4"/>
    <s v="1/Month"/>
    <s v="IDR"/>
    <s v="mc_rg-loyalty-prod_locksmith_southeastasia"/>
    <s v="aks-newuserpool-2591aks-newuserpool-25919OS__1_65da95f2113b404b9bfe12cc7c4693d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8&quot;,_x000a_  &quot;ERP&quot;: &quot;36.1053693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8; ERP=36.1053693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36.102724983999998"/>
  </r>
  <r>
    <s v="May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27"/>
    <s v="P10 LRS Disk"/>
    <d v="2026-05-01T00:00:00"/>
    <d v="2026-05-31T00:00:00"/>
    <n v="0.70789800000000003"/>
    <s v="1/Month"/>
    <s v="IDR"/>
    <s v="mc_rg-loyalty-prod_locksmith_southeastasia"/>
    <s v="aks-newagentpool-220aks-newagentpool-2203OS__1_dadd2120b59d4d818facbdce31f300c7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02597.3807999999&quot;,_x000a_  &quot;ERP&quot;: &quot;243418.27349268&quot;,_x000a_  &quot;BenefitType&quot;: &quot;Charge&quot;,_x000a_  &quot;aks-managed-consolidated-additional-properties&quot;: &quot;a432e131-4c04-11f1-8cae-6277d8c8ca4f&quot;,_x000a_  &quot;aks-managed-creationSource&quot;: &quot;vmssclient-aks-newagentpool-22031053-vmss&quot;,_x000a_  &quot;aks-managed-enable-imds-restriction&quot;: &quot;False&quot;,_x000a_  &quot;aks-managed-kubeletIdentityClientID&quot;: &quot;d31d2c4f-e3b8-4665-b69b-b18c5ed27c30&quot;,_x000a_  &quot;aks-managed-operationID&quot;: &quot;61c861c4-cc71-476c-bdc8-423df1ba9c46&quot;,_x000a_  &quot;aks-managed-orchestrator&quot;: &quot;Kubernetes:1.33.10&quot;,_x000a_  &quot;aks-managed-poolName&quot;: &quot;newagent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02597.3807999999; ERP=243418.27349268; BenefitType=Charge; aks-managed-consolidated-additional-properties=a432e131-4c04-11f1-8cae-6277d8c8ca4f; aks-managed-creationSource=vmssclient-aks-newagentpool-22031053-vmss; aks-managed-enable-imds-restriction=False; aks-managed-kubeletIdentityClientID=d31d2c4f-e3b8-4665-b69b-b18c5ed27c30; aks-managed-operationID=61c861c4-cc71-476c-bdc8-423df1ba9c46; aks-managed-orchestrator=Kubernetes:1.33.10; aks-managed-poolName=newagentpool; aks-managed-resourceNameSuffix=36864977.0; aks-managed-ssh-access=LocalUser; compute.aks.billing=linux"/>
    <n v="16"/>
    <n v="243418.27067355841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Iterative Read Operations"/>
    <d v="2026-05-01T00:00:00"/>
    <d v="2026-05-31T00:00:00"/>
    <n v="1.9527000000000001"/>
    <s v="10K"/>
    <s v="IDR"/>
    <s v="mc_rg-loyalty_lakeside_southeastasia"/>
    <s v="adls2analytic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97.9112&quot;,_x000a_  &quot;ERP&quot;: &quot;2214.3422712554&quot;,_x000a_  &quot;BenefitType&quot;: &quot;Charge&quot;_x000a_}"/>
    <s v="Organization Name=PT Nawa Darsana Teknologi; Publisher=Microsoft; Publisher Customer ID=346fa229-7c19-44ef-85c6-29e00edf66cf; Unit Price=997.9112; ERP=2214.3422712554; BenefitType=Charge"/>
    <n v="6"/>
    <n v="2214.34120024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GRS Write Operations"/>
    <d v="2026-05-01T00:00:00"/>
    <d v="2026-05-31T00:00:00"/>
    <n v="0.85470000000000002"/>
    <s v="10K"/>
    <s v="IDR"/>
    <s v="storage-tenant-id"/>
    <s v="dbstorage7n6vah7qfjbe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95.8224&quot;,_x000a_  &quot;ERP&quot;: &quot;1938.442506&quot;,_x000a_  &quot;BenefitType&quot;: &quot;Charge&quot;,_x000a_  &quot;application&quot;: &quot;databricks&quot;,_x000a_  &quot;Billing&quot;: &quot;Loyalty&quot;,_x000a_  &quot;databricks-environment&quot;: &quot;True&quot;_x000a_}"/>
    <s v="Organization Name=PT Nawa Darsana Teknologi; Publisher=Microsoft; Publisher Customer ID=346fa229-7c19-44ef-85c6-29e00edf66cf; Unit Price=1995.8224; ERP=1938.442506; BenefitType=Charge; application=databricks; Billing=Loyalty; databricks-environment=True"/>
    <n v="9"/>
    <n v="1938.43940528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2122449968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5&quot;,_x000a_  &quot;ERP&quot;: &quot;37.0282609554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5; ERP=37.0282609554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37.02487068380000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8.3930319999999997E-4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2498&quot;,_x000a_  &quot;ERP&quot;: &quot;0.146424278&quot;,_x000a_  &quot;BenefitType&quot;: &quot;Charge&quot;,_x000a_  &quot;aks-managed-consolidated-additional-properties&quot;: &quot;ebfb66c7-4c03-11f1-ad6b-a26c3881ebea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a8de8d52-26ef-400f-baca-26615e975193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2498; ERP=0.146424278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"/>
    <n v="16"/>
    <n v="0.1488538626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GRS Index"/>
    <d v="2026-05-01T00:00:00"/>
    <d v="2026-05-31T00:00:00"/>
    <n v="3.0619E-2"/>
    <s v="1 GB/Month"/>
    <s v="IDR"/>
    <s v="storage-tenant-id"/>
    <s v="dbstorage7n6vah7qfjbe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78.161856&quot;,_x000a_  &quot;ERP&quot;: &quot;30.5550430328&quot;,_x000a_  &quot;BenefitType&quot;: &quot;Charge&quot;,_x000a_  &quot;application&quot;: &quot;databricks&quot;,_x000a_  &quot;Billing&quot;: &quot;Loyalty&quot;,_x000a_  &quot;databricks-environment&quot;: &quot;True&quot;_x000a_}"/>
    <s v="Organization Name=PT Nawa Darsana Teknologi; Publisher=Microsoft; Publisher Customer ID=346fa229-7c19-44ef-85c6-29e00edf66cf; Unit Price=878.161856; ERP=30.5550430328; BenefitType=Charge; application=databricks; Billing=Loyalty; databricks-environment=True"/>
    <n v="9"/>
    <n v="30.5584378689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Other Operations"/>
    <d v="2026-05-01T00:00:00"/>
    <d v="2026-05-31T00:00:00"/>
    <n v="11.4969"/>
    <s v="10K"/>
    <s v="IDR"/>
    <s v="mc_rg-loyalty_lakeside_southeastasia"/>
    <s v="adls2analytic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9.832896&quot;,_x000a_  &quot;ERP&quot;: &quot;1042.9895687354&quot;,_x000a_  &quot;BenefitType&quot;: &quot;Charge&quot;_x000a_}"/>
    <s v="Organization Name=PT Nawa Darsana Teknologi; Publisher=Microsoft; Publisher Customer ID=346fa229-7c19-44ef-85c6-29e00edf66cf; Unit Price=79.832896; ERP=1042.9895687354; BenefitType=Charge"/>
    <n v="6"/>
    <n v="1042.9908220223999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Read Operations"/>
    <d v="2026-05-01T00:00:00"/>
    <d v="2026-05-31T00:00:00"/>
    <n v="142.3997"/>
    <s v="10K"/>
    <s v="IDR"/>
    <s v="mc_rg-loyalty_lakeside_southeastasia"/>
    <s v="adls2analytic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9.832896&quot;,_x000a_  &quot;ERP&quot;: &quot;12918.3868624954&quot;,_x000a_  &quot;BenefitType&quot;: &quot;Charge&quot;_x000a_}"/>
    <s v="Organization Name=PT Nawa Darsana Teknologi; Publisher=Microsoft; Publisher Customer ID=346fa229-7c19-44ef-85c6-29e00edf66cf; Unit Price=79.832896; ERP=12918.3868624954; BenefitType=Charge"/>
    <n v="6"/>
    <n v="12918.390440531201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Write Operations"/>
    <d v="2026-05-01T00:00:00"/>
    <d v="2026-05-31T00:00:00"/>
    <n v="39.335000000000001"/>
    <s v="10K"/>
    <s v="IDR"/>
    <s v="mc_rg-loyalty_lakeside_southeastasia"/>
    <s v="adls2analytic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97.9112&quot;,_x000a_  &quot;ERP&quot;: &quot;44605.4966482554&quot;,_x000a_  &quot;BenefitType&quot;: &quot;Charge&quot;_x000a_}"/>
    <s v="Organization Name=PT Nawa Darsana Teknologi; Publisher=Microsoft; Publisher Customer ID=346fa229-7c19-44ef-85c6-29e00edf66cf; Unit Price=997.9112; ERP=44605.4966482554; BenefitType=Charge"/>
    <n v="6"/>
    <n v="44605.49705200001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2565873000000001E-3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511&quot;,_x000a_  &quot;ERP&quot;: &quot;0.5681429468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511; ERP=0.5681429468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0.569966915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6245689999999998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1992&quot;,_x000a_  &quot;ERP&quot;: &quot;0.045787027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1992; ERP=0.045787027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5.02936499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0.1165336911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76&quot;,_x000a_  &quot;ERP&quot;: &quot;20.330467557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76; ERP=20.330467557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20.330811612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5.3205685999999997E-3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78&quot;,_x000a_  &quot;ERP&quot;: &quot;0.9282248976&quot;,_x000a_  &quot;BenefitType&quot;: &quot;Charge&quot;,_x000a_  &quot;aks-managed-consolidated-additional-properties&quot;: &quot;325204be-59a1-11f1-be0b-d69bb301ee57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78; ERP=0.9282248976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"/>
    <n v="16"/>
    <n v="0.92683922529999996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307397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2297&quot;,_x000a_  &quot;ERP&quot;: &quot;0.0576991558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2297; ERP=0.0576991558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6.0776739099999998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7.8877399999999998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72&quot;,_x000a_  &quot;ERP&quot;: &quot;0.013759660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672; ERP=0.013759660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21096423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8135511800000001E-2"/>
    <s v="1 GB"/>
    <s v="IDR"/>
    <s v="mc_rg-loyalty-prod_limesee_southeastasia"/>
    <s v="aks-systemeph-2476500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32&quot;,_x000a_  &quot;ERP&quot;: &quot;6.6531210746&quot;,_x000a_  &quot;BenefitType&quot;: &quot;Charge&quot;,_x000a_  &quot;aks-managed-consolidated-additional-properties&quot;: &quot;15045eb0-3b89-11f1-a6a3-86db6cef6fbe&quot;,_x000a_  &quot;aks-managed-creationSource&quot;: &quot;vmssclient-aks-systemeph-24765003-vmss&quot;,_x000a_  &quot;aks-managed-enable-imds-restriction&quot;: &quot;False&quot;,_x000a_  &quot;aks-managed-kubeletIdentityClientID&quot;: &quot;f876420b-ca69-40d9-b52b-83d95239c056&quot;,_x000a_  &quot;aks-managed-operationID&quot;: &quot;38fa9548-8e62-44fd-b77d-ad28dae20f6a&quot;,_x000a_  &quot;aks-managed-orchestrator&quot;: &quot;Kubernetes:1.33.8&quot;,_x000a_  &quot;aks-managed-poolName&quot;: &quot;system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32; ERP=6.6531210746; BenefitType=Charge; aks-managed-consolidated-additional-properties=15045eb0-3b89-11f1-a6a3-86db6cef6fbe; aks-managed-creationSource=vmssclient-aks-systemeph-24765003-vmss; aks-managed-enable-imds-restriction=False; aks-managed-kubeletIdentityClientID=f876420b-ca69-40d9-b52b-83d95239c056; aks-managed-operationID=38fa9548-8e62-44fd-b77d-ad28dae20f6a; aks-managed-orchestrator=Kubernetes:1.33.8; aks-managed-poolName=systemeph; aks-managed-resourceNameSuffix=10784077.0; aks-managed-ssh-access=LocalUser; compute.aks.billing=linux"/>
    <n v="16"/>
    <n v="6.6547468214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9.8522369700000001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975&quot;,_x000a_  &quot;ERP&quot;: &quot;17.1882109256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975; ERP=17.1882109256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17.1856271111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3.4686830000000001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45&quot;,_x000a_  &quot;ERP&quot;: &quot;0.0605131956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45; ERP=0.0605131956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6.3252886199999997E-2"/>
  </r>
  <r>
    <s v="May"/>
    <s v="Microsoft CSP Azure Plan"/>
    <s v="Divisi Inovasi"/>
    <s v="divisiinovasi.onmicrosoft.com"/>
    <s v="a4cdaa2e-caa7-440f-b849-928a3ceb7e31"/>
    <s v="AzureCSP_DivisiInovasi"/>
    <n v="1141685"/>
    <s v="Azure Data Lake Storage Gen2 Hier Namespace"/>
    <x v="11"/>
    <x v="39"/>
    <s v="Hot Iterative Read Operations"/>
    <d v="2026-05-01T00:00:00"/>
    <d v="2026-05-31T00:00:00"/>
    <n v="2.9485999999999999"/>
    <s v="10K"/>
    <s v="IDR"/>
    <s v="mc_rg-loyalty_lakeside_southeastasia"/>
    <s v="adls2analytic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97.9112&quot;,_x000a_  &quot;ERP&quot;: &quot;3343.682914&quot;,_x000a_  &quot;BenefitType&quot;: &quot;Charge&quot;_x000a_}"/>
    <s v="Organization Name=PT Nawa Darsana Teknologi; Publisher=Microsoft; Publisher Customer ID=346fa229-7c19-44ef-85c6-29e00edf66cf; Unit Price=997.9112; ERP=3343.682914; BenefitType=Charge"/>
    <n v="6"/>
    <n v="3343.6809643199999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.950056"/>
    <s v="1 Hour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67.599992"/>
    <s v="1 Hour"/>
    <s v="IDR"/>
    <s v="mc_rg-loyalty-prod_locksmith_southeastasia"/>
    <s v="aks-monitoring-7026667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3336d53-4c0c-11f1-8bd6-5ec9d1cd8e46&quot;,_x000a_  &quot;aks-managed-creationSource&quot;: &quot;vmssclient-aks-monitoring-70266679-vmss&quot;,_x000a_  &quot;aks-managed-enable-imds-restriction&quot;: &quot;False&quot;,_x000a_  &quot;aks-managed-kubeletIdentityClientID&quot;: &quot;d31d2c4f-e3b8-4665-b69b-b18c5ed27c30&quot;,_x000a_  &quot;aks-managed-operationID&quot;: &quot;47e3b138-8324-4703-af11-b999d06876ce&quot;,_x000a_  &quot;aks-managed-orchestrator&quot;: &quot;Kubernetes:1.33.10&quot;,_x000a_  &quot;aks-managed-poolName&quot;: &quot;monitoring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3336d53-4c0c-11f1-8bd6-5ec9d1cd8e46; aks-managed-creationSource=vmssclient-aks-monitoring-70266679-vmss; aks-managed-enable-imds-restriction=False; aks-managed-kubeletIdentityClientID=d31d2c4f-e3b8-4665-b69b-b18c5ed27c30; aks-managed-operationID=47e3b138-8324-4703-af11-b999d06876ce; aks-managed-orchestrator=Kubernetes:1.33.10; aks-managed-poolName=monitoring; aks-managed-resourceNameSuffix=368649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5-01T00:00:00"/>
    <d v="2026-05-31T00:00:00"/>
    <n v="2.28332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1999&quot;,_x000a_  &quot;ERP&quot;: &quot;0.003982921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1999; ERP=0.003982921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5054678999999998E-3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0.30243457480000002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52&quot;,_x000a_  &quot;ERP&quot;: &quot;422.1018858914&quot;,_x000a_  &quot;BenefitType&quot;: &quot;Charge&quot;,_x000a_  &quot;aks-managed-consolidated-additional-properties&quot;: &quot;ebfb66c7-4c03-11f1-ad6b-a26c3881ebea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a8de8d52-26ef-400f-baca-26615e975193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52; ERP=422.1018858914; BenefitType=Charge; aks-managed-consolidated-additional-properties=ebfb66c7-4c03-11f1-ad6b-a26c3881ebea; aks-managed-creationSource=vmssclient-aks-udbziumeph-39962470-vmss; aks-managed-enable-imds-restriction=False; aks-managed-kubeletIdentityClientID=b2aa22d3-2063-4e90-a9df-47ffb8a7aae1; aks-managed-operationID=a8de8d52-26ef-400f-baca-26615e975193; aks-managed-orchestrator=Kubernetes:1.33.10; aks-managed-poolName=udbziumeph; aks-managed-resourceNameSuffix=11712142.0; aks-managed-ssh-access=LocalUser; compute.aks.billing=linux"/>
    <n v="16"/>
    <n v="422.0996608881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8.6038089400000003E-2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963&quot;,_x000a_  &quot;ERP&quot;: &quot;120.0816397066&quot;,_x000a_  &quot;BenefitType&quot;: &quot;Charge&quot;,_x000a_  &quot;aks-managed-consolidated-additional-properties&quot;: &quot;325204be-59a1-11f1-be0b-d69bb301ee57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963; ERP=120.0816397066; BenefitType=Charge; aks-managed-consolidated-additional-properties=325204be-59a1-11f1-be0b-d69bb301ee57; aks-managed-creationSource=vmssclient-aks-udbziumeph-39962470-vmss; aks-managed-enable-imds-restriction=False; aks-managed-kubeletIdentityClientID=b2aa22d3-2063-4e90-a9df-47ffb8a7aae1; aks-managed-operationID=0f13bab3-0fbc-4d58-af43-368d156264e0; aks-managed-orchestrator=Kubernetes:1.33.10; aks-managed-poolName=udbziumeph; aks-managed-resourceNameSuffix=11712142.0; aks-managed-ssh-access=LocalUser; compute.aks.billing=linux"/>
    <n v="16"/>
    <n v="120.0818436874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6.0304318599999997E-2"/>
    <s v="1 GB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8.1983999702&quot;,_x000a_  &quot;ERP&quot;: &quot;84.1655298484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8.1983999702; ERP=84.1655298484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84.165667560199992"/>
  </r>
  <r>
    <s v="May"/>
    <s v="Microsoft CSP Azure Plan"/>
    <s v="Divisi Inovasi"/>
    <s v="divisiinovasi.onmicrosoft.com"/>
    <s v="a4cdaa2e-caa7-440f-b849-928a3ceb7e31"/>
    <s v="AzureCSP_DivisiInovasi"/>
    <n v="1141685"/>
    <s v="General Block Blob v2 Hierarchical Namespace"/>
    <x v="11"/>
    <x v="40"/>
    <s v="Hot LRS Other Operations"/>
    <d v="2026-05-01T00:00:00"/>
    <d v="2026-05-31T00:00:00"/>
    <n v="9.7000000000000003E-3"/>
    <s v="10K"/>
    <s v="IDR"/>
    <s v="mc_rg-loyalty_lakeside_southeastasia"/>
    <s v="adls2analytic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0.846131&quot;,_x000a_  &quot;BenefitType&quot;: &quot;Charge&quot;_x000a_}"/>
    <s v="Organization Name=PT Nawa Darsana Teknologi; Publisher=Microsoft; Publisher Customer ID=346fa229-7c19-44ef-85c6-29e00edf66cf; Unit Price=76.7624; ERP=0.846131; BenefitType=Charge"/>
    <n v="6"/>
    <n v="0.84459527999999995"/>
  </r>
  <r>
    <s v="May"/>
    <s v="Microsoft CSP Azure Plan"/>
    <s v="Divisi Inovasi"/>
    <s v="divisiinovasi.onmicrosoft.com"/>
    <s v="a4cdaa2e-caa7-440f-b849-928a3ceb7e31"/>
    <s v="AzureCSP_DivisiInovasi"/>
    <n v="1141685"/>
    <s v="Bd Inter-Rgn"/>
    <x v="1"/>
    <x v="1"/>
    <s v="Inter Continent Data Transfer Out - ASIA To Any"/>
    <d v="2026-05-01T00:00:00"/>
    <d v="2026-05-31T00:00:00"/>
    <n v="2.6427357499999998E-2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92.0669436644&quot;,_x000a_  &quot;ERP&quot;: &quot;36.884132571&quot;,_x000a_  &quot;BenefitType&quot;: &quot;Charge&quot;,_x000a_  &quot;aks-managed-consolidated-additional-properties&quot;: &quot;2a985bfc-3b84-11f1-95e3-2e4ba821b3e8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fc4a52d4-889b-4642-9d1f-4755ccdf8ad9&quot;,_x000a_  &quot;aks-managed-orchestrator&quot;: &quot;Kubernetes:1.33.8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092.0669436644; ERP=36.884132571; BenefitType=Charge; aks-managed-consolidated-additional-properties=2a985bfc-3b84-11f1-95e3-2e4ba821b3e8; aks-managed-creationSource=vmssclient-aks-newuserpool-25919024-vmss; aks-managed-enable-imds-restriction=False; aks-managed-kubeletIdentityClientID=d31d2c4f-e3b8-4665-b69b-b18c5ed27c30; aks-managed-operationID=fc4a52d4-889b-4642-9d1f-4755ccdf8ad9; aks-managed-orchestrator=Kubernetes:1.33.8; aks-managed-poolName=newuserpool; aks-managed-resourceNameSuffix=36864977.0; aks-managed-ssh-access=LocalUser; compute.aks.billing=linux"/>
    <n v="16"/>
    <n v="32.800443487800003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8.2170450000000006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716.77283535&quot;,_x000a_  &quot;BenefitType&quot;: &quot;Charge&quot;,_x000a_  &quot;Billing&quot;: &quot;Loyalty&quot;,_x000a_  &quot;BillingOriginProduct&quot;: &quot;PREDICTIVE_OPTIMIZATION&quot;,_x000a_  &quot;ClusterId&quot;: &quot;0503-185502-mp2ann7v-v2n&quot;,_x000a_  &quot;ClusterName&quot;: &quot;job-870260662380481-run-578082155054987-Predictive-Optimization&quot;,_x000a_  &quot;Creator&quot;: &quot;a25b9e47-2518-438d-90ee-1cd792b5b46d&quot;,_x000a_  &quot;JobId&quot;: &quot;870260662380481.0&quot;,_x000a_  &quot;Predictive Optimization&quot;: &quot;True&quot;,_x000a_  &quot;RunName&quot;: &quot;Predictive Optimization Job-3d5215b4-cb47-409a-952d-abc9aca57f56&quot;,_x000a_  &quot;Vendor&quot;: &quot;Databricks&quot;_x000a_}"/>
    <s v="Organization Name=PT Nawa Darsana Teknologi; Publisher=Microsoft; Publisher Customer ID=346fa229-7c19-44ef-85c6-29e00edf66cf; Unit Price=7676.24; ERP=716.77283535; BenefitType=Charge; Billing=Loyalty; BillingOriginProduct=PREDICTIVE_OPTIMIZATION; ClusterId=0503-185502-mp2ann7v-v2n; ClusterName=job-870260662380481-run-578082155054987-Predictive-Optimization; Creator=a25b9e47-2518-438d-90ee-1cd792b5b46d; JobId=870260662380481.0; Predictive Optimization=True; RunName=Predictive Optimization Job-3d5215b4-cb47-409a-952d-abc9aca57f56; Vendor=Databricks"/>
    <n v="15"/>
    <n v="716.77009510799996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8770075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036.031364225&quot;,_x000a_  &quot;BenefitType&quot;: &quot;Charge&quot;,_x000a_  &quot;Billing&quot;: &quot;Loyalty&quot;,_x000a_  &quot;BillingOriginProduct&quot;: &quot;PREDICTIVE_OPTIMIZATION&quot;,_x000a_  &quot;ClusterId&quot;: &quot;0512-190839-7nqjhod0-v2n&quot;,_x000a_  &quot;ClusterName&quot;: &quot;job-1050202713140307-run-1090993764201671-Predictive-Optimizati&quot;,_x000a_  &quot;Creator&quot;: &quot;a25b9e47-2518-438d-90ee-1cd792b5b46d&quot;,_x000a_  &quot;JobId&quot;: &quot;1050202713140307.0&quot;,_x000a_  &quot;Predictive Optimization&quot;: &quot;True&quot;,_x000a_  &quot;RunName&quot;: &quot;Predictive Optimization Job-2c75ffde-6279-45f2-b193-b5c2715b4068&quot;,_x000a_  &quot;Vendor&quot;: &quot;Databricks&quot;_x000a_}"/>
    <s v="Organization Name=PT Nawa Darsana Teknologi; Publisher=Microsoft; Publisher Customer ID=346fa229-7c19-44ef-85c6-29e00edf66cf; Unit Price=7676.24; ERP=1036.031364225; BenefitType=Charge; Billing=Loyalty; BillingOriginProduct=PREDICTIVE_OPTIMIZATION; ClusterId=0512-190839-7nqjhod0-v2n; ClusterName=job-1050202713140307-run-1090993764201671-Predictive-Optimizati; Creator=a25b9e47-2518-438d-90ee-1cd792b5b46d; JobId=1050202713140307.0; Predictive Optimization=True; RunName=Predictive Optimization Job-2c75ffde-6279-45f2-b193-b5c2715b4068; Vendor=Databricks"/>
    <n v="15"/>
    <n v="1036.0276005180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6.2620833299999998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1&quot;,_x000a_  &quot;ERP&quot;: &quot;546.2415280036&quot;,_x000a_  &quot;BenefitType&quot;: &quot;Charge&quot;,_x000a_  &quot;Billing&quot;: &quot;Loyalty&quot;,_x000a_  &quot;BillingOriginProduct&quot;: &quot;PREDICTIVE_OPTIMIZATION&quot;,_x000a_  &quot;ClusterId&quot;: &quot;0514-080118-31s4lgof-v2n&quot;,_x000a_  &quot;ClusterName&quot;: &quot;job-771909375324403-run-348974906673637-Predictive-Optimization&quot;,_x000a_  &quot;Creator&quot;: &quot;a25b9e47-2518-438d-90ee-1cd792b5b46d&quot;,_x000a_  &quot;JobId&quot;: &quot;771909375324403.0&quot;,_x000a_  &quot;Predictive Optimization&quot;: &quot;True&quot;,_x000a_  &quot;RunName&quot;: &quot;Predictive Optimization Job-8059ed58-aeaa-4441-bbd8-1df9480013a3&quot;,_x000a_  &quot;Vendor&quot;: &quot;Databricks&quot;_x000a_}"/>
    <s v="Organization Name=PT Nawa Darsana Teknologi; Publisher=Microsoft; Publisher Customer ID=346fa229-7c19-44ef-85c6-29e00edf66cf; Unit Price=7676.2399999981; ERP=546.2415280036; BenefitType=Charge; Billing=Loyalty; BillingOriginProduct=PREDICTIVE_OPTIMIZATION; ClusterId=0514-080118-31s4lgof-v2n; ClusterName=job-771909375324403-run-348974906673637-Predictive-Optimization; Creator=a25b9e47-2518-438d-90ee-1cd792b5b46d; JobId=771909375324403.0; Predictive Optimization=True; RunName=Predictive Optimization Job-8059ed58-aeaa-4441-bbd8-1df9480013a3; Vendor=Databricks"/>
    <n v="15"/>
    <n v="546.2425456664999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3510452083000000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3062.1673511286&quot;,_x000a_  &quot;BenefitType&quot;: &quot;Charge&quot;,_x000a_  &quot;Billing&quot;: &quot;Loyalty&quot;,_x000a_  &quot;BillingOriginProduct&quot;: &quot;JOBS&quot;,_x000a_  &quot;ClusterId&quot;: &quot;0511-181129-dpgb80mf-v2n&quot;,_x000a_  &quot;ClusterName&quot;: &quot;job-866641465762645-run-427940430110588-X_Databricks_Computeles&quot;,_x000a_  &quot;Creator&quot;: &quot;deo.haganta@divisiinovasi.onmicrosoft.com&quot;,_x000a_  &quot;JobId&quot;: &quot;866641465762645.0&quot;,_x000a_  &quot;RunName&quot;: &quot;Job Daily DWH Production&quot;,_x000a_  &quot;Vendor&quot;: &quot;Databricks&quot;_x000a_}"/>
    <s v="Organization Name=PT Nawa Darsana Teknologi; Publisher=Microsoft; Publisher Customer ID=346fa229-7c19-44ef-85c6-29e00edf66cf; Unit Price=7676.2399999997; ERP=3062.1673511286; BenefitType=Charge; Billing=Loyalty; BillingOriginProduct=JOBS; ClusterId=0511-181129-dpgb80mf-v2n; ClusterName=job-866641465762645-run-427940430110588-X_Databricks_Computeles; Creator=deo.haganta@divisiinovasi.onmicrosoft.com; JobId=866641465762645.0; RunName=Job Daily DWH Production; Vendor=Databricks"/>
    <n v="14"/>
    <n v="3062.1672700166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399634999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1220.9016105&quot;,_x000a_  &quot;BenefitType&quot;: &quot;Charge&quot;,_x000a_  &quot;Billing&quot;: &quot;Loyalty&quot;,_x000a_  &quot;BillingOriginProduct&quot;: &quot;PREDICTIVE_OPTIMIZATION&quot;,_x000a_  &quot;ClusterId&quot;: &quot;0509-201600-lukdyt8h-v2n&quot;,_x000a_  &quot;ClusterName&quot;: &quot;job-246101019416390-run-368010177966613-Predictive-Optimization&quot;,_x000a_  &quot;Creator&quot;: &quot;a25b9e47-2518-438d-90ee-1cd792b5b46d&quot;,_x000a_  &quot;JobId&quot;: &quot;246101019416390.0&quot;,_x000a_  &quot;Predictive Optimization&quot;: &quot;True&quot;,_x000a_  &quot;RunName&quot;: &quot;Predictive Optimization Job-58b12522-bcd7-4b8d-9300-ac040000028a&quot;,_x000a_  &quot;Vendor&quot;: &quot;Databricks&quot;_x000a_}"/>
    <s v="Organization Name=PT Nawa Darsana Teknologi; Publisher=Microsoft; Publisher Customer ID=346fa229-7c19-44ef-85c6-29e00edf66cf; Unit Price=7676.24; ERP=1220.9016105; BenefitType=Charge; Billing=Loyalty; BillingOriginProduct=PREDICTIVE_OPTIMIZATION; ClusterId=0509-201600-lukdyt8h-v2n; ClusterName=job-246101019416390-run-368010177966613-Predictive-Optimization; Creator=a25b9e47-2518-438d-90ee-1cd792b5b46d; JobId=246101019416390.0; Predictive Optimization=True; RunName=Predictive Optimization Job-58b12522-bcd7-4b8d-9300-ac040000028a; Vendor=Databricks"/>
    <n v="15"/>
    <n v="1220.9034172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4.2081750000000001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367.07910525&quot;,_x000a_  &quot;BenefitType&quot;: &quot;Charge&quot;,_x000a_  &quot;Billing&quot;: &quot;Loyalty&quot;,_x000a_  &quot;BillingOriginProduct&quot;: &quot;PREDICTIVE_OPTIMIZATION&quot;,_x000a_  &quot;ClusterId&quot;: &quot;0510-172318-ppdi0zlo-v2n&quot;,_x000a_  &quot;ClusterName&quot;: &quot;job-875887005347832-run-393537870546615-Predictive-Optimization&quot;,_x000a_  &quot;Creator&quot;: &quot;a25b9e47-2518-438d-90ee-1cd792b5b46d&quot;,_x000a_  &quot;JobId&quot;: &quot;875887005347832.0&quot;,_x000a_  &quot;Predictive Optimization&quot;: &quot;True&quot;,_x000a_  &quot;RunName&quot;: &quot;Predictive Optimization Job-41034f65-74fa-4a5e-b56e-b7dd8498ad66&quot;,_x000a_  &quot;Vendor&quot;: &quot;Databricks&quot;_x000a_}"/>
    <s v="Organization Name=PT Nawa Darsana Teknologi; Publisher=Microsoft; Publisher Customer ID=346fa229-7c19-44ef-85c6-29e00edf66cf; Unit Price=7676.24; ERP=367.07910525; BenefitType=Charge; Billing=Loyalty; BillingOriginProduct=PREDICTIVE_OPTIMIZATION; ClusterId=0510-172318-ppdi0zlo-v2n; ClusterName=job-875887005347832-run-393537870546615-Predictive-Optimization; Creator=a25b9e47-2518-438d-90ee-1cd792b5b46d; JobId=875887005347832.0; Predictive Optimization=True; RunName=Predictive Optimization Job-41034f65-74fa-4a5e-b56e-b7dd8498ad66; Vendor=Databricks"/>
    <n v="15"/>
    <n v="367.079612619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3583770833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7&quot;,_x000a_  &quot;ERP&quot;: &quot;3126.1232967536&quot;,_x000a_  &quot;BenefitType&quot;: &quot;Charge&quot;,_x000a_  &quot;Billing&quot;: &quot;Loyalty&quot;,_x000a_  &quot;BillingOriginProduct&quot;: &quot;JOBS&quot;,_x000a_  &quot;ClusterId&quot;: &quot;0509-181440-so5sr7cv-v2n&quot;,_x000a_  &quot;ClusterName&quot;: &quot;job-866641465762645-run-696208097682266-X_Databricks_Computeles&quot;,_x000a_  &quot;Creator&quot;: &quot;deo.haganta@divisiinovasi.onmicrosoft.com&quot;,_x000a_  &quot;JobId&quot;: &quot;866641465762645.0&quot;,_x000a_  &quot;RunName&quot;: &quot;Job Daily DWH Production&quot;,_x000a_  &quot;Vendor&quot;: &quot;Databricks&quot;_x000a_}"/>
    <s v="Organization Name=PT Nawa Darsana Teknologi; Publisher=Microsoft; Publisher Customer ID=346fa229-7c19-44ef-85c6-29e00edf66cf; Unit Price=7676.2399999997; ERP=3126.1232967536; BenefitType=Charge; Billing=Loyalty; BillingOriginProduct=JOBS; ClusterId=0509-181440-so5sr7cv-v2n; ClusterName=job-866641465762645-run-696208097682266-X_Databricks_Computeles; Creator=deo.haganta@divisiinovasi.onmicrosoft.com; JobId=866641465762645.0; RunName=Job Daily DWH Production; Vendor=Databricks"/>
    <n v="14"/>
    <n v="3126.118502166600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4.9781249999999999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434.24184375&quot;,_x000a_  &quot;BenefitType&quot;: &quot;Charge&quot;,_x000a_  &quot;Billing&quot;: &quot;Loyalty&quot;,_x000a_  &quot;BillingOriginProduct&quot;: &quot;PREDICTIVE_OPTIMIZATION&quot;,_x000a_  &quot;ClusterId&quot;: &quot;0508-190448-6dl4h8aa-v2n&quot;,_x000a_  &quot;ClusterName&quot;: &quot;job-714142458376180-run-123583021504320-Predictive-Optimization&quot;,_x000a_  &quot;Creator&quot;: &quot;a25b9e47-2518-438d-90ee-1cd792b5b46d&quot;,_x000a_  &quot;JobId&quot;: &quot;714142458376180.0&quot;,_x000a_  &quot;Predictive Optimization&quot;: &quot;True&quot;,_x000a_  &quot;RunName&quot;: &quot;Predictive Optimization Job-c6db9ca6-3d3b-4c7b-97a6-d418d49bb7a7&quot;,_x000a_  &quot;Vendor&quot;: &quot;Databricks&quot;_x000a_}"/>
    <s v="Organization Name=PT Nawa Darsana Teknologi; Publisher=Microsoft; Publisher Customer ID=346fa229-7c19-44ef-85c6-29e00edf66cf; Unit Price=7676.24; ERP=434.24184375; BenefitType=Charge; Billing=Loyalty; BillingOriginProduct=PREDICTIVE_OPTIMIZATION; ClusterId=0508-190448-6dl4h8aa-v2n; ClusterName=job-714142458376180-run-123583021504320-Predictive-Optimization; Creator=a25b9e47-2518-438d-90ee-1cd792b5b46d; JobId=714142458376180.0; Predictive Optimization=True; RunName=Predictive Optimization Job-c6db9ca6-3d3b-4c7b-97a6-d418d49bb7a7; Vendor=Databricks"/>
    <n v="15"/>
    <n v="434.24282249999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5.8187025000000003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4&quot;,_x000a_  &quot;ERP&quot;: &quot;507.5654173304&quot;,_x000a_  &quot;BenefitType&quot;: &quot;Charge&quot;,_x000a_  &quot;Billing&quot;: &quot;Loyalty&quot;,_x000a_  &quot;BillingOriginProduct&quot;: &quot;PREDICTIVE_OPTIMIZATION&quot;,_x000a_  &quot;ClusterId&quot;: &quot;0515-204723-60mlp0nv-v2n&quot;,_x000a_  &quot;ClusterName&quot;: &quot;job-815943361532147-run-814553661175184-Predictive-Optimization&quot;,_x000a_  &quot;Creator&quot;: &quot;a25b9e47-2518-438d-90ee-1cd792b5b46d&quot;,_x000a_  &quot;JobId&quot;: &quot;815943361532147.0&quot;,_x000a_  &quot;Predictive Optimization&quot;: &quot;True&quot;,_x000a_  &quot;RunName&quot;: &quot;Predictive Optimization Job-62cc6da0-80ba-4257-8625-791207672cc7&quot;,_x000a_  &quot;Vendor&quot;: &quot;Databricks&quot;_x000a_}"/>
    <s v="Organization Name=PT Nawa Darsana Teknologi; Publisher=Microsoft; Publisher Customer ID=346fa229-7c19-44ef-85c6-29e00edf66cf; Unit Price=7676.24; ERP=507.5654173304; BenefitType=Charge; Billing=Loyalty; BillingOriginProduct=PREDICTIVE_OPTIMIZATION; ClusterId=0515-204723-60mlp0nv-v2n; ClusterName=job-815943361532147-run-814553661175184-Predictive-Optimization; Creator=a25b9e47-2518-438d-90ee-1cd792b5b46d; JobId=815943361532147.0; Predictive Optimization=True; RunName=Predictive Optimization Job-62cc6da0-80ba-4257-8625-791207672cc7; Vendor=Databricks"/>
    <n v="15"/>
    <n v="507.5675687859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316831857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1&quot;,_x000a_  &quot;ERP&quot;: &quot;1148.672429733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246101019416390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1; ERP=1148.6724297334; BenefitType=Charge; Billing=Loyalty; BillingOriginProduct=PREDICTIVE_OPTIMIZATION; Creator=a25b9e47-2518-438d-90ee-1cd792b5b46d; JobId=246101019416390.0; Predictive Optimization=True; Vendor=Databricks"/>
    <n v="12"/>
    <n v="1148.6717384210999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43402533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8&quot;,_x000a_  &quot;ERP&quot;: &quot;910.160028663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0933209979680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8; ERP=910.1600286636; BenefitType=Charge; Billing=Loyalty; BillingOriginProduct=PREDICTIVE_OPTIMIZATION; Creator=a25b9e47-2518-438d-90ee-1cd792b5b46d; JobId=609332099796807.0; Predictive Optimization=True; Vendor=Databricks"/>
    <n v="12"/>
    <n v="910.16082624730007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45234305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8&quot;,_x000a_  &quot;ERP&quot;: &quot;911.757883379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1188685600241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8; ERP=911.7578833792; BenefitType=Charge; Billing=Loyalty; BillingOriginProduct=PREDICTIVE_OPTIMIZATION; Creator=a25b9e47-2518-438d-90ee-1cd792b5b46d; JobId=611886856002411.0; Predictive Optimization=True; Vendor=Databricks"/>
    <n v="12"/>
    <n v="911.75693856779992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28553182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9&quot;,_x000a_  &quot;ERP&quot;: &quot;984.436940658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599355254332521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9; ERP=984.4369406586; BenefitType=Charge; Billing=Loyalty; BillingOriginProduct=PREDICTIVE_OPTIMIZATION; Creator=a25b9e47-2518-438d-90ee-1cd792b5b46d; JobId=599355254332521.0; Predictive Optimization=True; Vendor=Databricks"/>
    <n v="12"/>
    <n v="984.43450880290004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20771959719999999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6&quot;,_x000a_  &quot;ERP&quot;: &quot;1811.938046375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36010678622618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6; ERP=1811.9380463756; BenefitType=Charge; Billing=Loyalty; BillingOriginProduct=PREDICTIVE_OPTIMIZATION; Creator=a25b9e47-2518-438d-90ee-1cd792b5b46d; JobId=636010678622618.0; Predictive Optimization=True; Vendor=Databricks"/>
    <n v="12"/>
    <n v="1811.935480981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9.0086388899999995E-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4&quot;,_x000a_  &quot;ERP&quot;: &quot;785.8235695024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37935047936452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4; ERP=785.8235695024; BenefitType=Charge; Billing=Loyalty; BillingOriginProduct=PREDICTIVE_OPTIMIZATION; Creator=a25b9e47-2518-438d-90ee-1cd792b5b46d; JobId=637935047936452.0; Predictive Optimization=True; Vendor=Databricks"/>
    <n v="12"/>
    <n v="785.82474184429998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143923842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95&quot;,_x000a_  &quot;ERP&quot;: &quot;997.844765632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6402445912598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95; ERP=997.844765632; BenefitType=Charge; Billing=Loyalty; BillingOriginProduct=PREDICTIVE_OPTIMIZATION; Creator=a25b9e47-2518-438d-90ee-1cd792b5b46d; JobId=64024459125987.0; Predictive Optimization=True; Vendor=Databricks"/>
    <n v="12"/>
    <n v="997.84339503549995"/>
  </r>
  <r>
    <s v="May"/>
    <s v="Microsoft CSP Azure Plan"/>
    <s v="Divisi Inovasi"/>
    <s v="divisiinovasi.onmicrosoft.com"/>
    <s v="a4cdaa2e-caa7-440f-b849-928a3ceb7e31"/>
    <s v="AzureCSP_DivisiInovasi"/>
    <n v="1141685"/>
    <s v="Az DB Regional"/>
    <x v="12"/>
    <x v="17"/>
    <s v="Premium Automated Serverless Compute DBU"/>
    <d v="2026-05-01T00:00:00"/>
    <d v="2026-05-31T00:00:00"/>
    <n v="0.10062225330000001"/>
    <s v="1 Hour"/>
    <s v="IDR"/>
    <s v="RG-Loyalty"/>
    <s v="Analytics-LM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6.2399999988&quot;,_x000a_  &quot;ERP&quot;: &quot;877.7279146636&quot;,_x000a_  &quot;BenefitType&quot;: &quot;Charge&quot;,_x000a_  &quot;Billing&quot;: &quot;Loyalty&quot;,_x000a_  &quot;BillingOriginProduct&quot;: &quot;PREDICTIVE_OPTIMIZATION&quot;,_x000a_  &quot;Creator&quot;: &quot;a25b9e47-2518-438d-90ee-1cd792b5b46d&quot;,_x000a_  &quot;JobId&quot;: &quot;737826793353587.0&quot;,_x000a_  &quot;Predictive Optimization&quot;: &quot;True&quot;,_x000a_  &quot;Vendor&quot;: &quot;Databricks&quot;_x000a_}"/>
    <s v="Organization Name=PT Nawa Darsana Teknologi; Publisher=Microsoft; Publisher Customer ID=346fa229-7c19-44ef-85c6-29e00edf66cf; Unit Price=7676.2399999988; ERP=877.7279146636; BenefitType=Charge; Billing=Loyalty; BillingOriginProduct=PREDICTIVE_OPTIMIZATION; Creator=a25b9e47-2518-438d-90ee-1cd792b5b46d; JobId=737826793353587.0; Predictive Optimization=True; Vendor=Databricks"/>
    <n v="12"/>
    <n v="877.73056592730006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69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54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.6646999999999999E-2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16667000000000001"/>
    <s v="1 Hour"/>
    <s v="IDR"/>
    <s v="mc_rg-loyalty-prod_limesee_southeastasia"/>
    <s v="aks-monitoring-1759503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ffa6c5b-4c0e-11f1-a2d8-ea197250a710&quot;,_x000a_  &quot;aks-managed-creationSource&quot;: &quot;vmssclient-aks-monitoring-17595035-vmss&quot;,_x000a_  &quot;aks-managed-enable-imds-restriction&quot;: &quot;False&quot;,_x000a_  &quot;aks-managed-kubeletIdentityClientID&quot;: &quot;f876420b-ca69-40d9-b52b-83d95239c056&quot;,_x000a_  &quot;aks-managed-operationID&quot;: &quot;8e4bb362-7dc0-4b0d-8d9f-785423206752&quot;,_x000a_  &quot;aks-managed-orchestrator&quot;: &quot;Kubernetes:1.33.10&quot;,_x000a_  &quot;aks-managed-poolName&quot;: &quot;monitoring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ffa6c5b-4c0e-11f1-a2d8-ea197250a710; aks-managed-creationSource=vmssclient-aks-monitoring-17595035-vmss; aks-managed-enable-imds-restriction=False; aks-managed-kubeletIdentityClientID=f876420b-ca69-40d9-b52b-83d95239c056; aks-managed-operationID=8e4bb362-7dc0-4b0d-8d9f-785423206752; aks-managed-orchestrator=Kubernetes:1.33.10; aks-managed-poolName=monitoring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76668099999999995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216"/>
    <s v="1 Hour"/>
    <s v="IDR"/>
    <s v="mc_rg-loyalty-prod_limesee_southeastasia"/>
    <s v="aks-systemeph-2476500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15045eb0-3b89-11f1-a6a3-86db6cef6fbe&quot;,_x000a_  &quot;aks-managed-creationSource&quot;: &quot;vmssclient-aks-systemeph-24765003-vmss&quot;,_x000a_  &quot;aks-managed-enable-imds-restriction&quot;: &quot;False&quot;,_x000a_  &quot;aks-managed-kubeletIdentityClientID&quot;: &quot;f876420b-ca69-40d9-b52b-83d95239c056&quot;,_x000a_  &quot;aks-managed-operationID&quot;: &quot;38fa9548-8e62-44fd-b77d-ad28dae20f6a&quot;,_x000a_  &quot;aks-managed-orchestrator&quot;: &quot;Kubernetes:1.33.8&quot;,_x000a_  &quot;aks-managed-poolName&quot;: &quot;system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15045eb0-3b89-11f1-a6a3-86db6cef6fbe; aks-managed-creationSource=vmssclient-aks-systemeph-24765003-vmss; aks-managed-enable-imds-restriction=False; aks-managed-kubeletIdentityClientID=f876420b-ca69-40d9-b52b-83d95239c056; aks-managed-operationID=38fa9548-8e62-44fd-b77d-ad28dae20f6a; aks-managed-orchestrator=Kubernetes:1.33.8; aks-managed-poolName=system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8.3239999999999995E-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0.23333799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5-01T00:00:00"/>
    <d v="2026-05-31T00:00:00"/>
    <n v="12.100961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8968700000000001E-4"/>
    <s v="1 GB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641&quot;,_x000a_  &quot;ERP&quot;: &quot;0.6064648304&quot;,_x000a_  &quot;BenefitType&quot;: &quot;Charge&quot;,_x000a_  &quot;aks-managed-consolidated-additional-properties&quot;: &quot;3252c8ac-59a1-11f1-be0b-d69bb301ee57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641; ERP=0.6064648304; BenefitType=Charge; aks-managed-consolidated-additional-properties=3252c8ac-59a1-11f1-be0b-d69bb301ee57; aks-managed-creationSource=vmssclient-aks-systemeph-33281046-vmss; aks-managed-enable-imds-restriction=False; aks-managed-kubeletIdentityClientID=b2aa22d3-2063-4e90-a9df-47ffb8a7aae1; aks-managed-operationID=0f13bab3-0fbc-4d58-af43-368d156264e0; aks-managed-orchestrator=Kubernetes:1.33.10; aks-managed-poolName=systemeph; aks-managed-resourceNameSuffix=11712142.0; aks-managed-ssh-access=LocalUser; compute.aks.billing=linux"/>
    <n v="16"/>
    <n v="0.603689582899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3.5064741999999999E-3"/>
    <s v="1 GB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8717&quot;,_x000a_  &quot;ERP&quot;: &quot;7.3408737974&quot;,_x000a_  &quot;BenefitType&quot;: &quot;Charge&quot;,_x000a_  &quot;aks-managed-consolidated-additional-properties&quot;: &quot;311cf8b6-57da-11f1-a161-cad1f54d4175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8717; ERP=7.3408737974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"/>
    <n v="16"/>
    <n v="7.33996899699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2339019999999998E-3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28&quot;,_x000a_  &quot;ERP&quot;: &quot;4.6767178172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28; ERP=4.6767178172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4.6755122790999986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4016770000000001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345.4551098135&quot;,_x000a_  &quot;ERP&quot;: &quot;5.027958135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345.4551098135; ERP=5.027958135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671348538300000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8897242600000001E-2"/>
    <s v="1 GB"/>
    <s v="IDR"/>
    <s v="mc_rg-loyalty-prod_limesee_southeastasia"/>
    <s v="aks-systemeph-2476500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313&quot;,_x000a_  &quot;ERP&quot;: &quot;60.4969551186&quot;,_x000a_  &quot;BenefitType&quot;: &quot;Charge&quot;,_x000a_  &quot;aks-managed-consolidated-additional-properties&quot;: &quot;60d53c41-4c0c-11f1-8bd6-5ec9d1cd8e46&quot;,_x000a_  &quot;aks-managed-creationSource&quot;: &quot;vmssclient-aks-systemeph-24765003-vmss&quot;,_x000a_  &quot;aks-managed-enable-imds-restriction&quot;: &quot;False&quot;,_x000a_  &quot;aks-managed-kubeletIdentityClientID&quot;: &quot;f876420b-ca69-40d9-b52b-83d95239c056&quot;,_x000a_  &quot;aks-managed-operationID&quot;: &quot;7872550c-063f-4ec2-a11c-de26b186cccd&quot;,_x000a_  &quot;aks-managed-orchestrator&quot;: &quot;Kubernetes:1.33.10&quot;,_x000a_  &quot;aks-managed-poolName&quot;: &quot;system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313; ERP=60.4969551186; BenefitType=Charge; aks-managed-consolidated-additional-properties=60d53c41-4c0c-11f1-8bd6-5ec9d1cd8e46; aks-managed-creationSource=vmssclient-aks-systemeph-24765003-vmss; aks-managed-enable-imds-restriction=False; aks-managed-kubeletIdentityClientID=f876420b-ca69-40d9-b52b-83d95239c056; aks-managed-operationID=7872550c-063f-4ec2-a11c-de26b186cccd; aks-managed-orchestrator=Kubernetes:1.33.10; aks-managed-poolName=systemeph; aks-managed-resourceNameSuffix=10784077.0; aks-managed-ssh-access=LocalUser; compute.aks.billing=linux"/>
    <n v="16"/>
    <n v="60.4973207245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6.1500000000000001E-8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2895&quot;,_x000a_  &quot;ERP&quot;: &quot;0.000127355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2895; ERP=0.000127355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13241E-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5.5674000000000003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746721&quot;,_x000a_  &quot;ERP&quot;: &quot;0.01165392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746721; ERP=0.01165392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.02568929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4097240000000001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9253&quot;,_x000a_  &quot;ERP&quot;: &quot;0.295127003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9253; ERP=0.295127003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0.299713179399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5.5879000000000003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16902&quot;,_x000a_  &quot;ERP&quot;: &quot;0.011697543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16902; ERP=0.011697543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0294640000000001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37897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82616&quot;,_x000a_  &quot;ERP&quot;: &quot;0.049803096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82616; ERP=0.049803096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5.3827714300000003E-2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229E-7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65503045&quot;,_x000a_  &quot;ERP&quot;: &quot;0.000256456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65503045; ERP=0.000256456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2.2648199999999999E-4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7.6998570899999993E-2"/>
    <s v="1 GB"/>
    <s v="IDR"/>
    <s v="mc_rg-loyalty-prod_locksmith_southeastasia"/>
    <s v="aks-newagentpool-2203105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45.6227626927&quot;,_x000a_  &quot;ERP&quot;: &quot;161.198048011&quot;,_x000a_  &quot;BenefitType&quot;: &quot;Charge&quot;,_x000a_  &quot;aks-managed-consolidated-additional-properties&quot;: &quot;c05a7699-3b82-11f1-9f86-8e3cee5b163a&quot;,_x000a_  &quot;aks-managed-creationSource&quot;: &quot;vmssclient-aks-newagentpool-22031053-vmss&quot;,_x000a_  &quot;aks-managed-enable-imds-restriction&quot;: &quot;False&quot;,_x000a_  &quot;aks-managed-kubeletIdentityClientID&quot;: &quot;d31d2c4f-e3b8-4665-b69b-b18c5ed27c30&quot;,_x000a_  &quot;aks-managed-operationID&quot;: &quot;488a37be-07cd-41b9-bcf0-482ff6cb2ad0&quot;,_x000a_  &quot;aks-managed-orchestrator&quot;: &quot;Kubernetes:1.33.8&quot;,_x000a_  &quot;aks-managed-poolName&quot;: &quot;newagent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745.6227626927; ERP=161.198048011; BenefitType=Charge; aks-managed-consolidated-additional-properties=c05a7699-3b82-11f1-9f86-8e3cee5b163a; aks-managed-creationSource=vmssclient-aks-newagentpool-22031053-vmss; aks-managed-enable-imds-restriction=False; aks-managed-kubeletIdentityClientID=d31d2c4f-e3b8-4665-b69b-b18c5ed27c30; aks-managed-operationID=488a37be-07cd-41b9-bcf0-482ff6cb2ad0; aks-managed-orchestrator=Kubernetes:1.33.8; aks-managed-poolName=newagentpool; aks-managed-resourceNameSuffix=36864977.0; aks-managed-ssh-access=LocalUser; compute.aks.billing=linux"/>
    <n v="16"/>
    <n v="152.74045811709999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5.2190999999999997E-6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53586&quot;,_x000a_  &quot;ERP&quot;: &quot;0.0109246852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53586; ERP=0.0109246852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9.6151937E-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3.9536265700000003E-2"/>
    <s v="1 GB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461&quot;,_x000a_  &quot;ERP&quot;: &quot;82.7699615028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461; ERP=82.7699615028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82.767567329499997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2.1000531999999998E-3"/>
    <s v="1 GB"/>
    <s v="IDR"/>
    <s v="RG-Loyalty"/>
    <s v="salacca-dev-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52.0207971909&quot;,_x000a_  &quot;ERP&quot;: &quot;4.3965019098&quot;,_x000a_  &quot;BenefitType&quot;: &quot;Charge&quot;,_x000a_  &quot;Loyalty&quot;: &quot;Loyalty&quot;_x000a_}"/>
    <s v="Organization Name=PT Nawa Darsana Teknologi; Publisher=Microsoft; Publisher Customer ID=346fa229-7c19-44ef-85c6-29e00edf66cf; Unit Price=1752.0207971909; ERP=4.3965019098; BenefitType=Charge; Loyalty=Loyalty"/>
    <n v="7"/>
    <n v="4.1793369575000003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38649560700000002"/>
    <s v="1 GB"/>
    <s v="IDR"/>
    <s v="RG-Loyalty-Prod"/>
    <s v="jumpbox-prod-new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1.7253864124&quot;,_x000a_  &quot;ERP&quot;: &quot;809.1362824688&quot;,_x000a_  &quot;BenefitType&quot;: &quot;Charge&quot;,_x000a_  &quot;Environment&quot;: &quot;Production&quot;,_x000a_  &quot;Name&quot;: &quot;Jumpbox-prod-new&quot;_x000a_}"/>
    <s v="Organization Name=PT Nawa Darsana Teknologi; Publisher=Microsoft; Publisher Customer ID=346fa229-7c19-44ef-85c6-29e00edf66cf; Unit Price=1841.7253864124; ERP=809.1362824688; BenefitType=Charge; Environment=Production; Name=Jumpbox-prod-new"/>
    <n v="8"/>
    <n v="808.8887711004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"/>
    <s v="privatelink.blob.cor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Environment&quot;: &quot;Development&quot;,_x000a_  &quot;Name&quot;: &quot;lush-private-endpoint&quot;_x000a_}"/>
    <s v="Organization Name=PT Nawa Darsana Teknologi; Publisher=Microsoft; Publisher Customer ID=346fa229-7c19-44ef-85c6-29e00edf66cf; Unit Price=2368.904172042; ERP=8722.9999982554; BenefitType=Charge; Environment=Development; Name=lush-private-endpoint"/>
    <n v="8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-Prod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_x000a_}"/>
    <s v="Organization Name=PT Nawa Darsana Teknologi; Publisher=Microsoft; Publisher Customer ID=346fa229-7c19-44ef-85c6-29e00edf66cf; Unit Price=2368.904172042; ERP=8722.9999982554; BenefitType=Charge"/>
    <n v="6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"/>
    <s v="staging.modakita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,_x000a_  &quot;env&quot;: &quot;Development-Loyalty&quot;_x000a_}"/>
    <s v="Organization Name=PT Nawa Darsana Teknologi; Publisher=Microsoft; Publisher Customer ID=346fa229-7c19-44ef-85c6-29e00edf66cf; Unit Price=2368.904172042; ERP=8722.9999982554; BenefitType=Charge; env=Development-Loyalty"/>
    <n v="7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Azure DNS"/>
    <x v="5"/>
    <x v="8"/>
    <s v="Private Zone"/>
    <d v="2026-05-01T00:00:00"/>
    <d v="2026-05-31T00:00:00"/>
    <n v="1"/>
    <s v="1"/>
    <s v="IDR"/>
    <s v="RG-Loyalty-Prod"/>
    <s v="privatelink.datafactory.azure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8.904172042&quot;,_x000a_  &quot;ERP&quot;: &quot;8722.9999982554&quot;,_x000a_  &quot;BenefitType&quot;: &quot;Charge&quot;_x000a_}"/>
    <s v="Organization Name=PT Nawa Darsana Teknologi; Publisher=Microsoft; Publisher Customer ID=346fa229-7c19-44ef-85c6-29e00edf66cf; Unit Price=2368.904172042; ERP=8722.9999982554; BenefitType=Charge"/>
    <n v="6"/>
    <n v="2691.93417204199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56E-4"/>
    <s v="1 GB"/>
    <s v="IDR"/>
    <s v="RG-Loyalty-Prod"/>
    <s v="curl-ap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6&quot;,_x000a_  &quot;ERP&quot;: &quot;0.32658912&quot;,_x000a_  &quot;BenefitType&quot;: &quot;Charge&quot;_x000a_}"/>
    <s v="Organization Name=PT Nawa Darsana Teknologi; Publisher=Microsoft; Publisher Customer ID=346fa229-7c19-44ef-85c6-29e00edf66cf; Unit Price=1842.2976; ERP=0.32658912; BenefitType=Charge"/>
    <n v="6"/>
    <n v="0.32739842559999999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Included LB Rules and Outbound Rules"/>
    <d v="2026-05-01T00:00:00"/>
    <d v="2026-05-31T00:00:00"/>
    <n v="744"/>
    <s v="1 Hour"/>
    <s v="IDR"/>
    <s v="mc_rg-loyalty-prod_locksmith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24495.6&quot;,_x000a_  &quot;BenefitType&quot;: &quot;Charge&quot;,_x000a_  &quot;aks-managed-cluster-name&quot;: &quot;locksmith&quot;,_x000a_  &quot;aks-managed-cluster-rg&quot;: &quot;rg-loyalty-prod&quot;,_x000a_  &quot;Environment&quot;: &quot;Production&quot;,_x000a_  &quot;MD&quot;: &quot;Shared&quot;,_x000a_  &quot;Product&quot;: &quot;Loyalty&quot;_x000a_}"/>
    <s v="Organization Name=PT Nawa Darsana Teknologi; Publisher=Microsoft; Publisher Customer ID=346fa229-7c19-44ef-85c6-29e00edf66cf; Unit Price=383.812; ERP=324495.6; BenefitType=Charge; aks-managed-cluster-name=locksmith; aks-managed-cluster-rg=rg-loyalty-prod; Environment=Production; MD=Shared; Product=Loyalty"/>
    <n v="11"/>
    <n v="324495.598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0.59355507699999999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961&quot;,_x000a_  &quot;ERP&quot;: &quot;1242.619424103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961; ERP=1242.619424103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242.6150937841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0346999999999999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860251&quot;,_x000a_  &quot;ERP&quot;: &quot;0.021660953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860251; ERP=0.021660953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.90622417E-2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Data Processed"/>
    <d v="2026-05-01T00:00:00"/>
    <d v="2026-05-31T00:00:00"/>
    <n v="492.28557939450002"/>
    <s v="1 GB"/>
    <s v="IDR"/>
    <s v="mc_rg-loyalty-prod_locksmith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.7624&quot;,_x000a_  &quot;ERP&quot;: &quot;42942.0710893174&quot;,_x000a_  &quot;BenefitType&quot;: &quot;Charge&quot;,_x000a_  &quot;aks-managed-cluster-name&quot;: &quot;Locksmith&quot;,_x000a_  &quot;aks-managed-cluster-rg&quot;: &quot;RG-Loyalty-Prod&quot;,_x000a_  &quot;Environment&quot;: &quot;Production&quot;,_x000a_  &quot;MD&quot;: &quot;Shared&quot;,_x000a_  &quot;Product&quot;: &quot;Loyalty&quot;_x000a_}"/>
    <s v="Organization Name=PT Nawa Darsana Teknologi; Publisher=Microsoft; Publisher Customer ID=346fa229-7c19-44ef-85c6-29e00edf66cf; Unit Price=76.7624; ERP=42942.0710893174; BenefitType=Charge; aks-managed-cluster-name=Locksmith; aks-managed-cluster-rg=RG-Loyalty-Prod; Environment=Production; MD=Shared; Product=Loyalty"/>
    <n v="11"/>
    <n v="42942.072559716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Out"/>
    <d v="2026-05-01T00:00:00"/>
    <d v="2026-05-31T00:00:00"/>
    <n v="1.8786835000000001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2.2975999095&quot;,_x000a_  &quot;ERP&quot;: &quot;3.93306113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2.2975999095; ERP=3.93306113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.9310940206999998"/>
  </r>
  <r>
    <s v="May"/>
    <s v="Microsoft CSP Azure Plan"/>
    <s v="Divisi Inovasi"/>
    <s v="divisiinovasi.onmicrosoft.com"/>
    <s v="a4cdaa2e-caa7-440f-b849-928a3ceb7e31"/>
    <s v="AzureCSP_DivisiInovasi"/>
    <n v="1141685"/>
    <s v="Load Balancer"/>
    <x v="6"/>
    <x v="9"/>
    <s v="Standard Included LB Rules and Outbound Rules"/>
    <d v="2026-05-01T00:00:00"/>
    <d v="2026-05-31T00:00:00"/>
    <n v="712"/>
    <s v="1 Hour"/>
    <s v="IDR"/>
    <s v="mc_rg-loyalty_lakeside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.812&quot;,_x000a_  &quot;ERP&quot;: &quot;310538.8&quot;,_x000a_  &quot;BenefitType&quot;: &quot;Charge&quot;,_x000a_  &quot;aks-managed-cluster-name&quot;: &quot;Lakeside&quot;,_x000a_  &quot;aks-managed-cluster-rg&quot;: &quot;RG-Loyalty&quot;,_x000a_  &quot;env&quot;: &quot;Loyalty-Development&quot;,_x000a_  &quot;Environment&quot;: &quot;Development&quot;,_x000a_  &quot;MD&quot;: &quot;Shared&quot;,_x000a_  &quot;Product&quot;: &quot;Loyalty&quot;_x000a_}"/>
    <s v="Organization Name=PT Nawa Darsana Teknologi; Publisher=Microsoft; Publisher Customer ID=346fa229-7c19-44ef-85c6-29e00edf66cf; Unit Price=383.812; ERP=310538.8; BenefitType=Charge; aks-managed-cluster-name=Lakeside; aks-managed-cluster-rg=RG-Loyalty; env=Loyalty-Development; Environment=Development; MD=Shared; Product=Loyalty"/>
    <n v="12"/>
    <n v="310538.804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0.12073170950000001"/>
    <s v="1 GB"/>
    <s v="IDR"/>
    <s v="RG-Loyalty"/>
    <s v="salacca-dev-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47&quot;,_x000a_  &quot;ERP&quot;: &quot;21.062852382&quot;,_x000a_  &quot;BenefitType&quot;: &quot;Charge&quot;,_x000a_  &quot;Loyalty&quot;: &quot;Loyalty&quot;_x000a_}"/>
    <s v="Organization Name=PT Nawa Darsana Teknologi; Publisher=Microsoft; Publisher Customer ID=346fa229-7c19-44ef-85c6-29e00edf66cf; Unit Price=153.5247999847; ERP=21.062852382; BenefitType=Charge; Loyalty=Loyalty"/>
    <n v="7"/>
    <n v="21.065311556600001"/>
  </r>
  <r>
    <s v="May"/>
    <s v="Microsoft CSP Azure Plan"/>
    <s v="Divisi Inovasi"/>
    <s v="divisiinovasi.onmicrosoft.com"/>
    <s v="a4cdaa2e-caa7-440f-b849-928a3ceb7e31"/>
    <s v="AzureCSP_DivisiInovasi"/>
    <n v="1141685"/>
    <s v="Rtn Pref: MGN"/>
    <x v="1"/>
    <x v="3"/>
    <s v="Standard Data Transfer In"/>
    <d v="2026-05-01T00:00:00"/>
    <d v="2026-05-31T00:00:00"/>
    <n v="2.1599999999999999E-4"/>
    <s v="1 GB"/>
    <s v="IDR"/>
    <s v="RG-Loyalty"/>
    <s v="lus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env&quot;: &quot;Loyalty-Development&quot;_x000a_}"/>
    <s v="Organization Name=PT Nawa Darsana Teknologi; Publisher=Microsoft; Publisher Customer ID=346fa229-7c19-44ef-85c6-29e00edf66cf; Unit Price=0.0; ERP=0.0; BenefitType=Charge; env=Loyalty-Development"/>
    <n v="7"/>
    <n v="0"/>
  </r>
  <r>
    <s v="May"/>
    <s v="Microsoft CSP Azure Plan"/>
    <s v="Divisi Inovasi"/>
    <s v="divisiinovasi.onmicrosoft.com"/>
    <s v="a4cdaa2e-caa7-440f-b849-928a3ceb7e31"/>
    <s v="AzureCSP_DivisiInovasi"/>
    <n v="1141685"/>
    <s v="BS Series VM"/>
    <x v="2"/>
    <x v="41"/>
    <s v="B2s"/>
    <d v="2026-05-01T00:00:00"/>
    <d v="2026-05-31T00:00:00"/>
    <n v="75.983350000000002"/>
    <s v="1 Hour"/>
    <s v="IDR"/>
    <s v="RG-Loyalty"/>
    <s v="salacca-dev-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10.610944&quot;,_x000a_  &quot;ERP&quot;: &quot;69991.97167248&quot;,_x000a_  &quot;BenefitType&quot;: &quot;Charge&quot;,_x000a_  &quot;Loyalty&quot;: &quot;Loyalty&quot;_x000a_}"/>
    <s v="Organization Name=PT Nawa Darsana Teknologi; Publisher=Microsoft; Publisher Customer ID=346fa229-7c19-44ef-85c6-29e00edf66cf; Unit Price=810.610944; ERP=69991.97167248; BenefitType=Charge; Loyalty=Loyalty"/>
    <n v="7"/>
    <n v="69991.97507178239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7.735919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544&quot;,_x000a_  &quot;ERP&quot;: &quot;0.1349605114&quot;,_x000a_  &quot;BenefitType&quot;: &quot;Charge&quot;,_x000a_  &quot;aks-managed-consolidated-additional-properties&quot;: &quot;311ee467-57da-11f1-a161-cad1f54d4175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544; ERP=0.1349605114; BenefitType=Charge; aks-managed-consolidated-additional-properties=311ee467-57da-11f1-a161-cad1f54d4175; aks-managed-creationSource=vmssclient-aks-usereph-29326849-vmss; aks-managed-enable-imds-restriction=False; aks-managed-kubeletIdentityClientID=b2aa22d3-2063-4e90-a9df-47ffb8a7aae1; aks-managed-operationID=66280dcb-00f2-4eab-9577-0b3d0916004f; aks-managed-orchestrator=Kubernetes:1.33.10; aks-managed-poolName=usereph; aks-managed-resourceNameSuffix=11712142.0; aks-managed-ssh-access=LocalUser; compute.aks.billing=linux"/>
    <n v="16"/>
    <n v="0.138765544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"/>
    <s v="1 Hour"/>
    <s v="IDR"/>
    <s v="mc_rg-loyalty_lakeside_southeastasia"/>
    <s v="aks-udbziumeph-3996247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361.5&quot;,_x000a_  &quot;BenefitType&quot;: &quot;Charge&quot;,_x000a_  &quot;aks-managed-consolidated-additional-properties&quot;: &quot;311cf8b6-57da-11f1-a161-cad1f54d4175&quot;,_x000a_  &quot;aks-managed-creationSource&quot;: &quot;vmssclient-aks-udbziumeph-39962470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udbziu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361.5; BenefitType=Charge; aks-managed-consolidated-additional-properties=311cf8b6-57da-11f1-a161-cad1f54d4175; aks-managed-creationSource=vmssclient-aks-udbziumeph-39962470-vmss; aks-managed-enable-imds-restriction=False; aks-managed-kubeletIdentityClientID=b2aa22d3-2063-4e90-a9df-47ffb8a7aae1; aks-managed-operationID=66280dcb-00f2-4eab-9577-0b3d0916004f; aks-managed-orchestrator=Kubernetes:1.33.10; aks-managed-poolName=udbziumeph; aks-managed-resourceNameSuffix=11712142.0; aks-managed-ssh-access=LocalUser; compute.aks.billing=linux"/>
    <n v="16"/>
    <n v="4361.5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69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173243.5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173243.5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1173243.5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8612170599999998E-2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888&quot;,_x000a_  &quot;ERP&quot;: &quot;3.2470791782&quot;,_x000a_  &quot;BenefitType&quot;: &quot;Charge&quot;,_x000a_  &quot;aks-managed-consolidated-additional-properties&quot;: &quot;de1ef251-3b84-11f1-95e3-2e4ba821b3e8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583623f0-ca12-4a44-a1c9-b965876cced6&quot;,_x000a_  &quot;aks-managed-orchestrator&quot;: &quot;Kubernetes:1.33.8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888; ERP=3.2470791782; BenefitType=Charge; aks-managed-consolidated-additional-properties=de1ef251-3b84-11f1-95e3-2e4ba821b3e8; aks-managed-creationSource=vmssclient-aks-usereph-29326849-vmss; aks-managed-enable-imds-restriction=False; aks-managed-kubeletIdentityClientID=b2aa22d3-2063-4e90-a9df-47ffb8a7aae1; aks-managed-operationID=583623f0-ca12-4a44-a1c9-b965876cced6; aks-managed-orchestrator=Kubernetes:1.33.8; aks-managed-poolName=usereph; aks-managed-resourceNameSuffix=11712142.0; aks-managed-ssh-access=LocalUser; compute.aks.billing=linux"/>
    <n v="16"/>
    <n v="3.2474297674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6.6234699999999998E-5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2099&quot;,_x000a_  &quot;ERP&quot;: &quot;0.0115544858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2099; ERP=0.0115544858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1.01686736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3.7402190000000002E-4"/>
    <s v="1 GB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5445&quot;,_x000a_  &quot;ERP&quot;: &quot;0.0652515292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5445; ERP=0.0652515292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6.7421643399999995E-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4.500389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63243.450983255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63243.450983255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63243.446866799997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983352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288.889748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288.889748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4288.8929782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81.36738000000003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227183.8278682553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227183.8278682553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227183.8285256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.966704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8577.779496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8577.779496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8577.775956479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55001100000000003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2398.8729765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2398.8729765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2398.868219320000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6760439999999998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41&quot;,_x000a_  &quot;ERP&quot;: &quot;0.04668549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641; ERP=0.04668549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5.1083906800000002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6.2709572699999994E-2"/>
    <s v="1 GB"/>
    <s v="IDR"/>
    <s v="mc_rg-loyalty-prod_limesee_southeastasia"/>
    <s v="aks-monitoring-1759503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34&quot;,_x000a_  &quot;ERP&quot;: &quot;10.9403115822&quot;,_x000a_  &quot;BenefitType&quot;: &quot;Charge&quot;,_x000a_  &quot;aks-managed-consolidated-additional-properties&quot;: &quot;7ffa6c5b-4c0e-11f1-a2d8-ea197250a710&quot;,_x000a_  &quot;aks-managed-creationSource&quot;: &quot;vmssclient-aks-monitoring-17595035-vmss&quot;,_x000a_  &quot;aks-managed-enable-imds-restriction&quot;: &quot;False&quot;,_x000a_  &quot;aks-managed-kubeletIdentityClientID&quot;: &quot;f876420b-ca69-40d9-b52b-83d95239c056&quot;,_x000a_  &quot;aks-managed-operationID&quot;: &quot;8e4bb362-7dc0-4b0d-8d9f-785423206752&quot;,_x000a_  &quot;aks-managed-orchestrator&quot;: &quot;Kubernetes:1.33.10&quot;,_x000a_  &quot;aks-managed-poolName&quot;: &quot;monitoring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34; ERP=10.9403115822; BenefitType=Charge; aks-managed-consolidated-additional-properties=7ffa6c5b-4c0e-11f1-a2d8-ea197250a710; aks-managed-creationSource=vmssclient-aks-monitoring-17595035-vmss; aks-managed-enable-imds-restriction=False; aks-managed-kubeletIdentityClientID=f876420b-ca69-40d9-b52b-83d95239c056; aks-managed-operationID=8e4bb362-7dc0-4b0d-8d9f-785423206752; aks-managed-orchestrator=Kubernetes:1.33.10; aks-managed-poolName=monitoring; aks-managed-resourceNameSuffix=10784077.0; aks-managed-ssh-access=LocalUser; compute.aks.billing=linux"/>
    <n v="16"/>
    <n v="10.93747460900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6.0328468999999996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8853&quot;,_x000a_  &quot;ERP&quot;: &quot;1.052489266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8853; ERP=1.052489266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.056191608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9.6029453000000004E-3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762&quot;,_x000a_  &quot;ERP&quot;: &quot;1.6753289124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762; ERP=1.6753289124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.67429025609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3136799999999998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4434&quot;,_x000a_  &quot;ERP&quot;: &quot;0.004035259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4434; ERP=0.004035259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5520795999999999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4791799999999999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34736&quot;,_x000a_  &quot;ERP&quot;: &quot;0.0043248634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34736; ERP=0.0043248634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8061570000000001E-3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66.83345000000003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163794.092175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163794.092175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1163794.09111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250004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090.392446&quot;,_x000a_  &quot;BenefitType&quot;: &quot;Charge&quot;,_x000a_  &quot;aks-managed-consolidated-additional-properties&quot;: &quot;0a8bb282-4c06-11f1-a96a-06040b0291ed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a2520817-43a9-41d5-8cf7-17478ce864f7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090.392446; BenefitType=Charge; aks-managed-consolidated-additional-properties=0a8bb282-4c06-11f1-a96a-06040b0291ed; aks-managed-creationSource=vmssclient-aks-usereph-29326849-vmss; aks-managed-enable-imds-restriction=False; aks-managed-kubeletIdentityClientID=b2aa22d3-2063-4e90-a9df-47ffb8a7aae1; aks-managed-operationID=a2520817-43a9-41d5-8cf7-17478ce864f7; aks-managed-orchestrator=Kubernetes:1.33.10; aks-managed-poolName=usereph; aks-managed-resourceNameSuffix=11712142.0; aks-managed-ssh-access=LocalUser; compute.aks.billing=linux"/>
    <n v="16"/>
    <n v="1090.3953524799999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5.9184600000000003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3212&quot;,_x000a_  &quot;ERP&quot;: &quot;0.0103245428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3212; ERP=0.0103245428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9.0863065999999999E-3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6785399999999999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737&quot;,_x000a_  &quot;ERP&quot;: &quot;0.046729111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7737; ERP=0.046729111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5.11222256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8.7504300000000002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2008&quot;,_x000a_  &quot;ERP&quot;: &quot;0.01526525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2008; ERP=0.01526525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.3434076200000001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3.2001920000000001E-4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7869&quot;,_x000a_  &quot;ERP&quot;: &quot;0.055828944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7869; ERP=0.055828944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5.9130883699999998E-2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21562E-5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6392&quot;,_x000a_  &quot;ERP&quot;: &quot;0.003864289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6392; ERP=0.003864289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4015206000000001E-3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6"/>
    <s v="1 Hour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474.0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474.0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33147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.950056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2866.669244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2866.669244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12866.668934720001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1.9677711699999999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99622&quot;,_x000a_  &quot;ERP&quot;: &quot;3.4329732866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99622; ERP=3.4329732866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3.431016744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3.3669999999999999E-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46.851705&quot;,_x000a_  &quot;BenefitType&quot;: &quot;Charge&quot;,_x000a_  &quot;aks-managed-consolidated-additional-properties&quot;: &quot;bfeab34e-3b82-11f1-9f86-8e3cee5b163a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39e1e8f8-a95f-462d-8fa5-25a2b26b3098&quot;,_x000a_  &quot;aks-managed-orchestrator&quot;: &quot;Kubernetes:1.33.8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46.851705; BenefitType=Charge; aks-managed-consolidated-additional-properties=bfeab34e-3b82-11f1-9f86-8e3cee5b163a; aks-managed-creationSource=vmssclient-aks-usereph-11975611-vmss; aks-managed-enable-imds-restriction=False; aks-managed-kubeletIdentityClientID=f876420b-ca69-40d9-b52b-83d95239c056; aks-managed-operationID=39e1e8f8-a95f-462d-8fa5-25a2b26b3098; aks-managed-orchestrator=Kubernetes:1.33.8; aks-managed-poolName=usereph; aks-managed-resourceNameSuffix=10784077.0; aks-managed-ssh-access=LocalUser; compute.aks.billing=linux"/>
    <n v="16"/>
    <n v="146.849500400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61667899999999998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2689.6454585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2689.6454585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2689.648003480000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27.15039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18416.43470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18416.43470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18416.43254304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38.417119999999997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67556.2688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67556.2688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67556.266614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6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474.0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474.0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33147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6"/>
    <s v="1 Hour"/>
    <s v="IDR"/>
    <s v="mc_rg-loyalty-prod_locksmith_southeastasia"/>
    <s v="aks-newuserpool-2591902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474.0&quot;,_x000a_  &quot;BenefitType&quot;: &quot;Charge&quot;,_x000a_  &quot;aks-managed-consolidated-additional-properties&quot;: &quot;10b49e4b-4c06-11f1-8bd6-5ec9d1cd8e46&quot;,_x000a_  &quot;aks-managed-creationSource&quot;: &quot;vmssclient-aks-newuserpool-25919024-vmss&quot;,_x000a_  &quot;aks-managed-enable-imds-restriction&quot;: &quot;False&quot;,_x000a_  &quot;aks-managed-kubeletIdentityClientID&quot;: &quot;d31d2c4f-e3b8-4665-b69b-b18c5ed27c30&quot;,_x000a_  &quot;aks-managed-operationID&quot;: &quot;83e7f825-8218-4a0f-ba20-b087a41e559b&quot;,_x000a_  &quot;aks-managed-orchestrator&quot;: &quot;Kubernetes:1.33.10&quot;,_x000a_  &quot;aks-managed-poolName&quot;: &quot;newuser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474.0; BenefitType=Charge; aks-managed-consolidated-additional-properties=10b49e4b-4c06-11f1-8bd6-5ec9d1cd8e46; aks-managed-creationSource=vmssclient-aks-newuserpool-25919024-vmss; aks-managed-enable-imds-restriction=False; aks-managed-kubeletIdentityClientID=d31d2c4f-e3b8-4665-b69b-b18c5ed27c30; aks-managed-operationID=83e7f825-8218-4a0f-ba20-b087a41e559b; aks-managed-orchestrator=Kubernetes:1.33.10; aks-managed-poolName=newuserpool; aks-managed-resourceNameSuffix=36864977.0; aks-managed-ssh-access=LocalUser; compute.aks.billing=linux"/>
    <n v="16"/>
    <n v="33147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98335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4288.889748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4288.889748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4288.8929782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1.2"/>
    <s v="1 Hour"/>
    <s v="IDR"/>
    <s v="mc_rg-loyalty_lakeside_southeastasia"/>
    <s v="aks-usereph-2932684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5233.8&quot;,_x000a_  &quot;BenefitType&quot;: &quot;Charge&quot;,_x000a_  &quot;aks-managed-consolidated-additional-properties&quot;: &quot;3252691d-59a1-11f1-be0b-d69bb301ee57&quot;,_x000a_  &quot;aks-managed-creationSource&quot;: &quot;vmssclient-aks-usereph-29326849-vmss&quot;,_x000a_  &quot;aks-managed-enable-imds-restriction&quot;: &quot;False&quot;,_x000a_  &quot;aks-managed-kubeletIdentityClientID&quot;: &quot;b2aa22d3-2063-4e90-a9df-47ffb8a7aae1&quot;,_x000a_  &quot;aks-managed-operationID&quot;: &quot;0f13bab3-0fbc-4d58-af43-368d156264e0&quot;,_x000a_  &quot;aks-managed-orchestrator&quot;: &quot;Kubernetes:1.33.10&quot;,_x000a_  &quot;aks-managed-poolName&quot;: &quot;user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5233.8; BenefitType=Charge; aks-managed-consolidated-additional-properties=3252691d-59a1-11f1-be0b-d69bb301ee57; aks-managed-creationSource=vmssclient-aks-usereph-29326849-vmss; aks-managed-enable-imds-restriction=False; aks-managed-kubeletIdentityClientID=b2aa22d3-2063-4e90-a9df-47ffb8a7aae1; aks-managed-operationID=0f13bab3-0fbc-4d58-af43-368d156264e0; aks-managed-orchestrator=Kubernetes:1.33.10; aks-managed-poolName=usereph; aks-managed-resourceNameSuffix=11712142.0; aks-managed-ssh-access=LocalUser; compute.aks.billing=linux"/>
    <n v="16"/>
    <n v="5233.80400000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0.23333699999999999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1017.6993255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1017.6993255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1017.69540644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6.6668000000000005E-2"/>
    <s v="1 Hour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290.772482&quot;,_x000a_  &quot;BenefitType&quot;: &quot;Charge&quot;,_x000a_  &quot;aks-managed-consolidated-additional-properties&quot;: &quot;a150de18-4c04-11f1-b6ec-26e5e49fc9c9&quot;,_x000a_  &quot;aks-managed-creationSource&quot;: &quot;vmssclient-aks-usereph-11975611-vmss&quot;,_x000a_  &quot;aks-managed-enable-imds-restriction&quot;: &quot;False&quot;,_x000a_  &quot;aks-managed-kubeletIdentityClientID&quot;: &quot;f876420b-ca69-40d9-b52b-83d95239c056&quot;,_x000a_  &quot;aks-managed-operationID&quot;: &quot;95a0c878-2db0-430e-9ddb-a31962c043ec&quot;,_x000a_  &quot;aks-managed-orchestrator&quot;: &quot;Kubernetes:1.33.10&quot;,_x000a_  &quot;aks-managed-poolName&quot;: &quot;usereph&quot;,_x000a_  &quot;aks-managed-resourceNameSuffix&quot;: &quot;107840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290.772482; BenefitType=Charge; aks-managed-consolidated-additional-properties=a150de18-4c04-11f1-b6ec-26e5e49fc9c9; aks-managed-creationSource=vmssclient-aks-usereph-11975611-vmss; aks-managed-enable-imds-restriction=False; aks-managed-kubeletIdentityClientID=f876420b-ca69-40d9-b52b-83d95239c056; aks-managed-operationID=95a0c878-2db0-430e-9ddb-a31962c043ec; aks-managed-orchestrator=Kubernetes:1.33.10; aks-managed-poolName=usereph; aks-managed-resourceNameSuffix=10784077.0; aks-managed-ssh-access=LocalUser; compute.aks.billing=linux"/>
    <n v="16"/>
    <n v="290.76978415999997"/>
  </r>
  <r>
    <s v="May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5-01T00:00:00"/>
    <d v="2026-05-31T00:00:00"/>
    <n v="2.194373E-4"/>
    <s v="1 GB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.5247986402&quot;,_x000a_  &quot;ERP&quot;: &quot;0.0382817578&quot;,_x000a_  &quot;BenefitType&quot;: &quot;Charge&quot;,_x000a_  &quot;aks-managed-consolidated-additional-properties&quot;: &quot;676589cd-3b88-11f1-95e3-2e4ba821b3e8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ec04889c-3fcb-4604-8e4e-2fa3896b4783&quot;,_x000a_  &quot;aks-managed-orchestrator&quot;: &quot;Kubernetes:1.33.8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3.5247986402; ERP=0.0382817578; BenefitType=Charge; aks-managed-consolidated-additional-properties=676589cd-3b88-11f1-95e3-2e4ba821b3e8; aks-managed-creationSource=vmssclient-aks-usereph-42924794-vmss; aks-managed-enable-imds-restriction=False; aks-managed-kubeletIdentityClientID=d31d2c4f-e3b8-4665-b69b-b18c5ed27c30; aks-managed-operationID=ec04889c-3fcb-4604-8e4e-2fa3896b4783; aks-managed-orchestrator=Kubernetes:1.33.8; aks-managed-poolName=usereph; aks-managed-resourceNameSuffix=36864977.0; aks-managed-ssh-access=LocalUser; compute.aks.billing=linux"/>
    <n v="16"/>
    <n v="3.3689066300000001E-2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6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474.0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474.0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331474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4 v3/D4s v3"/>
    <d v="2026-05-01T00:00:00"/>
    <d v="2026-05-31T00:00:00"/>
    <n v="76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838.12&quot;,_x000a_  &quot;ERP&quot;: &quot;331474.0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838.12; ERP=331474.0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331474"/>
  </r>
  <r>
    <s v="May"/>
    <s v="Microsoft CSP Azure Plan"/>
    <s v="Divisi Inovasi"/>
    <s v="divisiinovasi.onmicrosoft.com"/>
    <s v="a4cdaa2e-caa7-440f-b849-928a3ceb7e31"/>
    <s v="AzureCSP_DivisiInovasi"/>
    <n v="1141685"/>
    <s v="Files"/>
    <x v="11"/>
    <x v="19"/>
    <s v="LRS Write Operations"/>
    <d v="2026-05-01T00:00:00"/>
    <d v="2026-05-31T00:00:00"/>
    <n v="0.34389999999999998"/>
    <s v="10K"/>
    <s v="IDR"/>
    <s v="RG-Loyalty"/>
    <s v="rgloyalty806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.2872&quot;,_x000a_  &quot;ERP&quot;: &quot;89.995191&quot;,_x000a_  &quot;BenefitType&quot;: &quot;Charge&quot;_x000a_}"/>
    <s v="Organization Name=PT Nawa Darsana Teknologi; Publisher=Microsoft; Publisher Customer ID=346fa229-7c19-44ef-85c6-29e00edf66cf; Unit Price=230.2872; ERP=89.995191; BenefitType=Charge"/>
    <n v="6"/>
    <n v="89.995768079999991"/>
  </r>
  <r>
    <s v="May"/>
    <s v="Microsoft CSP Azure Plan"/>
    <s v="Divisi Inovasi"/>
    <s v="divisiinovasi.onmicrosoft.com"/>
    <s v="a4cdaa2e-caa7-440f-b849-928a3ceb7e31"/>
    <s v="AzureCSP_DivisiInovasi"/>
    <n v="1141685"/>
    <s v="Std HDD"/>
    <x v="11"/>
    <x v="42"/>
    <s v="ZRS Snapshots"/>
    <d v="2026-05-01T00:00:00"/>
    <d v="2026-05-31T00:00:00"/>
    <n v="5.8189359999999999"/>
    <s v="1 GB/Month"/>
    <s v="IDR"/>
    <s v="RG-Loyalty"/>
    <s v="test-monitoring-snapsho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7.624&quot;,_x000a_  &quot;ERP&quot;: &quot;5075.8578728&quot;,_x000a_  &quot;BenefitType&quot;: &quot;Charge&quot;,_x000a_  &quot;Name&quot;: &quot;test-monitoring-snapshot&quot;_x000a_}"/>
    <s v="Organization Name=PT Nawa Darsana Teknologi; Publisher=Microsoft; Publisher Customer ID=346fa229-7c19-44ef-85c6-29e00edf66cf; Unit Price=767.624; ERP=5075.8578728; BenefitType=Charge; Name=test-monitoring-snapshot"/>
    <n v="7"/>
    <n v="5075.854928064"/>
  </r>
  <r>
    <s v="May"/>
    <s v="Microsoft CSP Azure Plan"/>
    <s v="Divisi Inovasi"/>
    <s v="divisiinovasi.onmicrosoft.com"/>
    <s v="a4cdaa2e-caa7-440f-b849-928a3ceb7e31"/>
    <s v="AzureCSP_DivisiInovasi"/>
    <n v="1141685"/>
    <s v="Files"/>
    <x v="11"/>
    <x v="19"/>
    <s v="Protocol Operations"/>
    <d v="2026-05-01T00:00:00"/>
    <d v="2026-05-31T00:00:00"/>
    <n v="0.22939999999999999"/>
    <s v="10K"/>
    <s v="IDR"/>
    <s v="RG-Loyalty"/>
    <s v="rgloyalty806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.02872&quot;,_x000a_  &quot;ERP&quot;: &quot;6.0031686&quot;,_x000a_  &quot;BenefitType&quot;: &quot;Charge&quot;_x000a_}"/>
    <s v="Organization Name=PT Nawa Darsana Teknologi; Publisher=Microsoft; Publisher Customer ID=346fa229-7c19-44ef-85c6-29e00edf66cf; Unit Price=23.02872; ERP=6.0031686; BenefitType=Charge"/>
    <n v="6"/>
    <n v="6.002788368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2 v3/D2s v3"/>
    <d v="2026-05-01T00:00:00"/>
    <d v="2026-05-31T00:00:00"/>
    <n v="89.783559999999994"/>
    <s v="1 Hour"/>
    <s v="IDR"/>
    <s v="mc_rg-loyalty-prod_locksmith_southeastasia"/>
    <s v="aks-newagentpool-2203105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195795.49847&quot;,_x000a_  &quot;BenefitType&quot;: &quot;Charge&quot;,_x000a_  &quot;aks-managed-consolidated-additional-properties&quot;: &quot;a432e131-4c04-11f1-8cae-6277d8c8ca4f&quot;,_x000a_  &quot;aks-managed-creationSource&quot;: &quot;vmssclient-aks-newagentpool-22031053-vmss&quot;,_x000a_  &quot;aks-managed-enable-imds-restriction&quot;: &quot;False&quot;,_x000a_  &quot;aks-managed-kubeletIdentityClientID&quot;: &quot;d31d2c4f-e3b8-4665-b69b-b18c5ed27c30&quot;,_x000a_  &quot;aks-managed-operationID&quot;: &quot;61c861c4-cc71-476c-bdc8-423df1ba9c46&quot;,_x000a_  &quot;aks-managed-orchestrator&quot;: &quot;Kubernetes:1.33.10&quot;,_x000a_  &quot;aks-managed-poolName&quot;: &quot;newagentpool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195795.49847; BenefitType=Charge; aks-managed-consolidated-additional-properties=a432e131-4c04-11f1-8cae-6277d8c8ca4f; aks-managed-creationSource=vmssclient-aks-newagentpool-22031053-vmss; aks-managed-enable-imds-restriction=False; aks-managed-kubeletIdentityClientID=d31d2c4f-e3b8-4665-b69b-b18c5ed27c30; aks-managed-operationID=61c861c4-cc71-476c-bdc8-423df1ba9c46; aks-managed-orchestrator=Kubernetes:1.33.10; aks-managed-poolName=newagentpool; aks-managed-resourceNameSuffix=36864977.0; aks-managed-ssh-access=LocalUser; compute.aks.billing=linux"/>
    <n v="16"/>
    <n v="195795.49865359999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2 v3/D2s v3"/>
    <d v="2026-05-01T00:00:00"/>
    <d v="2026-05-31T00:00:00"/>
    <n v="162.95003"/>
    <s v="1 Hour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355353.2779225&quot;,_x000a_  &quot;BenefitType&quot;: &quot;Charge&quot;,_x000a_  &quot;aks-managed-consolidated-additional-properties&quot;: &quot;47dbf5f1-4c0a-11f1-ad6b-a26c3881ebea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94fb6e4a-1533-4ef7-ab97-16965dda6ad7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355353.2779225; BenefitType=Charge; aks-managed-consolidated-additional-properties=47dbf5f1-4c0a-11f1-ad6b-a26c3881ebea; aks-managed-creationSource=vmssclient-aks-systemeph-33281046-vmss; aks-managed-enable-imds-restriction=False; aks-managed-kubeletIdentityClientID=b2aa22d3-2063-4e90-a9df-47ffb8a7aae1; aks-managed-operationID=94fb6e4a-1533-4ef7-ab97-16965dda6ad7; aks-managed-orchestrator=Kubernetes:1.33.10; aks-managed-poolName=systemeph; aks-managed-resourceNameSuffix=11712142.0; aks-managed-ssh-access=LocalUser; compute.aks.billing=linux"/>
    <n v="16"/>
    <n v="355353.27457180002"/>
  </r>
  <r>
    <s v="May"/>
    <s v="Microsoft CSP Azure Plan"/>
    <s v="Divisi Inovasi"/>
    <s v="divisiinovasi.onmicrosoft.com"/>
    <s v="a4cdaa2e-caa7-440f-b849-928a3ceb7e31"/>
    <s v="AzureCSP_DivisiInovasi"/>
    <n v="1141685"/>
    <s v="Files"/>
    <x v="11"/>
    <x v="19"/>
    <s v="LRS Write Operations"/>
    <d v="2026-05-01T00:00:00"/>
    <d v="2026-05-31T00:00:00"/>
    <n v="0.78100000000000003"/>
    <s v="10K"/>
    <s v="IDR"/>
    <s v="RG-Loyalty-Prod"/>
    <s v="logicapp4str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0.2872&quot;,_x000a_  &quot;ERP&quot;: &quot;204.37989&quot;,_x000a_  &quot;BenefitType&quot;: &quot;Charge&quot;,_x000a_  &quot;Environment&quot;: &quot;Production&quot;,_x000a_  &quot;Name&quot;: &quot;Curl-api-report&quot;_x000a_}"/>
    <s v="Organization Name=PT Nawa Darsana Teknologi; Publisher=Microsoft; Publisher Customer ID=346fa229-7c19-44ef-85c6-29e00edf66cf; Unit Price=230.2872; ERP=204.37989; BenefitType=Charge; Environment=Production; Name=Curl-api-report"/>
    <n v="8"/>
    <n v="204.38430320000001"/>
  </r>
  <r>
    <s v="May"/>
    <s v="Microsoft CSP Azure Plan"/>
    <s v="Divisi Inovasi"/>
    <s v="divisiinovasi.onmicrosoft.com"/>
    <s v="a4cdaa2e-caa7-440f-b849-928a3ceb7e31"/>
    <s v="AzureCSP_DivisiInovasi"/>
    <n v="1141685"/>
    <s v="Dv3 Series VM"/>
    <x v="2"/>
    <x v="4"/>
    <s v="D2 v3/D2s v3"/>
    <d v="2026-05-01T00:00:00"/>
    <d v="2026-05-31T00:00:00"/>
    <n v="51"/>
    <s v="1 Hour"/>
    <s v="IDR"/>
    <s v="mc_rg-loyalty_lakeside_southeastasia"/>
    <s v="aks-systemeph-3328104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19.06&quot;,_x000a_  &quot;ERP&quot;: &quot;111218.25&quot;,_x000a_  &quot;BenefitType&quot;: &quot;Charge&quot;,_x000a_  &quot;aks-managed-consolidated-additional-properties&quot;: &quot;311f4bef-57da-11f1-a161-cad1f54d4175&quot;,_x000a_  &quot;aks-managed-creationSource&quot;: &quot;vmssclient-aks-systemeph-33281046-vmss&quot;,_x000a_  &quot;aks-managed-enable-imds-restriction&quot;: &quot;False&quot;,_x000a_  &quot;aks-managed-kubeletIdentityClientID&quot;: &quot;b2aa22d3-2063-4e90-a9df-47ffb8a7aae1&quot;,_x000a_  &quot;aks-managed-operationID&quot;: &quot;66280dcb-00f2-4eab-9577-0b3d0916004f&quot;,_x000a_  &quot;aks-managed-orchestrator&quot;: &quot;Kubernetes:1.33.10&quot;,_x000a_  &quot;aks-managed-poolName&quot;: &quot;systemeph&quot;,_x000a_  &quot;aks-managed-resourceNameSuffix&quot;: &quot;1171214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19.06; ERP=111218.25; BenefitType=Charge; aks-managed-consolidated-additional-properties=311f4bef-57da-11f1-a161-cad1f54d4175; aks-managed-creationSource=vmssclient-aks-systemeph-33281046-vmss; aks-managed-enable-imds-restriction=False; aks-managed-kubeletIdentityClientID=b2aa22d3-2063-4e90-a9df-47ffb8a7aae1; aks-managed-operationID=66280dcb-00f2-4eab-9577-0b3d0916004f; aks-managed-orchestrator=Kubernetes:1.33.10; aks-managed-poolName=systemeph; aks-managed-resourceNameSuffix=11712142.0; aks-managed-ssh-access=LocalUser; compute.aks.billing=linux"/>
    <n v="16"/>
    <n v="111218.25"/>
  </r>
  <r>
    <s v="May"/>
    <s v="Microsoft CSP Azure Plan"/>
    <s v="Divisi Inovasi"/>
    <s v="divisiinovasi.onmicrosoft.com"/>
    <s v="a4cdaa2e-caa7-440f-b849-928a3ceb7e31"/>
    <s v="AzureCSP_DivisiInovasi"/>
    <n v="1141685"/>
    <s v="General Block Blob v2"/>
    <x v="11"/>
    <x v="43"/>
    <s v="Hot ZRS Write Operations"/>
    <d v="2026-05-01T00:00:00"/>
    <d v="2026-05-31T00:00:00"/>
    <n v="0.15579999999999999"/>
    <s v="10K"/>
    <s v="IDR"/>
    <s v="RG-Loyalty"/>
    <s v="adx-dvlp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59.53&quot;,_x000a_  &quot;ERP&quot;: &quot;169.8804232554&quot;,_x000a_  &quot;BenefitType&quot;: &quot;Charge&quot;_x000a_}"/>
    <s v="Organization Name=PT Nawa Darsana Teknologi; Publisher=Microsoft; Publisher Customer ID=346fa229-7c19-44ef-85c6-29e00edf66cf; Unit Price=959.53; ERP=169.8804232554; BenefitType=Charge"/>
    <n v="6"/>
    <n v="169.88477399999999"/>
  </r>
  <r>
    <s v="May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4"/>
    <x v="44"/>
    <s v="vCore"/>
    <d v="2026-05-01T00:00:00"/>
    <d v="2026-05-31T00:00:00"/>
    <n v="5952"/>
    <s v="1 Hour"/>
    <s v="IDR"/>
    <s v="RG-Loyalty-Prod"/>
    <s v="m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34.72601568&quot;,_x000a_  &quot;ERP&quot;: &quot;10380328.687872&quot;,_x000a_  &quot;BenefitType&quot;: &quot;Charge&quot;_x000a_}"/>
    <s v="Organization Name=PT Nawa Darsana Teknologi; Publisher=Microsoft; Publisher Customer ID=346fa229-7c19-44ef-85c6-29e00edf66cf; Unit Price=1534.72601568; ERP=10380328.687872; BenefitType=Charge"/>
    <n v="6"/>
    <n v="10380328.685327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59D80-2CC8-4D80-9440-0C5F4C513B9C}" name="PivotTable3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9"/>
        <item x="17"/>
        <item x="18"/>
        <item x="12"/>
        <item x="5"/>
        <item x="3"/>
        <item x="8"/>
        <item x="1"/>
        <item x="14"/>
        <item x="15"/>
        <item x="6"/>
        <item x="7"/>
        <item x="9"/>
        <item x="13"/>
        <item x="10"/>
        <item x="16"/>
        <item x="4"/>
        <item x="11"/>
        <item x="2"/>
        <item x="0"/>
        <item t="default"/>
      </items>
    </pivotField>
    <pivotField axis="axisRow" showAll="0">
      <items count="46">
        <item x="38"/>
        <item x="32"/>
        <item x="39"/>
        <item x="35"/>
        <item x="17"/>
        <item x="8"/>
        <item x="6"/>
        <item x="11"/>
        <item x="34"/>
        <item x="1"/>
        <item x="15"/>
        <item x="29"/>
        <item x="19"/>
        <item x="43"/>
        <item x="40"/>
        <item x="12"/>
        <item x="30"/>
        <item x="9"/>
        <item x="10"/>
        <item x="16"/>
        <item x="23"/>
        <item x="13"/>
        <item x="22"/>
        <item x="27"/>
        <item x="37"/>
        <item x="14"/>
        <item x="3"/>
        <item x="31"/>
        <item x="33"/>
        <item x="36"/>
        <item x="7"/>
        <item x="44"/>
        <item x="24"/>
        <item x="25"/>
        <item x="42"/>
        <item x="18"/>
        <item x="26"/>
        <item x="28"/>
        <item x="41"/>
        <item x="21"/>
        <item x="20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2">
    <field x="8"/>
    <field x="9"/>
  </rowFields>
  <rowItems count="66">
    <i>
      <x/>
    </i>
    <i r="1">
      <x/>
    </i>
    <i>
      <x v="1"/>
    </i>
    <i r="1">
      <x v="1"/>
    </i>
    <i>
      <x v="2"/>
    </i>
    <i r="1">
      <x v="3"/>
    </i>
    <i>
      <x v="3"/>
    </i>
    <i r="1">
      <x v="4"/>
    </i>
    <i>
      <x v="4"/>
    </i>
    <i r="1">
      <x v="5"/>
    </i>
    <i>
      <x v="5"/>
    </i>
    <i r="1">
      <x v="6"/>
    </i>
    <i>
      <x v="6"/>
    </i>
    <i r="1">
      <x v="7"/>
    </i>
    <i>
      <x v="7"/>
    </i>
    <i r="1">
      <x v="9"/>
    </i>
    <i r="1">
      <x v="26"/>
    </i>
    <i>
      <x v="8"/>
    </i>
    <i r="1">
      <x v="11"/>
    </i>
    <i>
      <x v="9"/>
    </i>
    <i r="1">
      <x v="16"/>
    </i>
    <i>
      <x v="10"/>
    </i>
    <i r="1">
      <x v="17"/>
    </i>
    <i>
      <x v="11"/>
    </i>
    <i r="1">
      <x v="18"/>
    </i>
    <i>
      <x v="12"/>
    </i>
    <i r="1">
      <x v="19"/>
    </i>
    <i r="1">
      <x v="20"/>
    </i>
    <i r="1">
      <x v="21"/>
    </i>
    <i>
      <x v="13"/>
    </i>
    <i r="1">
      <x v="22"/>
    </i>
    <i>
      <x v="14"/>
    </i>
    <i r="1">
      <x v="8"/>
    </i>
    <i r="1">
      <x v="25"/>
    </i>
    <i>
      <x v="15"/>
    </i>
    <i r="1">
      <x v="27"/>
    </i>
    <i>
      <x v="16"/>
    </i>
    <i r="1">
      <x v="28"/>
    </i>
    <i r="1">
      <x v="29"/>
    </i>
    <i r="1">
      <x v="30"/>
    </i>
    <i r="1">
      <x v="31"/>
    </i>
    <i r="1">
      <x v="32"/>
    </i>
    <i r="1">
      <x v="33"/>
    </i>
    <i>
      <x v="17"/>
    </i>
    <i r="1">
      <x v="2"/>
    </i>
    <i r="1">
      <x v="10"/>
    </i>
    <i r="1">
      <x v="12"/>
    </i>
    <i r="1">
      <x v="13"/>
    </i>
    <i r="1">
      <x v="14"/>
    </i>
    <i r="1">
      <x v="23"/>
    </i>
    <i r="1">
      <x v="24"/>
    </i>
    <i r="1">
      <x v="34"/>
    </i>
    <i r="1">
      <x v="35"/>
    </i>
    <i r="1">
      <x v="36"/>
    </i>
    <i r="1">
      <x v="37"/>
    </i>
    <i>
      <x v="18"/>
    </i>
    <i r="1">
      <x v="38"/>
    </i>
    <i r="1">
      <x v="39"/>
    </i>
    <i r="1">
      <x v="40"/>
    </i>
    <i r="1">
      <x v="41"/>
    </i>
    <i r="1">
      <x v="42"/>
    </i>
    <i>
      <x v="19"/>
    </i>
    <i r="1">
      <x v="15"/>
    </i>
    <i r="1">
      <x v="43"/>
    </i>
    <i r="1">
      <x v="44"/>
    </i>
    <i t="grand">
      <x/>
    </i>
  </rowItems>
  <colItems count="1">
    <i/>
  </colItems>
  <dataFields count="1">
    <dataField name="Sum of Total" fld="2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L4" sqref="L4"/>
    </sheetView>
  </sheetViews>
  <sheetFormatPr defaultRowHeight="15" x14ac:dyDescent="0.25"/>
  <cols>
    <col min="2" max="2" width="15.5703125" bestFit="1" customWidth="1"/>
    <col min="3" max="3" width="16.5703125" bestFit="1" customWidth="1"/>
    <col min="4" max="4" width="15.5703125" bestFit="1" customWidth="1"/>
    <col min="5" max="6" width="16.5703125" bestFit="1" customWidth="1"/>
    <col min="7" max="8" width="15.5703125" bestFit="1" customWidth="1"/>
    <col min="9" max="10" width="16.5703125" bestFit="1" customWidth="1"/>
    <col min="11" max="11" width="20.85546875" customWidth="1"/>
    <col min="12" max="12" width="18.7109375" customWidth="1"/>
    <col min="13" max="13" width="15" bestFit="1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3873</v>
      </c>
      <c r="F1" t="s">
        <v>3</v>
      </c>
      <c r="G1" t="s">
        <v>4</v>
      </c>
      <c r="H1" t="s">
        <v>3874</v>
      </c>
      <c r="I1" t="s">
        <v>5</v>
      </c>
      <c r="J1" t="s">
        <v>6</v>
      </c>
      <c r="K1" t="s">
        <v>3875</v>
      </c>
    </row>
    <row r="2" spans="1:12" x14ac:dyDescent="0.25">
      <c r="A2" t="s">
        <v>7</v>
      </c>
      <c r="B2" s="2">
        <f>SUM(Detail_CDN!X2:X50000)</f>
        <v>0</v>
      </c>
      <c r="C2" s="2">
        <f>SUM(Detail_HPM!X2:X50000)</f>
        <v>0</v>
      </c>
      <c r="D2" s="2">
        <f>SUM(Detail_ITC!X2:X50000)</f>
        <v>0</v>
      </c>
      <c r="E2" s="2">
        <f>SUM(Detail_Shared!X2:X50000)</f>
        <v>0</v>
      </c>
      <c r="F2" s="2">
        <f>SUM(Detail_MSK!X2:X50000)</f>
        <v>0</v>
      </c>
      <c r="G2" s="2">
        <f>SUM(Detail_TDM!X2:X50000)</f>
        <v>0</v>
      </c>
      <c r="H2" s="2">
        <f>SUM(Detail_Sinsen!X2:X50000)</f>
        <v>0</v>
      </c>
      <c r="I2" s="2">
        <f>SUM(Detail_TRIO!X2:X50000)</f>
        <v>0</v>
      </c>
      <c r="J2" s="2">
        <f>SUM(Detail_Anper!X2:X50000)</f>
        <v>0</v>
      </c>
      <c r="K2" s="2">
        <f>SUM(Detail_MenaraAgung!X2:X50000)</f>
        <v>0</v>
      </c>
      <c r="L2" s="3">
        <f>SUM(B2:K2)</f>
        <v>0</v>
      </c>
    </row>
    <row r="3" spans="1:12" x14ac:dyDescent="0.25">
      <c r="A3" t="s">
        <v>8</v>
      </c>
      <c r="B3" s="2">
        <f>SUM(Detail_CDN!W2:W50000)</f>
        <v>29137509.648508959</v>
      </c>
      <c r="C3" s="2">
        <f>SUM(Detail_HPM!W2:W50000)</f>
        <v>19604596.21609823</v>
      </c>
      <c r="D3" s="2">
        <f>SUM(Detail_ITC!W2:W50000)</f>
        <v>19340848.088888273</v>
      </c>
      <c r="E3" s="2">
        <f>SUM(Detail_Shared!W2:W50000)</f>
        <v>73374531.514976189</v>
      </c>
      <c r="F3" s="2">
        <f>SUM(Detail_MSK!W2:W50000)</f>
        <v>18166394.244007532</v>
      </c>
      <c r="G3" s="2">
        <f>SUM(Detail_TDM!W2:W50000)</f>
        <v>20497324.430932004</v>
      </c>
      <c r="H3" s="2">
        <f>SUM(Detail_Sinsen!W2:W50000)</f>
        <v>22195145.591670886</v>
      </c>
      <c r="I3" s="2">
        <f>SUM(Detail_TRIO!W2:W50000)</f>
        <v>22999194.662554991</v>
      </c>
      <c r="J3" s="2">
        <f>SUM(Detail_Anper!W2:W50000)</f>
        <v>18960517.041961569</v>
      </c>
      <c r="K3" s="2">
        <f>SUM(Detail_MenaraAgung!W2:W50000)</f>
        <v>19080852.933505766</v>
      </c>
      <c r="L3" s="3">
        <f>SUM(B3:K3)</f>
        <v>263356914.37310442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17"/>
  <sheetViews>
    <sheetView workbookViewId="0">
      <selection sqref="A1:W317"/>
    </sheetView>
  </sheetViews>
  <sheetFormatPr defaultRowHeight="15" x14ac:dyDescent="0.25"/>
  <cols>
    <col min="23" max="23" width="15.5703125" bestFit="1" customWidth="1"/>
  </cols>
  <sheetData>
    <row r="1" spans="1:2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9</v>
      </c>
      <c r="S1" t="s">
        <v>27</v>
      </c>
      <c r="T1" t="s">
        <v>28</v>
      </c>
      <c r="U1" t="s">
        <v>29</v>
      </c>
      <c r="V1" t="s">
        <v>30</v>
      </c>
      <c r="W1" t="s">
        <v>8</v>
      </c>
    </row>
    <row r="2" spans="1:23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1141685</v>
      </c>
      <c r="H2" t="s">
        <v>75</v>
      </c>
      <c r="I2" t="s">
        <v>94</v>
      </c>
      <c r="J2" t="s">
        <v>98</v>
      </c>
      <c r="K2" t="s">
        <v>108</v>
      </c>
      <c r="L2" s="1">
        <v>46143</v>
      </c>
      <c r="M2" s="1">
        <v>46173</v>
      </c>
      <c r="N2">
        <v>7.7821913199999995E-2</v>
      </c>
      <c r="O2" t="s">
        <v>56</v>
      </c>
      <c r="P2" t="s">
        <v>63</v>
      </c>
      <c r="Q2" t="s">
        <v>136</v>
      </c>
      <c r="R2" t="s">
        <v>140</v>
      </c>
      <c r="S2" t="s">
        <v>67</v>
      </c>
      <c r="T2" t="s">
        <v>169</v>
      </c>
      <c r="U2" t="s">
        <v>324</v>
      </c>
      <c r="V2">
        <v>16</v>
      </c>
      <c r="W2" s="2">
        <v>162.92112386970001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1141685</v>
      </c>
      <c r="H3" t="s">
        <v>76</v>
      </c>
      <c r="I3" t="s">
        <v>95</v>
      </c>
      <c r="J3" t="s">
        <v>99</v>
      </c>
      <c r="K3" t="s">
        <v>109</v>
      </c>
      <c r="L3" s="1">
        <v>46143</v>
      </c>
      <c r="M3" s="1">
        <v>46173</v>
      </c>
      <c r="N3">
        <v>1</v>
      </c>
      <c r="O3" t="s">
        <v>58</v>
      </c>
      <c r="P3" t="s">
        <v>63</v>
      </c>
      <c r="Q3" t="s">
        <v>137</v>
      </c>
      <c r="R3" t="s">
        <v>140</v>
      </c>
      <c r="S3" t="s">
        <v>67</v>
      </c>
      <c r="T3" t="s">
        <v>170</v>
      </c>
      <c r="U3" t="s">
        <v>325</v>
      </c>
      <c r="V3">
        <v>16</v>
      </c>
      <c r="W3" s="2">
        <v>0</v>
      </c>
    </row>
    <row r="4" spans="1:2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1141685</v>
      </c>
      <c r="H4" t="s">
        <v>76</v>
      </c>
      <c r="I4" t="s">
        <v>95</v>
      </c>
      <c r="J4" t="s">
        <v>99</v>
      </c>
      <c r="K4" t="s">
        <v>109</v>
      </c>
      <c r="L4" s="1">
        <v>46143</v>
      </c>
      <c r="M4" s="1">
        <v>46173</v>
      </c>
      <c r="N4">
        <v>21.134262</v>
      </c>
      <c r="O4" t="s">
        <v>58</v>
      </c>
      <c r="P4" t="s">
        <v>63</v>
      </c>
      <c r="Q4" t="s">
        <v>137</v>
      </c>
      <c r="R4" t="s">
        <v>140</v>
      </c>
      <c r="S4" t="s">
        <v>67</v>
      </c>
      <c r="T4" t="s">
        <v>170</v>
      </c>
      <c r="U4" t="s">
        <v>325</v>
      </c>
      <c r="V4">
        <v>16</v>
      </c>
      <c r="W4" s="2">
        <v>0</v>
      </c>
    </row>
    <row r="5" spans="1:23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1141685</v>
      </c>
      <c r="H5" t="s">
        <v>76</v>
      </c>
      <c r="I5" t="s">
        <v>95</v>
      </c>
      <c r="J5" t="s">
        <v>99</v>
      </c>
      <c r="K5" t="s">
        <v>109</v>
      </c>
      <c r="L5" s="1">
        <v>46143</v>
      </c>
      <c r="M5" s="1">
        <v>46173</v>
      </c>
      <c r="N5">
        <v>0.18312500000000001</v>
      </c>
      <c r="O5" t="s">
        <v>58</v>
      </c>
      <c r="P5" t="s">
        <v>63</v>
      </c>
      <c r="Q5" t="s">
        <v>137</v>
      </c>
      <c r="R5" t="s">
        <v>140</v>
      </c>
      <c r="S5" t="s">
        <v>67</v>
      </c>
      <c r="T5" t="s">
        <v>170</v>
      </c>
      <c r="U5" t="s">
        <v>325</v>
      </c>
      <c r="V5">
        <v>16</v>
      </c>
      <c r="W5" s="2">
        <v>0</v>
      </c>
    </row>
    <row r="6" spans="1:23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1141685</v>
      </c>
      <c r="H6" t="s">
        <v>76</v>
      </c>
      <c r="I6" t="s">
        <v>95</v>
      </c>
      <c r="J6" t="s">
        <v>99</v>
      </c>
      <c r="K6" t="s">
        <v>109</v>
      </c>
      <c r="L6" s="1">
        <v>46143</v>
      </c>
      <c r="M6" s="1">
        <v>46173</v>
      </c>
      <c r="N6">
        <v>1.7332270000000001</v>
      </c>
      <c r="O6" t="s">
        <v>58</v>
      </c>
      <c r="P6" t="s">
        <v>63</v>
      </c>
      <c r="Q6" t="s">
        <v>137</v>
      </c>
      <c r="R6" t="s">
        <v>140</v>
      </c>
      <c r="S6" t="s">
        <v>67</v>
      </c>
      <c r="T6" t="s">
        <v>170</v>
      </c>
      <c r="U6" t="s">
        <v>325</v>
      </c>
      <c r="V6">
        <v>16</v>
      </c>
      <c r="W6" s="2">
        <v>0</v>
      </c>
    </row>
    <row r="7" spans="1:23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1141685</v>
      </c>
      <c r="H7" t="s">
        <v>76</v>
      </c>
      <c r="I7" t="s">
        <v>95</v>
      </c>
      <c r="J7" t="s">
        <v>99</v>
      </c>
      <c r="K7" t="s">
        <v>109</v>
      </c>
      <c r="L7" s="1">
        <v>46143</v>
      </c>
      <c r="M7" s="1">
        <v>46173</v>
      </c>
      <c r="N7">
        <v>0.53348600000000002</v>
      </c>
      <c r="O7" t="s">
        <v>58</v>
      </c>
      <c r="P7" t="s">
        <v>63</v>
      </c>
      <c r="Q7" t="s">
        <v>137</v>
      </c>
      <c r="R7" t="s">
        <v>140</v>
      </c>
      <c r="S7" t="s">
        <v>67</v>
      </c>
      <c r="T7" t="s">
        <v>170</v>
      </c>
      <c r="U7" t="s">
        <v>325</v>
      </c>
      <c r="V7">
        <v>16</v>
      </c>
      <c r="W7" s="2">
        <v>0</v>
      </c>
    </row>
    <row r="8" spans="1:23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1141685</v>
      </c>
      <c r="H8" t="s">
        <v>76</v>
      </c>
      <c r="I8" t="s">
        <v>95</v>
      </c>
      <c r="J8" t="s">
        <v>99</v>
      </c>
      <c r="K8" t="s">
        <v>109</v>
      </c>
      <c r="L8" s="1">
        <v>46143</v>
      </c>
      <c r="M8" s="1">
        <v>46173</v>
      </c>
      <c r="N8">
        <v>0.16647000000000001</v>
      </c>
      <c r="O8" t="s">
        <v>58</v>
      </c>
      <c r="P8" t="s">
        <v>63</v>
      </c>
      <c r="Q8" t="s">
        <v>137</v>
      </c>
      <c r="R8" t="s">
        <v>141</v>
      </c>
      <c r="S8" t="s">
        <v>67</v>
      </c>
      <c r="T8" t="s">
        <v>171</v>
      </c>
      <c r="U8" t="s">
        <v>326</v>
      </c>
      <c r="V8">
        <v>16</v>
      </c>
      <c r="W8" s="2">
        <v>0</v>
      </c>
    </row>
    <row r="9" spans="1:23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1141685</v>
      </c>
      <c r="H9" t="s">
        <v>76</v>
      </c>
      <c r="I9" t="s">
        <v>95</v>
      </c>
      <c r="J9" t="s">
        <v>99</v>
      </c>
      <c r="K9" t="s">
        <v>109</v>
      </c>
      <c r="L9" s="1">
        <v>46143</v>
      </c>
      <c r="M9" s="1">
        <v>46173</v>
      </c>
      <c r="N9">
        <v>0.13353799999999999</v>
      </c>
      <c r="O9" t="s">
        <v>58</v>
      </c>
      <c r="P9" t="s">
        <v>63</v>
      </c>
      <c r="Q9" t="s">
        <v>137</v>
      </c>
      <c r="R9" t="s">
        <v>140</v>
      </c>
      <c r="S9" t="s">
        <v>67</v>
      </c>
      <c r="T9" t="s">
        <v>170</v>
      </c>
      <c r="U9" t="s">
        <v>325</v>
      </c>
      <c r="V9">
        <v>16</v>
      </c>
      <c r="W9" s="2">
        <v>0</v>
      </c>
    </row>
    <row r="10" spans="1:23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1141685</v>
      </c>
      <c r="H10" t="s">
        <v>76</v>
      </c>
      <c r="I10" t="s">
        <v>95</v>
      </c>
      <c r="J10" t="s">
        <v>99</v>
      </c>
      <c r="K10" t="s">
        <v>109</v>
      </c>
      <c r="L10" s="1">
        <v>46143</v>
      </c>
      <c r="M10" s="1">
        <v>46173</v>
      </c>
      <c r="N10">
        <v>37.816996000000003</v>
      </c>
      <c r="O10" t="s">
        <v>58</v>
      </c>
      <c r="P10" t="s">
        <v>63</v>
      </c>
      <c r="Q10" t="s">
        <v>137</v>
      </c>
      <c r="R10" t="s">
        <v>140</v>
      </c>
      <c r="S10" t="s">
        <v>67</v>
      </c>
      <c r="T10" t="s">
        <v>170</v>
      </c>
      <c r="U10" t="s">
        <v>325</v>
      </c>
      <c r="V10">
        <v>16</v>
      </c>
      <c r="W10" s="2">
        <v>0</v>
      </c>
    </row>
    <row r="11" spans="1:23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1141685</v>
      </c>
      <c r="H11" t="s">
        <v>77</v>
      </c>
      <c r="I11" t="s">
        <v>96</v>
      </c>
      <c r="J11" t="s">
        <v>77</v>
      </c>
      <c r="K11" t="s">
        <v>110</v>
      </c>
      <c r="L11" s="1">
        <v>46143</v>
      </c>
      <c r="M11" s="1">
        <v>46173</v>
      </c>
      <c r="N11">
        <v>744</v>
      </c>
      <c r="O11" t="s">
        <v>58</v>
      </c>
      <c r="P11" t="s">
        <v>63</v>
      </c>
      <c r="Q11" t="s">
        <v>138</v>
      </c>
      <c r="R11" t="s">
        <v>142</v>
      </c>
      <c r="S11" t="s">
        <v>67</v>
      </c>
      <c r="T11" t="s">
        <v>172</v>
      </c>
      <c r="U11" t="s">
        <v>327</v>
      </c>
      <c r="V11">
        <v>7</v>
      </c>
      <c r="W11" s="2">
        <v>129798.2412</v>
      </c>
    </row>
    <row r="12" spans="1:23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1141685</v>
      </c>
      <c r="H12" t="s">
        <v>77</v>
      </c>
      <c r="I12" t="s">
        <v>96</v>
      </c>
      <c r="J12" t="s">
        <v>77</v>
      </c>
      <c r="K12" t="s">
        <v>110</v>
      </c>
      <c r="L12" s="1">
        <v>46143</v>
      </c>
      <c r="M12" s="1">
        <v>46173</v>
      </c>
      <c r="N12">
        <v>744</v>
      </c>
      <c r="O12" t="s">
        <v>58</v>
      </c>
      <c r="P12" t="s">
        <v>63</v>
      </c>
      <c r="Q12" t="s">
        <v>138</v>
      </c>
      <c r="R12" t="s">
        <v>143</v>
      </c>
      <c r="S12" t="s">
        <v>67</v>
      </c>
      <c r="T12" t="s">
        <v>173</v>
      </c>
      <c r="U12" t="s">
        <v>328</v>
      </c>
      <c r="V12">
        <v>7</v>
      </c>
      <c r="W12" s="2">
        <v>129798.2412</v>
      </c>
    </row>
    <row r="13" spans="1:23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1141685</v>
      </c>
      <c r="H13" t="s">
        <v>76</v>
      </c>
      <c r="I13" t="s">
        <v>95</v>
      </c>
      <c r="J13" t="s">
        <v>99</v>
      </c>
      <c r="K13" t="s">
        <v>109</v>
      </c>
      <c r="L13" s="1">
        <v>46143</v>
      </c>
      <c r="M13" s="1">
        <v>46173</v>
      </c>
      <c r="N13">
        <v>4.6002890000000001</v>
      </c>
      <c r="O13" t="s">
        <v>58</v>
      </c>
      <c r="P13" t="s">
        <v>63</v>
      </c>
      <c r="Q13" t="s">
        <v>137</v>
      </c>
      <c r="R13" t="s">
        <v>140</v>
      </c>
      <c r="S13" t="s">
        <v>67</v>
      </c>
      <c r="T13" t="s">
        <v>170</v>
      </c>
      <c r="U13" t="s">
        <v>325</v>
      </c>
      <c r="V13">
        <v>16</v>
      </c>
      <c r="W13" s="2">
        <v>0</v>
      </c>
    </row>
    <row r="14" spans="1:23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1141685</v>
      </c>
      <c r="H14" t="s">
        <v>38</v>
      </c>
      <c r="I14" t="s">
        <v>38</v>
      </c>
      <c r="J14" t="s">
        <v>38</v>
      </c>
      <c r="K14" t="s">
        <v>55</v>
      </c>
      <c r="L14" s="1">
        <v>46143</v>
      </c>
      <c r="M14" s="1">
        <v>46173</v>
      </c>
      <c r="N14">
        <v>2580</v>
      </c>
      <c r="O14" t="s">
        <v>61</v>
      </c>
      <c r="P14" t="s">
        <v>63</v>
      </c>
      <c r="Q14" t="s">
        <v>139</v>
      </c>
      <c r="R14" t="s">
        <v>144</v>
      </c>
      <c r="S14" t="s">
        <v>66</v>
      </c>
      <c r="T14" t="s">
        <v>174</v>
      </c>
      <c r="U14" t="s">
        <v>329</v>
      </c>
      <c r="V14">
        <v>6</v>
      </c>
      <c r="W14" s="2">
        <v>6571.5621664</v>
      </c>
    </row>
    <row r="15" spans="1:23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1141685</v>
      </c>
      <c r="H15" t="s">
        <v>77</v>
      </c>
      <c r="I15" t="s">
        <v>96</v>
      </c>
      <c r="J15" t="s">
        <v>77</v>
      </c>
      <c r="K15" t="s">
        <v>111</v>
      </c>
      <c r="L15" s="1">
        <v>46143</v>
      </c>
      <c r="M15" s="1">
        <v>46173</v>
      </c>
      <c r="N15">
        <v>11.2130738413</v>
      </c>
      <c r="O15" t="s">
        <v>56</v>
      </c>
      <c r="P15" t="s">
        <v>63</v>
      </c>
      <c r="Q15" t="s">
        <v>136</v>
      </c>
      <c r="R15" t="s">
        <v>141</v>
      </c>
      <c r="S15" t="s">
        <v>67</v>
      </c>
      <c r="T15" t="s">
        <v>175</v>
      </c>
      <c r="U15" t="s">
        <v>330</v>
      </c>
      <c r="V15">
        <v>16</v>
      </c>
      <c r="W15" s="2">
        <v>1956.234918868</v>
      </c>
    </row>
    <row r="16" spans="1:23" x14ac:dyDescent="0.25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1141685</v>
      </c>
      <c r="H16" t="s">
        <v>75</v>
      </c>
      <c r="I16" t="s">
        <v>94</v>
      </c>
      <c r="J16" t="s">
        <v>98</v>
      </c>
      <c r="K16" t="s">
        <v>108</v>
      </c>
      <c r="L16" s="1">
        <v>46143</v>
      </c>
      <c r="M16" s="1">
        <v>46173</v>
      </c>
      <c r="N16">
        <v>0.15511349399999999</v>
      </c>
      <c r="O16" t="s">
        <v>56</v>
      </c>
      <c r="P16" t="s">
        <v>63</v>
      </c>
      <c r="Q16" t="s">
        <v>136</v>
      </c>
      <c r="R16" t="s">
        <v>140</v>
      </c>
      <c r="S16" t="s">
        <v>67</v>
      </c>
      <c r="T16" t="s">
        <v>176</v>
      </c>
      <c r="U16" t="s">
        <v>331</v>
      </c>
      <c r="V16">
        <v>15</v>
      </c>
      <c r="W16" s="2">
        <v>292.4968117473</v>
      </c>
    </row>
    <row r="17" spans="1:23" x14ac:dyDescent="0.25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1141685</v>
      </c>
      <c r="H17" t="s">
        <v>75</v>
      </c>
      <c r="I17" t="s">
        <v>94</v>
      </c>
      <c r="J17" t="s">
        <v>98</v>
      </c>
      <c r="K17" t="s">
        <v>108</v>
      </c>
      <c r="L17" s="1">
        <v>46143</v>
      </c>
      <c r="M17" s="1">
        <v>46173</v>
      </c>
      <c r="N17">
        <v>1.1278549000000001E-3</v>
      </c>
      <c r="O17" t="s">
        <v>56</v>
      </c>
      <c r="P17" t="s">
        <v>63</v>
      </c>
      <c r="Q17" t="s">
        <v>136</v>
      </c>
      <c r="R17" t="s">
        <v>140</v>
      </c>
      <c r="S17" t="s">
        <v>67</v>
      </c>
      <c r="T17" t="s">
        <v>177</v>
      </c>
      <c r="U17" t="s">
        <v>332</v>
      </c>
      <c r="V17">
        <v>16</v>
      </c>
      <c r="W17" s="2">
        <v>2.3578444139000001</v>
      </c>
    </row>
    <row r="18" spans="1:23" x14ac:dyDescent="0.2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1141685</v>
      </c>
      <c r="H18" t="s">
        <v>78</v>
      </c>
      <c r="I18" t="s">
        <v>96</v>
      </c>
      <c r="J18" t="s">
        <v>100</v>
      </c>
      <c r="K18" t="s">
        <v>112</v>
      </c>
      <c r="L18" s="1">
        <v>46143</v>
      </c>
      <c r="M18" s="1">
        <v>46173</v>
      </c>
      <c r="N18">
        <v>744</v>
      </c>
      <c r="O18" t="s">
        <v>58</v>
      </c>
      <c r="P18" t="s">
        <v>63</v>
      </c>
      <c r="Q18" t="s">
        <v>136</v>
      </c>
      <c r="R18" t="s">
        <v>145</v>
      </c>
      <c r="S18" t="s">
        <v>67</v>
      </c>
      <c r="T18" t="s">
        <v>178</v>
      </c>
      <c r="U18" t="s">
        <v>333</v>
      </c>
      <c r="V18">
        <v>13</v>
      </c>
      <c r="W18" s="2">
        <v>64899.115599999997</v>
      </c>
    </row>
    <row r="19" spans="1:23" x14ac:dyDescent="0.2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1141685</v>
      </c>
      <c r="H19" t="s">
        <v>77</v>
      </c>
      <c r="I19" t="s">
        <v>96</v>
      </c>
      <c r="J19" t="s">
        <v>77</v>
      </c>
      <c r="K19" t="s">
        <v>113</v>
      </c>
      <c r="L19" s="1">
        <v>46143</v>
      </c>
      <c r="M19" s="1">
        <v>46173</v>
      </c>
      <c r="N19">
        <v>806.44616370000006</v>
      </c>
      <c r="O19" t="s">
        <v>56</v>
      </c>
      <c r="P19" t="s">
        <v>63</v>
      </c>
      <c r="Q19" t="s">
        <v>136</v>
      </c>
      <c r="R19" t="s">
        <v>140</v>
      </c>
      <c r="S19" t="s">
        <v>67</v>
      </c>
      <c r="T19" t="s">
        <v>179</v>
      </c>
      <c r="U19" t="s">
        <v>334</v>
      </c>
      <c r="V19">
        <v>16</v>
      </c>
      <c r="W19" s="2">
        <v>140692.59599280401</v>
      </c>
    </row>
    <row r="20" spans="1:23" x14ac:dyDescent="0.25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1141685</v>
      </c>
      <c r="H20" t="s">
        <v>79</v>
      </c>
      <c r="I20" t="s">
        <v>94</v>
      </c>
      <c r="J20" t="s">
        <v>101</v>
      </c>
      <c r="K20" t="s">
        <v>114</v>
      </c>
      <c r="L20" s="1">
        <v>46143</v>
      </c>
      <c r="M20" s="1">
        <v>46173</v>
      </c>
      <c r="N20">
        <v>7.3236888000000003E-3</v>
      </c>
      <c r="O20" t="s">
        <v>56</v>
      </c>
      <c r="P20" t="s">
        <v>63</v>
      </c>
      <c r="Q20" t="s">
        <v>136</v>
      </c>
      <c r="R20" t="s">
        <v>140</v>
      </c>
      <c r="S20" t="s">
        <v>67</v>
      </c>
      <c r="T20" t="s">
        <v>180</v>
      </c>
      <c r="U20" t="s">
        <v>335</v>
      </c>
      <c r="V20">
        <v>16</v>
      </c>
      <c r="W20" s="2">
        <v>10.2249428995</v>
      </c>
    </row>
    <row r="21" spans="1:23" x14ac:dyDescent="0.2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1141685</v>
      </c>
      <c r="H21" t="s">
        <v>77</v>
      </c>
      <c r="I21" t="s">
        <v>96</v>
      </c>
      <c r="J21" t="s">
        <v>77</v>
      </c>
      <c r="K21" t="s">
        <v>113</v>
      </c>
      <c r="L21" s="1">
        <v>46143</v>
      </c>
      <c r="M21" s="1">
        <v>46173</v>
      </c>
      <c r="N21">
        <v>60.775447736499999</v>
      </c>
      <c r="O21" t="s">
        <v>56</v>
      </c>
      <c r="P21" t="s">
        <v>63</v>
      </c>
      <c r="Q21" t="s">
        <v>136</v>
      </c>
      <c r="R21" t="s">
        <v>141</v>
      </c>
      <c r="S21" t="s">
        <v>67</v>
      </c>
      <c r="T21" t="s">
        <v>181</v>
      </c>
      <c r="U21" t="s">
        <v>336</v>
      </c>
      <c r="V21">
        <v>16</v>
      </c>
      <c r="W21" s="2">
        <v>10602.8884586557</v>
      </c>
    </row>
    <row r="22" spans="1:23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1141685</v>
      </c>
      <c r="H22" t="s">
        <v>80</v>
      </c>
      <c r="I22" t="s">
        <v>96</v>
      </c>
      <c r="J22" t="s">
        <v>80</v>
      </c>
      <c r="K22" t="s">
        <v>115</v>
      </c>
      <c r="L22" s="1">
        <v>46143</v>
      </c>
      <c r="M22" s="1">
        <v>46173</v>
      </c>
      <c r="N22">
        <v>2.7201185729000001</v>
      </c>
      <c r="O22" t="s">
        <v>56</v>
      </c>
      <c r="P22" t="s">
        <v>63</v>
      </c>
      <c r="Q22" t="s">
        <v>136</v>
      </c>
      <c r="R22" t="s">
        <v>140</v>
      </c>
      <c r="S22" t="s">
        <v>67</v>
      </c>
      <c r="T22" t="s">
        <v>182</v>
      </c>
      <c r="U22" t="s">
        <v>337</v>
      </c>
      <c r="V22">
        <v>16</v>
      </c>
      <c r="W22" s="2">
        <v>474.55565988429998</v>
      </c>
    </row>
    <row r="23" spans="1:23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1141685</v>
      </c>
      <c r="H23" t="s">
        <v>79</v>
      </c>
      <c r="I23" t="s">
        <v>94</v>
      </c>
      <c r="J23" t="s">
        <v>101</v>
      </c>
      <c r="K23" t="s">
        <v>114</v>
      </c>
      <c r="L23" s="1">
        <v>46143</v>
      </c>
      <c r="M23" s="1">
        <v>46173</v>
      </c>
      <c r="N23">
        <v>4.3443399999999998E-5</v>
      </c>
      <c r="O23" t="s">
        <v>56</v>
      </c>
      <c r="P23" t="s">
        <v>63</v>
      </c>
      <c r="Q23" t="s">
        <v>136</v>
      </c>
      <c r="R23" t="s">
        <v>140</v>
      </c>
      <c r="S23" t="s">
        <v>67</v>
      </c>
      <c r="T23" t="s">
        <v>183</v>
      </c>
      <c r="U23" t="s">
        <v>338</v>
      </c>
      <c r="V23">
        <v>16</v>
      </c>
      <c r="W23" s="2">
        <v>6.3357119399999995E-2</v>
      </c>
    </row>
    <row r="24" spans="1:23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1141685</v>
      </c>
      <c r="H24" t="s">
        <v>77</v>
      </c>
      <c r="I24" t="s">
        <v>96</v>
      </c>
      <c r="J24" t="s">
        <v>77</v>
      </c>
      <c r="K24" t="s">
        <v>113</v>
      </c>
      <c r="L24" s="1">
        <v>46143</v>
      </c>
      <c r="M24" s="1">
        <v>46173</v>
      </c>
      <c r="N24">
        <v>4.9654769999999998E-4</v>
      </c>
      <c r="O24" t="s">
        <v>56</v>
      </c>
      <c r="P24" t="s">
        <v>63</v>
      </c>
      <c r="Q24" t="s">
        <v>136</v>
      </c>
      <c r="R24" t="s">
        <v>140</v>
      </c>
      <c r="S24" t="s">
        <v>67</v>
      </c>
      <c r="T24" t="s">
        <v>184</v>
      </c>
      <c r="U24" t="s">
        <v>339</v>
      </c>
      <c r="V24">
        <v>16</v>
      </c>
      <c r="W24" s="2">
        <v>8.6232381499999997E-2</v>
      </c>
    </row>
    <row r="25" spans="1:23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1141685</v>
      </c>
      <c r="H25" t="s">
        <v>79</v>
      </c>
      <c r="I25" t="s">
        <v>94</v>
      </c>
      <c r="J25" t="s">
        <v>101</v>
      </c>
      <c r="K25" t="s">
        <v>116</v>
      </c>
      <c r="L25" s="1">
        <v>46143</v>
      </c>
      <c r="M25" s="1">
        <v>46173</v>
      </c>
      <c r="N25">
        <v>8.0770781299999997E-2</v>
      </c>
      <c r="O25" t="s">
        <v>56</v>
      </c>
      <c r="P25" t="s">
        <v>63</v>
      </c>
      <c r="Q25" t="s">
        <v>136</v>
      </c>
      <c r="R25" t="s">
        <v>141</v>
      </c>
      <c r="S25" t="s">
        <v>67</v>
      </c>
      <c r="T25" t="s">
        <v>185</v>
      </c>
      <c r="U25" t="s">
        <v>340</v>
      </c>
      <c r="V25">
        <v>15</v>
      </c>
      <c r="W25" s="2">
        <v>93.583389278500007</v>
      </c>
    </row>
    <row r="26" spans="1:23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1141685</v>
      </c>
      <c r="H26" t="s">
        <v>79</v>
      </c>
      <c r="I26" t="s">
        <v>94</v>
      </c>
      <c r="J26" t="s">
        <v>101</v>
      </c>
      <c r="K26" t="s">
        <v>116</v>
      </c>
      <c r="L26" s="1">
        <v>46143</v>
      </c>
      <c r="M26" s="1">
        <v>46173</v>
      </c>
      <c r="N26">
        <v>6.0444700000000001E-5</v>
      </c>
      <c r="O26" t="s">
        <v>56</v>
      </c>
      <c r="P26" t="s">
        <v>63</v>
      </c>
      <c r="Q26" t="s">
        <v>136</v>
      </c>
      <c r="R26" t="s">
        <v>141</v>
      </c>
      <c r="S26" t="s">
        <v>67</v>
      </c>
      <c r="T26" t="s">
        <v>186</v>
      </c>
      <c r="U26" t="s">
        <v>341</v>
      </c>
      <c r="V26">
        <v>16</v>
      </c>
      <c r="W26" s="2">
        <v>8.4238080899999998E-2</v>
      </c>
    </row>
    <row r="27" spans="1:23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1141685</v>
      </c>
      <c r="H27" t="s">
        <v>81</v>
      </c>
      <c r="I27" t="s">
        <v>97</v>
      </c>
      <c r="J27" t="s">
        <v>102</v>
      </c>
      <c r="K27" t="s">
        <v>117</v>
      </c>
      <c r="L27" s="1">
        <v>46143</v>
      </c>
      <c r="M27" s="1">
        <v>46173</v>
      </c>
      <c r="N27">
        <v>8</v>
      </c>
      <c r="O27" t="s">
        <v>58</v>
      </c>
      <c r="P27" t="s">
        <v>63</v>
      </c>
      <c r="Q27" t="s">
        <v>139</v>
      </c>
      <c r="R27" t="s">
        <v>146</v>
      </c>
      <c r="S27" t="s">
        <v>67</v>
      </c>
      <c r="T27" t="s">
        <v>187</v>
      </c>
      <c r="U27" t="s">
        <v>342</v>
      </c>
      <c r="V27">
        <v>9</v>
      </c>
      <c r="W27" s="2">
        <v>0</v>
      </c>
    </row>
    <row r="28" spans="1:23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1141685</v>
      </c>
      <c r="H28" t="s">
        <v>75</v>
      </c>
      <c r="I28" t="s">
        <v>94</v>
      </c>
      <c r="J28" t="s">
        <v>98</v>
      </c>
      <c r="K28" t="s">
        <v>108</v>
      </c>
      <c r="L28" s="1">
        <v>46143</v>
      </c>
      <c r="M28" s="1">
        <v>46173</v>
      </c>
      <c r="N28">
        <v>0.1250266125</v>
      </c>
      <c r="O28" t="s">
        <v>56</v>
      </c>
      <c r="P28" t="s">
        <v>63</v>
      </c>
      <c r="Q28" t="s">
        <v>136</v>
      </c>
      <c r="R28" t="s">
        <v>140</v>
      </c>
      <c r="S28" t="s">
        <v>67</v>
      </c>
      <c r="T28" t="s">
        <v>188</v>
      </c>
      <c r="U28" t="s">
        <v>343</v>
      </c>
      <c r="V28">
        <v>15</v>
      </c>
      <c r="W28" s="2">
        <v>234.9784886317</v>
      </c>
    </row>
    <row r="29" spans="1:23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1141685</v>
      </c>
      <c r="H29" t="s">
        <v>75</v>
      </c>
      <c r="I29" t="s">
        <v>94</v>
      </c>
      <c r="J29" t="s">
        <v>98</v>
      </c>
      <c r="K29" t="s">
        <v>108</v>
      </c>
      <c r="L29" s="1">
        <v>46143</v>
      </c>
      <c r="M29" s="1">
        <v>46173</v>
      </c>
      <c r="N29">
        <v>4.6797055800000001E-2</v>
      </c>
      <c r="O29" t="s">
        <v>56</v>
      </c>
      <c r="P29" t="s">
        <v>63</v>
      </c>
      <c r="Q29" t="s">
        <v>136</v>
      </c>
      <c r="R29" t="s">
        <v>141</v>
      </c>
      <c r="S29" t="s">
        <v>67</v>
      </c>
      <c r="T29" t="s">
        <v>189</v>
      </c>
      <c r="U29" t="s">
        <v>344</v>
      </c>
      <c r="V29">
        <v>16</v>
      </c>
      <c r="W29" s="2">
        <v>97.974103494700003</v>
      </c>
    </row>
    <row r="30" spans="1:23" x14ac:dyDescent="0.25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1141685</v>
      </c>
      <c r="H30" t="s">
        <v>77</v>
      </c>
      <c r="I30" t="s">
        <v>96</v>
      </c>
      <c r="J30" t="s">
        <v>77</v>
      </c>
      <c r="K30" t="s">
        <v>113</v>
      </c>
      <c r="L30" s="1">
        <v>46143</v>
      </c>
      <c r="M30" s="1">
        <v>46173</v>
      </c>
      <c r="N30">
        <v>1.5558836100000001E-2</v>
      </c>
      <c r="O30" t="s">
        <v>56</v>
      </c>
      <c r="P30" t="s">
        <v>63</v>
      </c>
      <c r="Q30" t="s">
        <v>136</v>
      </c>
      <c r="R30" t="s">
        <v>140</v>
      </c>
      <c r="S30" t="s">
        <v>67</v>
      </c>
      <c r="T30" t="s">
        <v>190</v>
      </c>
      <c r="U30" t="s">
        <v>345</v>
      </c>
      <c r="V30">
        <v>16</v>
      </c>
      <c r="W30" s="2">
        <v>2.7186671926999999</v>
      </c>
    </row>
    <row r="31" spans="1:23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1141685</v>
      </c>
      <c r="H31" t="s">
        <v>77</v>
      </c>
      <c r="I31" t="s">
        <v>96</v>
      </c>
      <c r="J31" t="s">
        <v>77</v>
      </c>
      <c r="K31" t="s">
        <v>113</v>
      </c>
      <c r="L31" s="1">
        <v>46143</v>
      </c>
      <c r="M31" s="1">
        <v>46173</v>
      </c>
      <c r="N31">
        <v>295.33924050259998</v>
      </c>
      <c r="O31" t="s">
        <v>56</v>
      </c>
      <c r="P31" t="s">
        <v>63</v>
      </c>
      <c r="Q31" t="s">
        <v>136</v>
      </c>
      <c r="R31" t="s">
        <v>140</v>
      </c>
      <c r="S31" t="s">
        <v>67</v>
      </c>
      <c r="T31" t="s">
        <v>191</v>
      </c>
      <c r="U31" t="s">
        <v>346</v>
      </c>
      <c r="V31">
        <v>16</v>
      </c>
      <c r="W31" s="2">
        <v>51524.887830308398</v>
      </c>
    </row>
    <row r="32" spans="1:23" x14ac:dyDescent="0.25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1141685</v>
      </c>
      <c r="H32" t="s">
        <v>77</v>
      </c>
      <c r="I32" t="s">
        <v>96</v>
      </c>
      <c r="J32" t="s">
        <v>77</v>
      </c>
      <c r="K32" t="s">
        <v>113</v>
      </c>
      <c r="L32" s="1">
        <v>46143</v>
      </c>
      <c r="M32" s="1">
        <v>46173</v>
      </c>
      <c r="N32">
        <v>194.3886226425</v>
      </c>
      <c r="O32" t="s">
        <v>56</v>
      </c>
      <c r="P32" t="s">
        <v>63</v>
      </c>
      <c r="Q32" t="s">
        <v>136</v>
      </c>
      <c r="R32" t="s">
        <v>140</v>
      </c>
      <c r="S32" t="s">
        <v>67</v>
      </c>
      <c r="T32" t="s">
        <v>192</v>
      </c>
      <c r="U32" t="s">
        <v>347</v>
      </c>
      <c r="V32">
        <v>15</v>
      </c>
      <c r="W32" s="2">
        <v>33913.034413464498</v>
      </c>
    </row>
    <row r="33" spans="1:23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1141685</v>
      </c>
      <c r="H33" t="s">
        <v>75</v>
      </c>
      <c r="I33" t="s">
        <v>94</v>
      </c>
      <c r="J33" t="s">
        <v>98</v>
      </c>
      <c r="K33" t="s">
        <v>108</v>
      </c>
      <c r="L33" s="1">
        <v>46143</v>
      </c>
      <c r="M33" s="1">
        <v>46173</v>
      </c>
      <c r="N33">
        <v>5.2020900000000002E-5</v>
      </c>
      <c r="O33" t="s">
        <v>56</v>
      </c>
      <c r="P33" t="s">
        <v>63</v>
      </c>
      <c r="Q33" t="s">
        <v>136</v>
      </c>
      <c r="R33" t="s">
        <v>140</v>
      </c>
      <c r="S33" t="s">
        <v>67</v>
      </c>
      <c r="T33" t="s">
        <v>193</v>
      </c>
      <c r="U33" t="s">
        <v>348</v>
      </c>
      <c r="V33">
        <v>16</v>
      </c>
      <c r="W33" s="2">
        <v>0.10583795159999999</v>
      </c>
    </row>
    <row r="34" spans="1:23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>
        <v>1141685</v>
      </c>
      <c r="H34" t="s">
        <v>75</v>
      </c>
      <c r="I34" t="s">
        <v>94</v>
      </c>
      <c r="J34" t="s">
        <v>98</v>
      </c>
      <c r="K34" t="s">
        <v>108</v>
      </c>
      <c r="L34" s="1">
        <v>46143</v>
      </c>
      <c r="M34" s="1">
        <v>46173</v>
      </c>
      <c r="N34">
        <v>0.67235974040000002</v>
      </c>
      <c r="O34" t="s">
        <v>56</v>
      </c>
      <c r="P34" t="s">
        <v>63</v>
      </c>
      <c r="Q34" t="s">
        <v>136</v>
      </c>
      <c r="R34" t="s">
        <v>140</v>
      </c>
      <c r="S34" t="s">
        <v>67</v>
      </c>
      <c r="T34" t="s">
        <v>194</v>
      </c>
      <c r="U34" t="s">
        <v>349</v>
      </c>
      <c r="V34">
        <v>16</v>
      </c>
      <c r="W34" s="2">
        <v>1407.5967360023999</v>
      </c>
    </row>
    <row r="35" spans="1:23" x14ac:dyDescent="0.25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>
        <v>1141685</v>
      </c>
      <c r="H35" t="s">
        <v>82</v>
      </c>
      <c r="I35" t="s">
        <v>82</v>
      </c>
      <c r="J35" t="s">
        <v>82</v>
      </c>
      <c r="K35" t="s">
        <v>118</v>
      </c>
      <c r="L35" s="1">
        <v>46143</v>
      </c>
      <c r="M35" s="1">
        <v>46173</v>
      </c>
      <c r="N35">
        <v>0.42310799999999998</v>
      </c>
      <c r="O35" t="s">
        <v>60</v>
      </c>
      <c r="P35" t="s">
        <v>63</v>
      </c>
      <c r="Q35" t="s">
        <v>138</v>
      </c>
      <c r="R35" t="s">
        <v>147</v>
      </c>
      <c r="S35" t="s">
        <v>68</v>
      </c>
      <c r="T35" t="s">
        <v>195</v>
      </c>
      <c r="U35" t="s">
        <v>350</v>
      </c>
      <c r="V35">
        <v>7</v>
      </c>
      <c r="W35" s="2">
        <v>2952.6128431359998</v>
      </c>
    </row>
    <row r="36" spans="1:23" x14ac:dyDescent="0.25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>
        <v>1141685</v>
      </c>
      <c r="H36" t="s">
        <v>79</v>
      </c>
      <c r="I36" t="s">
        <v>94</v>
      </c>
      <c r="J36" t="s">
        <v>101</v>
      </c>
      <c r="K36" t="s">
        <v>114</v>
      </c>
      <c r="L36" s="1">
        <v>46143</v>
      </c>
      <c r="M36" s="1">
        <v>46173</v>
      </c>
      <c r="N36">
        <v>0.2739264434</v>
      </c>
      <c r="O36" t="s">
        <v>56</v>
      </c>
      <c r="P36" t="s">
        <v>63</v>
      </c>
      <c r="Q36" t="s">
        <v>136</v>
      </c>
      <c r="R36" t="s">
        <v>140</v>
      </c>
      <c r="S36" t="s">
        <v>67</v>
      </c>
      <c r="T36" t="s">
        <v>196</v>
      </c>
      <c r="U36" t="s">
        <v>351</v>
      </c>
      <c r="V36">
        <v>15</v>
      </c>
      <c r="W36" s="2">
        <v>382.31601952609998</v>
      </c>
    </row>
    <row r="37" spans="1:23" x14ac:dyDescent="0.25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>
        <v>1141685</v>
      </c>
      <c r="H37" t="s">
        <v>83</v>
      </c>
      <c r="I37" t="s">
        <v>97</v>
      </c>
      <c r="J37" t="s">
        <v>103</v>
      </c>
      <c r="K37" t="s">
        <v>119</v>
      </c>
      <c r="L37" s="1">
        <v>46143</v>
      </c>
      <c r="M37" s="1">
        <v>46173</v>
      </c>
      <c r="N37">
        <v>868</v>
      </c>
      <c r="O37" t="s">
        <v>58</v>
      </c>
      <c r="P37" t="s">
        <v>63</v>
      </c>
      <c r="Q37" t="s">
        <v>139</v>
      </c>
      <c r="R37" t="s">
        <v>146</v>
      </c>
      <c r="S37" t="s">
        <v>67</v>
      </c>
      <c r="T37" t="s">
        <v>197</v>
      </c>
      <c r="U37" t="s">
        <v>352</v>
      </c>
      <c r="V37">
        <v>9</v>
      </c>
      <c r="W37" s="2">
        <v>1513797.9316102399</v>
      </c>
    </row>
    <row r="38" spans="1:23" x14ac:dyDescent="0.25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>
        <v>1141685</v>
      </c>
      <c r="H38" t="s">
        <v>83</v>
      </c>
      <c r="I38" t="s">
        <v>97</v>
      </c>
      <c r="J38" t="s">
        <v>103</v>
      </c>
      <c r="K38" t="s">
        <v>119</v>
      </c>
      <c r="L38" s="1">
        <v>46143</v>
      </c>
      <c r="M38" s="1">
        <v>46173</v>
      </c>
      <c r="N38">
        <v>4216</v>
      </c>
      <c r="O38" t="s">
        <v>58</v>
      </c>
      <c r="P38" t="s">
        <v>63</v>
      </c>
      <c r="Q38" t="s">
        <v>139</v>
      </c>
      <c r="R38" t="s">
        <v>146</v>
      </c>
      <c r="S38" t="s">
        <v>67</v>
      </c>
      <c r="T38" t="s">
        <v>198</v>
      </c>
      <c r="U38" t="s">
        <v>353</v>
      </c>
      <c r="V38">
        <v>9</v>
      </c>
      <c r="W38" s="2">
        <v>7352732.8221068792</v>
      </c>
    </row>
    <row r="39" spans="1:23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>
        <v>1141685</v>
      </c>
      <c r="H39" t="s">
        <v>82</v>
      </c>
      <c r="I39" t="s">
        <v>82</v>
      </c>
      <c r="J39" t="s">
        <v>82</v>
      </c>
      <c r="K39" t="s">
        <v>118</v>
      </c>
      <c r="L39" s="1">
        <v>46143</v>
      </c>
      <c r="M39" s="1">
        <v>46173</v>
      </c>
      <c r="N39">
        <v>0.168183</v>
      </c>
      <c r="O39" t="s">
        <v>60</v>
      </c>
      <c r="P39" t="s">
        <v>63</v>
      </c>
      <c r="Q39" t="s">
        <v>138</v>
      </c>
      <c r="R39" t="s">
        <v>148</v>
      </c>
      <c r="S39" t="s">
        <v>68</v>
      </c>
      <c r="T39" t="s">
        <v>199</v>
      </c>
      <c r="U39" t="s">
        <v>354</v>
      </c>
      <c r="V39">
        <v>7</v>
      </c>
      <c r="W39" s="2">
        <v>1173.650457536</v>
      </c>
    </row>
    <row r="40" spans="1:23" x14ac:dyDescent="0.25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>
        <v>1141685</v>
      </c>
      <c r="H40" t="s">
        <v>82</v>
      </c>
      <c r="I40" t="s">
        <v>82</v>
      </c>
      <c r="J40" t="s">
        <v>82</v>
      </c>
      <c r="K40" t="s">
        <v>120</v>
      </c>
      <c r="L40" s="1">
        <v>46143</v>
      </c>
      <c r="M40" s="1">
        <v>46173</v>
      </c>
      <c r="N40">
        <v>1</v>
      </c>
      <c r="O40" t="s">
        <v>61</v>
      </c>
      <c r="P40" t="s">
        <v>63</v>
      </c>
      <c r="Q40" t="s">
        <v>138</v>
      </c>
      <c r="R40" t="s">
        <v>149</v>
      </c>
      <c r="S40" t="s">
        <v>68</v>
      </c>
      <c r="T40" t="s">
        <v>200</v>
      </c>
      <c r="U40" t="s">
        <v>355</v>
      </c>
      <c r="V40">
        <v>7</v>
      </c>
      <c r="W40" s="2">
        <v>2691.9341720419998</v>
      </c>
    </row>
    <row r="41" spans="1:23" x14ac:dyDescent="0.25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>
        <v>1141685</v>
      </c>
      <c r="H41" t="s">
        <v>84</v>
      </c>
      <c r="I41" t="s">
        <v>97</v>
      </c>
      <c r="J41" t="s">
        <v>104</v>
      </c>
      <c r="K41" t="s">
        <v>121</v>
      </c>
      <c r="L41" s="1">
        <v>46143</v>
      </c>
      <c r="M41" s="1">
        <v>46173</v>
      </c>
      <c r="N41">
        <v>67.9006373908</v>
      </c>
      <c r="O41" t="s">
        <v>57</v>
      </c>
      <c r="P41" t="s">
        <v>63</v>
      </c>
      <c r="Q41" t="s">
        <v>139</v>
      </c>
      <c r="R41" t="s">
        <v>146</v>
      </c>
      <c r="S41" t="s">
        <v>67</v>
      </c>
      <c r="T41" t="s">
        <v>201</v>
      </c>
      <c r="U41" t="s">
        <v>356</v>
      </c>
      <c r="V41">
        <v>9</v>
      </c>
      <c r="W41" s="2">
        <v>284302.68260705651</v>
      </c>
    </row>
    <row r="42" spans="1:23" x14ac:dyDescent="0.25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>
        <v>1141685</v>
      </c>
      <c r="H42" t="s">
        <v>81</v>
      </c>
      <c r="I42" t="s">
        <v>97</v>
      </c>
      <c r="J42" t="s">
        <v>102</v>
      </c>
      <c r="K42" t="s">
        <v>117</v>
      </c>
      <c r="L42" s="1">
        <v>46143</v>
      </c>
      <c r="M42" s="1">
        <v>46173</v>
      </c>
      <c r="N42">
        <v>4208</v>
      </c>
      <c r="O42" t="s">
        <v>58</v>
      </c>
      <c r="P42" t="s">
        <v>63</v>
      </c>
      <c r="Q42" t="s">
        <v>139</v>
      </c>
      <c r="R42" t="s">
        <v>146</v>
      </c>
      <c r="S42" t="s">
        <v>67</v>
      </c>
      <c r="T42" t="s">
        <v>187</v>
      </c>
      <c r="U42" t="s">
        <v>342</v>
      </c>
      <c r="V42">
        <v>9</v>
      </c>
      <c r="W42" s="2">
        <v>0</v>
      </c>
    </row>
    <row r="43" spans="1:23" x14ac:dyDescent="0.2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>
        <v>1141685</v>
      </c>
      <c r="H43" t="s">
        <v>80</v>
      </c>
      <c r="I43" t="s">
        <v>96</v>
      </c>
      <c r="J43" t="s">
        <v>80</v>
      </c>
      <c r="K43" t="s">
        <v>122</v>
      </c>
      <c r="L43" s="1">
        <v>46143</v>
      </c>
      <c r="M43" s="1">
        <v>46173</v>
      </c>
      <c r="N43">
        <v>0.89417750949999997</v>
      </c>
      <c r="O43" t="s">
        <v>56</v>
      </c>
      <c r="P43" t="s">
        <v>63</v>
      </c>
      <c r="Q43" t="s">
        <v>136</v>
      </c>
      <c r="R43" t="s">
        <v>140</v>
      </c>
      <c r="S43" t="s">
        <v>67</v>
      </c>
      <c r="T43" t="s">
        <v>202</v>
      </c>
      <c r="U43" t="s">
        <v>357</v>
      </c>
      <c r="V43">
        <v>16</v>
      </c>
      <c r="W43" s="2">
        <v>155.9984233038</v>
      </c>
    </row>
    <row r="44" spans="1:23" x14ac:dyDescent="0.25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>
        <v>1141685</v>
      </c>
      <c r="H44" t="s">
        <v>76</v>
      </c>
      <c r="I44" t="s">
        <v>95</v>
      </c>
      <c r="J44" t="s">
        <v>99</v>
      </c>
      <c r="K44" t="s">
        <v>109</v>
      </c>
      <c r="L44" s="1">
        <v>46143</v>
      </c>
      <c r="M44" s="1">
        <v>46173</v>
      </c>
      <c r="N44">
        <v>40.465758999999998</v>
      </c>
      <c r="O44" t="s">
        <v>58</v>
      </c>
      <c r="P44" t="s">
        <v>63</v>
      </c>
      <c r="Q44" t="s">
        <v>137</v>
      </c>
      <c r="R44" t="s">
        <v>140</v>
      </c>
      <c r="S44" t="s">
        <v>67</v>
      </c>
      <c r="T44" t="s">
        <v>170</v>
      </c>
      <c r="U44" t="s">
        <v>325</v>
      </c>
      <c r="V44">
        <v>16</v>
      </c>
      <c r="W44" s="2">
        <v>0</v>
      </c>
    </row>
    <row r="45" spans="1:23" x14ac:dyDescent="0.25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>
        <v>1141685</v>
      </c>
      <c r="H45" t="s">
        <v>76</v>
      </c>
      <c r="I45" t="s">
        <v>95</v>
      </c>
      <c r="J45" t="s">
        <v>99</v>
      </c>
      <c r="K45" t="s">
        <v>109</v>
      </c>
      <c r="L45" s="1">
        <v>46143</v>
      </c>
      <c r="M45" s="1">
        <v>46173</v>
      </c>
      <c r="N45">
        <v>15.400278999999999</v>
      </c>
      <c r="O45" t="s">
        <v>58</v>
      </c>
      <c r="P45" t="s">
        <v>63</v>
      </c>
      <c r="Q45" t="s">
        <v>137</v>
      </c>
      <c r="R45" t="s">
        <v>140</v>
      </c>
      <c r="S45" t="s">
        <v>67</v>
      </c>
      <c r="T45" t="s">
        <v>170</v>
      </c>
      <c r="U45" t="s">
        <v>325</v>
      </c>
      <c r="V45">
        <v>16</v>
      </c>
      <c r="W45" s="2">
        <v>0</v>
      </c>
    </row>
    <row r="46" spans="1:23" x14ac:dyDescent="0.25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>
        <v>1141685</v>
      </c>
      <c r="H46" t="s">
        <v>76</v>
      </c>
      <c r="I46" t="s">
        <v>95</v>
      </c>
      <c r="J46" t="s">
        <v>99</v>
      </c>
      <c r="K46" t="s">
        <v>109</v>
      </c>
      <c r="L46" s="1">
        <v>46143</v>
      </c>
      <c r="M46" s="1">
        <v>46173</v>
      </c>
      <c r="N46">
        <v>0.250004</v>
      </c>
      <c r="O46" t="s">
        <v>58</v>
      </c>
      <c r="P46" t="s">
        <v>63</v>
      </c>
      <c r="Q46" t="s">
        <v>137</v>
      </c>
      <c r="R46" t="s">
        <v>140</v>
      </c>
      <c r="S46" t="s">
        <v>67</v>
      </c>
      <c r="T46" t="s">
        <v>170</v>
      </c>
      <c r="U46" t="s">
        <v>325</v>
      </c>
      <c r="V46">
        <v>16</v>
      </c>
      <c r="W46" s="2">
        <v>0</v>
      </c>
    </row>
    <row r="47" spans="1:23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>
        <v>1141685</v>
      </c>
      <c r="H47" t="s">
        <v>80</v>
      </c>
      <c r="I47" t="s">
        <v>96</v>
      </c>
      <c r="J47" t="s">
        <v>80</v>
      </c>
      <c r="K47" t="s">
        <v>122</v>
      </c>
      <c r="L47" s="1">
        <v>46143</v>
      </c>
      <c r="M47" s="1">
        <v>46173</v>
      </c>
      <c r="N47">
        <v>0.33702333919999999</v>
      </c>
      <c r="O47" t="s">
        <v>56</v>
      </c>
      <c r="P47" t="s">
        <v>63</v>
      </c>
      <c r="Q47" t="s">
        <v>136</v>
      </c>
      <c r="R47" t="s">
        <v>140</v>
      </c>
      <c r="S47" t="s">
        <v>67</v>
      </c>
      <c r="T47" t="s">
        <v>203</v>
      </c>
      <c r="U47" t="s">
        <v>358</v>
      </c>
      <c r="V47">
        <v>16</v>
      </c>
      <c r="W47" s="2">
        <v>58.801440750499999</v>
      </c>
    </row>
    <row r="48" spans="1:23" x14ac:dyDescent="0.25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>
        <v>1141685</v>
      </c>
      <c r="H48" t="s">
        <v>76</v>
      </c>
      <c r="I48" t="s">
        <v>95</v>
      </c>
      <c r="J48" t="s">
        <v>99</v>
      </c>
      <c r="K48" t="s">
        <v>109</v>
      </c>
      <c r="L48" s="1">
        <v>46143</v>
      </c>
      <c r="M48" s="1">
        <v>46173</v>
      </c>
      <c r="N48">
        <v>0.81687500000000002</v>
      </c>
      <c r="O48" t="s">
        <v>58</v>
      </c>
      <c r="P48" t="s">
        <v>63</v>
      </c>
      <c r="Q48" t="s">
        <v>137</v>
      </c>
      <c r="R48" t="s">
        <v>140</v>
      </c>
      <c r="S48" t="s">
        <v>67</v>
      </c>
      <c r="T48" t="s">
        <v>170</v>
      </c>
      <c r="U48" t="s">
        <v>325</v>
      </c>
      <c r="V48">
        <v>16</v>
      </c>
      <c r="W48" s="2">
        <v>0</v>
      </c>
    </row>
    <row r="49" spans="1:23" x14ac:dyDescent="0.25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>
        <v>1141685</v>
      </c>
      <c r="H49" t="s">
        <v>77</v>
      </c>
      <c r="I49" t="s">
        <v>96</v>
      </c>
      <c r="J49" t="s">
        <v>77</v>
      </c>
      <c r="K49" t="s">
        <v>111</v>
      </c>
      <c r="L49" s="1">
        <v>46143</v>
      </c>
      <c r="M49" s="1">
        <v>46173</v>
      </c>
      <c r="N49">
        <v>10.204956385299999</v>
      </c>
      <c r="O49" t="s">
        <v>56</v>
      </c>
      <c r="P49" t="s">
        <v>63</v>
      </c>
      <c r="Q49" t="s">
        <v>136</v>
      </c>
      <c r="R49" t="s">
        <v>140</v>
      </c>
      <c r="S49" t="s">
        <v>67</v>
      </c>
      <c r="T49" t="s">
        <v>204</v>
      </c>
      <c r="U49" t="s">
        <v>359</v>
      </c>
      <c r="V49">
        <v>15</v>
      </c>
      <c r="W49" s="2">
        <v>1780.3538880619999</v>
      </c>
    </row>
    <row r="50" spans="1:23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>
        <v>1141685</v>
      </c>
      <c r="H50" t="s">
        <v>77</v>
      </c>
      <c r="I50" t="s">
        <v>96</v>
      </c>
      <c r="J50" t="s">
        <v>77</v>
      </c>
      <c r="K50" t="s">
        <v>111</v>
      </c>
      <c r="L50" s="1">
        <v>46143</v>
      </c>
      <c r="M50" s="1">
        <v>46173</v>
      </c>
      <c r="N50">
        <v>18.529225604600001</v>
      </c>
      <c r="O50" t="s">
        <v>56</v>
      </c>
      <c r="P50" t="s">
        <v>63</v>
      </c>
      <c r="Q50" t="s">
        <v>136</v>
      </c>
      <c r="R50" t="s">
        <v>140</v>
      </c>
      <c r="S50" t="s">
        <v>67</v>
      </c>
      <c r="T50" t="s">
        <v>205</v>
      </c>
      <c r="U50" t="s">
        <v>360</v>
      </c>
      <c r="V50">
        <v>15</v>
      </c>
      <c r="W50" s="2">
        <v>3232.6056551023999</v>
      </c>
    </row>
    <row r="51" spans="1:23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>
        <v>1141685</v>
      </c>
      <c r="H51" t="s">
        <v>77</v>
      </c>
      <c r="I51" t="s">
        <v>96</v>
      </c>
      <c r="J51" t="s">
        <v>77</v>
      </c>
      <c r="K51" t="s">
        <v>111</v>
      </c>
      <c r="L51" s="1">
        <v>46143</v>
      </c>
      <c r="M51" s="1">
        <v>46173</v>
      </c>
      <c r="N51">
        <v>7.7999578999999996E-3</v>
      </c>
      <c r="O51" t="s">
        <v>56</v>
      </c>
      <c r="P51" t="s">
        <v>63</v>
      </c>
      <c r="Q51" t="s">
        <v>138</v>
      </c>
      <c r="R51" t="s">
        <v>150</v>
      </c>
      <c r="S51" t="s">
        <v>67</v>
      </c>
      <c r="T51" t="s">
        <v>206</v>
      </c>
      <c r="U51" t="s">
        <v>361</v>
      </c>
      <c r="V51">
        <v>7</v>
      </c>
      <c r="W51" s="2">
        <v>1.3574869728000001</v>
      </c>
    </row>
    <row r="52" spans="1:23" x14ac:dyDescent="0.25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>
        <v>1141685</v>
      </c>
      <c r="H52" t="s">
        <v>77</v>
      </c>
      <c r="I52" t="s">
        <v>96</v>
      </c>
      <c r="J52" t="s">
        <v>77</v>
      </c>
      <c r="K52" t="s">
        <v>111</v>
      </c>
      <c r="L52" s="1">
        <v>46143</v>
      </c>
      <c r="M52" s="1">
        <v>46173</v>
      </c>
      <c r="N52">
        <v>9.8646000000000004E-6</v>
      </c>
      <c r="O52" t="s">
        <v>56</v>
      </c>
      <c r="P52" t="s">
        <v>63</v>
      </c>
      <c r="Q52" t="s">
        <v>138</v>
      </c>
      <c r="R52" t="s">
        <v>150</v>
      </c>
      <c r="S52" t="s">
        <v>67</v>
      </c>
      <c r="T52" t="s">
        <v>207</v>
      </c>
      <c r="U52" t="s">
        <v>362</v>
      </c>
      <c r="V52">
        <v>7</v>
      </c>
      <c r="W52" s="2">
        <v>1.5144558999999999E-3</v>
      </c>
    </row>
    <row r="53" spans="1:23" x14ac:dyDescent="0.25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>
        <v>1141685</v>
      </c>
      <c r="H53" t="s">
        <v>75</v>
      </c>
      <c r="I53" t="s">
        <v>94</v>
      </c>
      <c r="J53" t="s">
        <v>98</v>
      </c>
      <c r="K53" t="s">
        <v>108</v>
      </c>
      <c r="L53" s="1">
        <v>46143</v>
      </c>
      <c r="M53" s="1">
        <v>46173</v>
      </c>
      <c r="N53">
        <v>3.7621889999999998E-4</v>
      </c>
      <c r="O53" t="s">
        <v>56</v>
      </c>
      <c r="P53" t="s">
        <v>63</v>
      </c>
      <c r="Q53" t="s">
        <v>136</v>
      </c>
      <c r="R53" t="s">
        <v>151</v>
      </c>
      <c r="S53" t="s">
        <v>67</v>
      </c>
      <c r="T53" t="s">
        <v>208</v>
      </c>
      <c r="U53" t="s">
        <v>363</v>
      </c>
      <c r="V53">
        <v>17</v>
      </c>
      <c r="W53" s="2">
        <v>0.78310723149999995</v>
      </c>
    </row>
    <row r="54" spans="1:23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>
        <v>1141685</v>
      </c>
      <c r="H54" t="s">
        <v>75</v>
      </c>
      <c r="I54" t="s">
        <v>94</v>
      </c>
      <c r="J54" t="s">
        <v>98</v>
      </c>
      <c r="K54" t="s">
        <v>108</v>
      </c>
      <c r="L54" s="1">
        <v>46143</v>
      </c>
      <c r="M54" s="1">
        <v>46173</v>
      </c>
      <c r="N54">
        <v>1.91457737E-2</v>
      </c>
      <c r="O54" t="s">
        <v>56</v>
      </c>
      <c r="P54" t="s">
        <v>63</v>
      </c>
      <c r="Q54" t="s">
        <v>136</v>
      </c>
      <c r="R54" t="s">
        <v>141</v>
      </c>
      <c r="S54" t="s">
        <v>67</v>
      </c>
      <c r="T54" t="s">
        <v>209</v>
      </c>
      <c r="U54" t="s">
        <v>364</v>
      </c>
      <c r="V54">
        <v>15</v>
      </c>
      <c r="W54" s="2">
        <v>38.0360951185</v>
      </c>
    </row>
    <row r="55" spans="1:23" x14ac:dyDescent="0.25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>
        <v>1141685</v>
      </c>
      <c r="H55" t="s">
        <v>75</v>
      </c>
      <c r="I55" t="s">
        <v>94</v>
      </c>
      <c r="J55" t="s">
        <v>98</v>
      </c>
      <c r="K55" t="s">
        <v>108</v>
      </c>
      <c r="L55" s="1">
        <v>46143</v>
      </c>
      <c r="M55" s="1">
        <v>46173</v>
      </c>
      <c r="N55">
        <v>0.75296992809999996</v>
      </c>
      <c r="O55" t="s">
        <v>56</v>
      </c>
      <c r="P55" t="s">
        <v>63</v>
      </c>
      <c r="Q55" t="s">
        <v>136</v>
      </c>
      <c r="R55" t="s">
        <v>140</v>
      </c>
      <c r="S55" t="s">
        <v>67</v>
      </c>
      <c r="T55" t="s">
        <v>210</v>
      </c>
      <c r="U55" t="s">
        <v>365</v>
      </c>
      <c r="V55">
        <v>16</v>
      </c>
      <c r="W55" s="2">
        <v>1576.3546913821999</v>
      </c>
    </row>
    <row r="56" spans="1:23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>
        <v>1141685</v>
      </c>
      <c r="H56" t="s">
        <v>75</v>
      </c>
      <c r="I56" t="s">
        <v>94</v>
      </c>
      <c r="J56" t="s">
        <v>98</v>
      </c>
      <c r="K56" t="s">
        <v>108</v>
      </c>
      <c r="L56" s="1">
        <v>46143</v>
      </c>
      <c r="M56" s="1">
        <v>46173</v>
      </c>
      <c r="N56">
        <v>9.2520400000000003E-5</v>
      </c>
      <c r="O56" t="s">
        <v>56</v>
      </c>
      <c r="P56" t="s">
        <v>63</v>
      </c>
      <c r="Q56" t="s">
        <v>136</v>
      </c>
      <c r="R56" t="s">
        <v>141</v>
      </c>
      <c r="S56" t="s">
        <v>67</v>
      </c>
      <c r="T56" t="s">
        <v>211</v>
      </c>
      <c r="U56" t="s">
        <v>366</v>
      </c>
      <c r="V56">
        <v>16</v>
      </c>
      <c r="W56" s="2">
        <v>0.1904500713</v>
      </c>
    </row>
    <row r="57" spans="1:23" x14ac:dyDescent="0.25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>
        <v>1141685</v>
      </c>
      <c r="H57" t="s">
        <v>75</v>
      </c>
      <c r="I57" t="s">
        <v>94</v>
      </c>
      <c r="J57" t="s">
        <v>98</v>
      </c>
      <c r="K57" t="s">
        <v>108</v>
      </c>
      <c r="L57" s="1">
        <v>46143</v>
      </c>
      <c r="M57" s="1">
        <v>46173</v>
      </c>
      <c r="N57">
        <v>9.9123937999999995E-2</v>
      </c>
      <c r="O57" t="s">
        <v>56</v>
      </c>
      <c r="P57" t="s">
        <v>63</v>
      </c>
      <c r="Q57" t="s">
        <v>136</v>
      </c>
      <c r="R57" t="s">
        <v>140</v>
      </c>
      <c r="S57" t="s">
        <v>67</v>
      </c>
      <c r="T57" t="s">
        <v>212</v>
      </c>
      <c r="U57" t="s">
        <v>367</v>
      </c>
      <c r="V57">
        <v>15</v>
      </c>
      <c r="W57" s="2">
        <v>190.0664783702</v>
      </c>
    </row>
    <row r="58" spans="1:23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>
        <v>1141685</v>
      </c>
      <c r="H58" t="s">
        <v>80</v>
      </c>
      <c r="I58" t="s">
        <v>96</v>
      </c>
      <c r="J58" t="s">
        <v>80</v>
      </c>
      <c r="K58" t="s">
        <v>122</v>
      </c>
      <c r="L58" s="1">
        <v>46143</v>
      </c>
      <c r="M58" s="1">
        <v>46173</v>
      </c>
      <c r="N58">
        <v>2.1850016900000001E-2</v>
      </c>
      <c r="O58" t="s">
        <v>56</v>
      </c>
      <c r="P58" t="s">
        <v>63</v>
      </c>
      <c r="Q58" t="s">
        <v>136</v>
      </c>
      <c r="R58" t="s">
        <v>141</v>
      </c>
      <c r="S58" t="s">
        <v>67</v>
      </c>
      <c r="T58" t="s">
        <v>213</v>
      </c>
      <c r="U58" t="s">
        <v>368</v>
      </c>
      <c r="V58">
        <v>15</v>
      </c>
      <c r="W58" s="2">
        <v>3.8145194737999999</v>
      </c>
    </row>
    <row r="59" spans="1:23" x14ac:dyDescent="0.25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>
        <v>1141685</v>
      </c>
      <c r="H59" t="s">
        <v>80</v>
      </c>
      <c r="I59" t="s">
        <v>96</v>
      </c>
      <c r="J59" t="s">
        <v>80</v>
      </c>
      <c r="K59" t="s">
        <v>122</v>
      </c>
      <c r="L59" s="1">
        <v>46143</v>
      </c>
      <c r="M59" s="1">
        <v>46173</v>
      </c>
      <c r="N59">
        <v>0.30861783030000001</v>
      </c>
      <c r="O59" t="s">
        <v>56</v>
      </c>
      <c r="P59" t="s">
        <v>63</v>
      </c>
      <c r="Q59" t="s">
        <v>136</v>
      </c>
      <c r="R59" t="s">
        <v>141</v>
      </c>
      <c r="S59" t="s">
        <v>67</v>
      </c>
      <c r="T59" t="s">
        <v>214</v>
      </c>
      <c r="U59" t="s">
        <v>369</v>
      </c>
      <c r="V59">
        <v>16</v>
      </c>
      <c r="W59" s="2">
        <v>53.840490667700003</v>
      </c>
    </row>
    <row r="60" spans="1:23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>
        <v>1141685</v>
      </c>
      <c r="H60" t="s">
        <v>80</v>
      </c>
      <c r="I60" t="s">
        <v>96</v>
      </c>
      <c r="J60" t="s">
        <v>80</v>
      </c>
      <c r="K60" t="s">
        <v>122</v>
      </c>
      <c r="L60" s="1">
        <v>46143</v>
      </c>
      <c r="M60" s="1">
        <v>46173</v>
      </c>
      <c r="N60">
        <v>0.51144966759999999</v>
      </c>
      <c r="O60" t="s">
        <v>56</v>
      </c>
      <c r="P60" t="s">
        <v>63</v>
      </c>
      <c r="Q60" t="s">
        <v>136</v>
      </c>
      <c r="R60" t="s">
        <v>140</v>
      </c>
      <c r="S60" t="s">
        <v>67</v>
      </c>
      <c r="T60" t="s">
        <v>215</v>
      </c>
      <c r="U60" t="s">
        <v>370</v>
      </c>
      <c r="V60">
        <v>15</v>
      </c>
      <c r="W60" s="2">
        <v>89.230207931600006</v>
      </c>
    </row>
    <row r="61" spans="1:23" x14ac:dyDescent="0.25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>
        <v>1141685</v>
      </c>
      <c r="H61" t="s">
        <v>80</v>
      </c>
      <c r="I61" t="s">
        <v>96</v>
      </c>
      <c r="J61" t="s">
        <v>80</v>
      </c>
      <c r="K61" t="s">
        <v>122</v>
      </c>
      <c r="L61" s="1">
        <v>46143</v>
      </c>
      <c r="M61" s="1">
        <v>46173</v>
      </c>
      <c r="N61">
        <v>0.30021874050000003</v>
      </c>
      <c r="O61" t="s">
        <v>56</v>
      </c>
      <c r="P61" t="s">
        <v>63</v>
      </c>
      <c r="Q61" t="s">
        <v>136</v>
      </c>
      <c r="R61" t="s">
        <v>140</v>
      </c>
      <c r="S61" t="s">
        <v>67</v>
      </c>
      <c r="T61" t="s">
        <v>216</v>
      </c>
      <c r="U61" t="s">
        <v>371</v>
      </c>
      <c r="V61">
        <v>15</v>
      </c>
      <c r="W61" s="2">
        <v>52.3810220875</v>
      </c>
    </row>
    <row r="62" spans="1:23" x14ac:dyDescent="0.25">
      <c r="A62" t="s">
        <v>31</v>
      </c>
      <c r="B62" t="s">
        <v>32</v>
      </c>
      <c r="C62" t="s">
        <v>33</v>
      </c>
      <c r="D62" t="s">
        <v>34</v>
      </c>
      <c r="E62" t="s">
        <v>35</v>
      </c>
      <c r="F62" t="s">
        <v>36</v>
      </c>
      <c r="G62">
        <v>1141685</v>
      </c>
      <c r="H62" t="s">
        <v>80</v>
      </c>
      <c r="I62" t="s">
        <v>96</v>
      </c>
      <c r="J62" t="s">
        <v>80</v>
      </c>
      <c r="K62" t="s">
        <v>122</v>
      </c>
      <c r="L62" s="1">
        <v>46143</v>
      </c>
      <c r="M62" s="1">
        <v>46173</v>
      </c>
      <c r="N62">
        <v>1.6772551740999999</v>
      </c>
      <c r="O62" t="s">
        <v>56</v>
      </c>
      <c r="P62" t="s">
        <v>63</v>
      </c>
      <c r="Q62" t="s">
        <v>136</v>
      </c>
      <c r="R62" t="s">
        <v>140</v>
      </c>
      <c r="S62" t="s">
        <v>67</v>
      </c>
      <c r="T62" t="s">
        <v>217</v>
      </c>
      <c r="U62" t="s">
        <v>372</v>
      </c>
      <c r="V62">
        <v>16</v>
      </c>
      <c r="W62" s="2">
        <v>292.6102651571</v>
      </c>
    </row>
    <row r="63" spans="1:23" x14ac:dyDescent="0.25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>
        <v>1141685</v>
      </c>
      <c r="H63" t="s">
        <v>76</v>
      </c>
      <c r="I63" t="s">
        <v>95</v>
      </c>
      <c r="J63" t="s">
        <v>99</v>
      </c>
      <c r="K63" t="s">
        <v>109</v>
      </c>
      <c r="L63" s="1">
        <v>46143</v>
      </c>
      <c r="M63" s="1">
        <v>46173</v>
      </c>
      <c r="N63">
        <v>0.150003</v>
      </c>
      <c r="O63" t="s">
        <v>58</v>
      </c>
      <c r="P63" t="s">
        <v>63</v>
      </c>
      <c r="Q63" t="s">
        <v>137</v>
      </c>
      <c r="R63" t="s">
        <v>141</v>
      </c>
      <c r="S63" t="s">
        <v>67</v>
      </c>
      <c r="T63" t="s">
        <v>171</v>
      </c>
      <c r="U63" t="s">
        <v>326</v>
      </c>
      <c r="V63">
        <v>16</v>
      </c>
      <c r="W63" s="2">
        <v>0</v>
      </c>
    </row>
    <row r="64" spans="1:23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36</v>
      </c>
      <c r="G64">
        <v>1141685</v>
      </c>
      <c r="H64" t="s">
        <v>76</v>
      </c>
      <c r="I64" t="s">
        <v>95</v>
      </c>
      <c r="J64" t="s">
        <v>99</v>
      </c>
      <c r="K64" t="s">
        <v>109</v>
      </c>
      <c r="L64" s="1">
        <v>46143</v>
      </c>
      <c r="M64" s="1">
        <v>46173</v>
      </c>
      <c r="N64">
        <v>169.44998899999999</v>
      </c>
      <c r="O64" t="s">
        <v>58</v>
      </c>
      <c r="P64" t="s">
        <v>63</v>
      </c>
      <c r="Q64" t="s">
        <v>137</v>
      </c>
      <c r="R64" t="s">
        <v>151</v>
      </c>
      <c r="S64" t="s">
        <v>67</v>
      </c>
      <c r="T64" t="s">
        <v>218</v>
      </c>
      <c r="U64" t="s">
        <v>373</v>
      </c>
      <c r="V64">
        <v>17</v>
      </c>
      <c r="W64" s="2">
        <v>0</v>
      </c>
    </row>
    <row r="65" spans="1:23" x14ac:dyDescent="0.25">
      <c r="A65" t="s">
        <v>31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>
        <v>1141685</v>
      </c>
      <c r="H65" t="s">
        <v>76</v>
      </c>
      <c r="I65" t="s">
        <v>95</v>
      </c>
      <c r="J65" t="s">
        <v>99</v>
      </c>
      <c r="K65" t="s">
        <v>109</v>
      </c>
      <c r="L65" s="1">
        <v>46143</v>
      </c>
      <c r="M65" s="1">
        <v>46173</v>
      </c>
      <c r="N65">
        <v>89.132519000000002</v>
      </c>
      <c r="O65" t="s">
        <v>58</v>
      </c>
      <c r="P65" t="s">
        <v>63</v>
      </c>
      <c r="Q65" t="s">
        <v>137</v>
      </c>
      <c r="R65" t="s">
        <v>140</v>
      </c>
      <c r="S65" t="s">
        <v>67</v>
      </c>
      <c r="T65" t="s">
        <v>219</v>
      </c>
      <c r="U65" t="s">
        <v>374</v>
      </c>
      <c r="V65">
        <v>15</v>
      </c>
      <c r="W65" s="2">
        <v>0</v>
      </c>
    </row>
    <row r="66" spans="1:23" x14ac:dyDescent="0.25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s">
        <v>36</v>
      </c>
      <c r="G66">
        <v>1141685</v>
      </c>
      <c r="H66" t="s">
        <v>76</v>
      </c>
      <c r="I66" t="s">
        <v>95</v>
      </c>
      <c r="J66" t="s">
        <v>99</v>
      </c>
      <c r="K66" t="s">
        <v>109</v>
      </c>
      <c r="L66" s="1">
        <v>46143</v>
      </c>
      <c r="M66" s="1">
        <v>46173</v>
      </c>
      <c r="N66">
        <v>0.183117</v>
      </c>
      <c r="O66" t="s">
        <v>58</v>
      </c>
      <c r="P66" t="s">
        <v>63</v>
      </c>
      <c r="Q66" t="s">
        <v>137</v>
      </c>
      <c r="R66" t="s">
        <v>140</v>
      </c>
      <c r="S66" t="s">
        <v>67</v>
      </c>
      <c r="T66" t="s">
        <v>219</v>
      </c>
      <c r="U66" t="s">
        <v>374</v>
      </c>
      <c r="V66">
        <v>15</v>
      </c>
      <c r="W66" s="2">
        <v>0</v>
      </c>
    </row>
    <row r="67" spans="1:23" x14ac:dyDescent="0.25">
      <c r="A67" t="s">
        <v>31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>
        <v>1141685</v>
      </c>
      <c r="H67" t="s">
        <v>76</v>
      </c>
      <c r="I67" t="s">
        <v>95</v>
      </c>
      <c r="J67" t="s">
        <v>99</v>
      </c>
      <c r="K67" t="s">
        <v>109</v>
      </c>
      <c r="L67" s="1">
        <v>46143</v>
      </c>
      <c r="M67" s="1">
        <v>46173</v>
      </c>
      <c r="N67">
        <v>18.983409000000002</v>
      </c>
      <c r="O67" t="s">
        <v>58</v>
      </c>
      <c r="P67" t="s">
        <v>63</v>
      </c>
      <c r="Q67" t="s">
        <v>137</v>
      </c>
      <c r="R67" t="s">
        <v>140</v>
      </c>
      <c r="S67" t="s">
        <v>67</v>
      </c>
      <c r="T67" t="s">
        <v>170</v>
      </c>
      <c r="U67" t="s">
        <v>325</v>
      </c>
      <c r="V67">
        <v>16</v>
      </c>
      <c r="W67" s="2">
        <v>0</v>
      </c>
    </row>
    <row r="68" spans="1:23" x14ac:dyDescent="0.25">
      <c r="A68" t="s">
        <v>31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>
        <v>1141685</v>
      </c>
      <c r="H68" t="s">
        <v>76</v>
      </c>
      <c r="I68" t="s">
        <v>95</v>
      </c>
      <c r="J68" t="s">
        <v>99</v>
      </c>
      <c r="K68" t="s">
        <v>109</v>
      </c>
      <c r="L68" s="1">
        <v>46143</v>
      </c>
      <c r="M68" s="1">
        <v>46173</v>
      </c>
      <c r="N68">
        <v>0.81687500000000002</v>
      </c>
      <c r="O68" t="s">
        <v>58</v>
      </c>
      <c r="P68" t="s">
        <v>63</v>
      </c>
      <c r="Q68" t="s">
        <v>137</v>
      </c>
      <c r="R68" t="s">
        <v>140</v>
      </c>
      <c r="S68" t="s">
        <v>67</v>
      </c>
      <c r="T68" t="s">
        <v>170</v>
      </c>
      <c r="U68" t="s">
        <v>325</v>
      </c>
      <c r="V68">
        <v>16</v>
      </c>
      <c r="W68" s="2">
        <v>0</v>
      </c>
    </row>
    <row r="69" spans="1:23" x14ac:dyDescent="0.25">
      <c r="A69" t="s">
        <v>31</v>
      </c>
      <c r="B69" t="s">
        <v>32</v>
      </c>
      <c r="C69" t="s">
        <v>33</v>
      </c>
      <c r="D69" t="s">
        <v>34</v>
      </c>
      <c r="E69" t="s">
        <v>35</v>
      </c>
      <c r="F69" t="s">
        <v>36</v>
      </c>
      <c r="G69">
        <v>1141685</v>
      </c>
      <c r="H69" t="s">
        <v>76</v>
      </c>
      <c r="I69" t="s">
        <v>95</v>
      </c>
      <c r="J69" t="s">
        <v>99</v>
      </c>
      <c r="K69" t="s">
        <v>109</v>
      </c>
      <c r="L69" s="1">
        <v>46143</v>
      </c>
      <c r="M69" s="1">
        <v>46173</v>
      </c>
      <c r="N69">
        <v>20.916264999999999</v>
      </c>
      <c r="O69" t="s">
        <v>58</v>
      </c>
      <c r="P69" t="s">
        <v>63</v>
      </c>
      <c r="Q69" t="s">
        <v>137</v>
      </c>
      <c r="R69" t="s">
        <v>140</v>
      </c>
      <c r="S69" t="s">
        <v>67</v>
      </c>
      <c r="T69" t="s">
        <v>170</v>
      </c>
      <c r="U69" t="s">
        <v>325</v>
      </c>
      <c r="V69">
        <v>16</v>
      </c>
      <c r="W69" s="2">
        <v>0</v>
      </c>
    </row>
    <row r="70" spans="1:23" x14ac:dyDescent="0.25">
      <c r="A70" t="s">
        <v>31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>
        <v>1141685</v>
      </c>
      <c r="H70" t="s">
        <v>76</v>
      </c>
      <c r="I70" t="s">
        <v>95</v>
      </c>
      <c r="J70" t="s">
        <v>99</v>
      </c>
      <c r="K70" t="s">
        <v>109</v>
      </c>
      <c r="L70" s="1">
        <v>46143</v>
      </c>
      <c r="M70" s="1">
        <v>46173</v>
      </c>
      <c r="N70">
        <v>23.217196000000001</v>
      </c>
      <c r="O70" t="s">
        <v>58</v>
      </c>
      <c r="P70" t="s">
        <v>63</v>
      </c>
      <c r="Q70" t="s">
        <v>137</v>
      </c>
      <c r="R70" t="s">
        <v>140</v>
      </c>
      <c r="S70" t="s">
        <v>67</v>
      </c>
      <c r="T70" t="s">
        <v>170</v>
      </c>
      <c r="U70" t="s">
        <v>325</v>
      </c>
      <c r="V70">
        <v>16</v>
      </c>
      <c r="W70" s="2">
        <v>0</v>
      </c>
    </row>
    <row r="71" spans="1:23" x14ac:dyDescent="0.25">
      <c r="A71" t="s">
        <v>31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>
        <v>1141685</v>
      </c>
      <c r="H71" t="s">
        <v>85</v>
      </c>
      <c r="I71" t="s">
        <v>85</v>
      </c>
      <c r="J71" t="s">
        <v>85</v>
      </c>
      <c r="K71" t="s">
        <v>123</v>
      </c>
      <c r="L71" s="1">
        <v>46143</v>
      </c>
      <c r="M71" s="1">
        <v>46173</v>
      </c>
      <c r="N71">
        <v>39744</v>
      </c>
      <c r="O71" t="s">
        <v>61</v>
      </c>
      <c r="P71" t="s">
        <v>63</v>
      </c>
      <c r="Q71" t="s">
        <v>139</v>
      </c>
      <c r="R71" t="s">
        <v>152</v>
      </c>
      <c r="S71" t="s">
        <v>66</v>
      </c>
      <c r="T71" t="s">
        <v>220</v>
      </c>
      <c r="U71" t="s">
        <v>375</v>
      </c>
      <c r="V71">
        <v>6</v>
      </c>
      <c r="W71" s="2">
        <v>405623.6845952</v>
      </c>
    </row>
    <row r="72" spans="1:23" x14ac:dyDescent="0.2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>
        <v>1141685</v>
      </c>
      <c r="H72" t="s">
        <v>76</v>
      </c>
      <c r="I72" t="s">
        <v>95</v>
      </c>
      <c r="J72" t="s">
        <v>99</v>
      </c>
      <c r="K72" t="s">
        <v>109</v>
      </c>
      <c r="L72" s="1">
        <v>46143</v>
      </c>
      <c r="M72" s="1">
        <v>46173</v>
      </c>
      <c r="N72">
        <v>0.91668400000000005</v>
      </c>
      <c r="O72" t="s">
        <v>58</v>
      </c>
      <c r="P72" t="s">
        <v>63</v>
      </c>
      <c r="Q72" t="s">
        <v>137</v>
      </c>
      <c r="R72" t="s">
        <v>140</v>
      </c>
      <c r="S72" t="s">
        <v>67</v>
      </c>
      <c r="T72" t="s">
        <v>170</v>
      </c>
      <c r="U72" t="s">
        <v>325</v>
      </c>
      <c r="V72">
        <v>16</v>
      </c>
      <c r="W72" s="2">
        <v>0</v>
      </c>
    </row>
    <row r="73" spans="1:23" x14ac:dyDescent="0.25">
      <c r="A73" t="s">
        <v>31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>
        <v>1141685</v>
      </c>
      <c r="H73" t="s">
        <v>76</v>
      </c>
      <c r="I73" t="s">
        <v>95</v>
      </c>
      <c r="J73" t="s">
        <v>99</v>
      </c>
      <c r="K73" t="s">
        <v>109</v>
      </c>
      <c r="L73" s="1">
        <v>46143</v>
      </c>
      <c r="M73" s="1">
        <v>46173</v>
      </c>
      <c r="N73">
        <v>3.3293999999999997E-2</v>
      </c>
      <c r="O73" t="s">
        <v>58</v>
      </c>
      <c r="P73" t="s">
        <v>63</v>
      </c>
      <c r="Q73" t="s">
        <v>137</v>
      </c>
      <c r="R73" t="s">
        <v>140</v>
      </c>
      <c r="S73" t="s">
        <v>67</v>
      </c>
      <c r="T73" t="s">
        <v>170</v>
      </c>
      <c r="U73" t="s">
        <v>325</v>
      </c>
      <c r="V73">
        <v>16</v>
      </c>
      <c r="W73" s="2">
        <v>0</v>
      </c>
    </row>
    <row r="74" spans="1:23" x14ac:dyDescent="0.25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>
        <v>1141685</v>
      </c>
      <c r="H74" t="s">
        <v>76</v>
      </c>
      <c r="I74" t="s">
        <v>95</v>
      </c>
      <c r="J74" t="s">
        <v>99</v>
      </c>
      <c r="K74" t="s">
        <v>109</v>
      </c>
      <c r="L74" s="1">
        <v>46143</v>
      </c>
      <c r="M74" s="1">
        <v>46173</v>
      </c>
      <c r="N74">
        <v>40.465758999999998</v>
      </c>
      <c r="O74" t="s">
        <v>58</v>
      </c>
      <c r="P74" t="s">
        <v>63</v>
      </c>
      <c r="Q74" t="s">
        <v>137</v>
      </c>
      <c r="R74" t="s">
        <v>140</v>
      </c>
      <c r="S74" t="s">
        <v>67</v>
      </c>
      <c r="T74" t="s">
        <v>170</v>
      </c>
      <c r="U74" t="s">
        <v>325</v>
      </c>
      <c r="V74">
        <v>16</v>
      </c>
      <c r="W74" s="2">
        <v>0</v>
      </c>
    </row>
    <row r="75" spans="1:23" x14ac:dyDescent="0.25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>
        <v>1141685</v>
      </c>
      <c r="H75" t="s">
        <v>38</v>
      </c>
      <c r="I75" t="s">
        <v>38</v>
      </c>
      <c r="J75" t="s">
        <v>38</v>
      </c>
      <c r="K75" t="s">
        <v>50</v>
      </c>
      <c r="L75" s="1">
        <v>46143</v>
      </c>
      <c r="M75" s="1">
        <v>46173</v>
      </c>
      <c r="N75">
        <v>429</v>
      </c>
      <c r="O75" t="s">
        <v>61</v>
      </c>
      <c r="P75" t="s">
        <v>63</v>
      </c>
      <c r="Q75" t="s">
        <v>139</v>
      </c>
      <c r="R75" t="s">
        <v>144</v>
      </c>
      <c r="S75" t="s">
        <v>66</v>
      </c>
      <c r="T75" t="s">
        <v>221</v>
      </c>
      <c r="U75" t="s">
        <v>376</v>
      </c>
      <c r="V75">
        <v>6</v>
      </c>
      <c r="W75" s="2">
        <v>217.05020368000001</v>
      </c>
    </row>
    <row r="76" spans="1:23" x14ac:dyDescent="0.25">
      <c r="A76" t="s">
        <v>31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>
        <v>1141685</v>
      </c>
      <c r="H76" t="s">
        <v>77</v>
      </c>
      <c r="I76" t="s">
        <v>96</v>
      </c>
      <c r="J76" t="s">
        <v>77</v>
      </c>
      <c r="K76" t="s">
        <v>111</v>
      </c>
      <c r="L76" s="1">
        <v>46143</v>
      </c>
      <c r="M76" s="1">
        <v>46173</v>
      </c>
      <c r="N76">
        <v>1.2019951176000001</v>
      </c>
      <c r="O76" t="s">
        <v>56</v>
      </c>
      <c r="P76" t="s">
        <v>63</v>
      </c>
      <c r="Q76" t="s">
        <v>136</v>
      </c>
      <c r="R76" t="s">
        <v>141</v>
      </c>
      <c r="S76" t="s">
        <v>67</v>
      </c>
      <c r="T76" t="s">
        <v>222</v>
      </c>
      <c r="U76" t="s">
        <v>377</v>
      </c>
      <c r="V76">
        <v>15</v>
      </c>
      <c r="W76" s="2">
        <v>209.6960600285</v>
      </c>
    </row>
    <row r="77" spans="1:23" x14ac:dyDescent="0.25">
      <c r="A77" t="s">
        <v>31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>
        <v>1141685</v>
      </c>
      <c r="H77" t="s">
        <v>77</v>
      </c>
      <c r="I77" t="s">
        <v>96</v>
      </c>
      <c r="J77" t="s">
        <v>77</v>
      </c>
      <c r="K77" t="s">
        <v>111</v>
      </c>
      <c r="L77" s="1">
        <v>46143</v>
      </c>
      <c r="M77" s="1">
        <v>46173</v>
      </c>
      <c r="N77">
        <v>17.8275658851</v>
      </c>
      <c r="O77" t="s">
        <v>56</v>
      </c>
      <c r="P77" t="s">
        <v>63</v>
      </c>
      <c r="Q77" t="s">
        <v>136</v>
      </c>
      <c r="R77" t="s">
        <v>140</v>
      </c>
      <c r="S77" t="s">
        <v>67</v>
      </c>
      <c r="T77" t="s">
        <v>223</v>
      </c>
      <c r="U77" t="s">
        <v>378</v>
      </c>
      <c r="V77">
        <v>15</v>
      </c>
      <c r="W77" s="2">
        <v>3110.1934870043001</v>
      </c>
    </row>
    <row r="78" spans="1:23" x14ac:dyDescent="0.25">
      <c r="A78" t="s">
        <v>31</v>
      </c>
      <c r="B78" t="s">
        <v>32</v>
      </c>
      <c r="C78" t="s">
        <v>33</v>
      </c>
      <c r="D78" t="s">
        <v>34</v>
      </c>
      <c r="E78" t="s">
        <v>35</v>
      </c>
      <c r="F78" t="s">
        <v>36</v>
      </c>
      <c r="G78">
        <v>1141685</v>
      </c>
      <c r="H78" t="s">
        <v>76</v>
      </c>
      <c r="I78" t="s">
        <v>95</v>
      </c>
      <c r="J78" t="s">
        <v>99</v>
      </c>
      <c r="K78" t="s">
        <v>109</v>
      </c>
      <c r="L78" s="1">
        <v>46143</v>
      </c>
      <c r="M78" s="1">
        <v>46173</v>
      </c>
      <c r="N78">
        <v>0.15002099999999999</v>
      </c>
      <c r="O78" t="s">
        <v>58</v>
      </c>
      <c r="P78" t="s">
        <v>63</v>
      </c>
      <c r="Q78" t="s">
        <v>137</v>
      </c>
      <c r="R78" t="s">
        <v>151</v>
      </c>
      <c r="S78" t="s">
        <v>67</v>
      </c>
      <c r="T78" t="s">
        <v>218</v>
      </c>
      <c r="U78" t="s">
        <v>373</v>
      </c>
      <c r="V78">
        <v>17</v>
      </c>
      <c r="W78" s="2">
        <v>0</v>
      </c>
    </row>
    <row r="79" spans="1:23" x14ac:dyDescent="0.25">
      <c r="A79" t="s">
        <v>31</v>
      </c>
      <c r="B79" t="s">
        <v>32</v>
      </c>
      <c r="C79" t="s">
        <v>33</v>
      </c>
      <c r="D79" t="s">
        <v>34</v>
      </c>
      <c r="E79" t="s">
        <v>35</v>
      </c>
      <c r="F79" t="s">
        <v>36</v>
      </c>
      <c r="G79">
        <v>1141685</v>
      </c>
      <c r="H79" t="s">
        <v>76</v>
      </c>
      <c r="I79" t="s">
        <v>95</v>
      </c>
      <c r="J79" t="s">
        <v>99</v>
      </c>
      <c r="K79" t="s">
        <v>109</v>
      </c>
      <c r="L79" s="1">
        <v>46143</v>
      </c>
      <c r="M79" s="1">
        <v>46173</v>
      </c>
      <c r="N79">
        <v>0.46667399999999998</v>
      </c>
      <c r="O79" t="s">
        <v>58</v>
      </c>
      <c r="P79" t="s">
        <v>63</v>
      </c>
      <c r="Q79" t="s">
        <v>137</v>
      </c>
      <c r="R79" t="s">
        <v>151</v>
      </c>
      <c r="S79" t="s">
        <v>67</v>
      </c>
      <c r="T79" t="s">
        <v>218</v>
      </c>
      <c r="U79" t="s">
        <v>373</v>
      </c>
      <c r="V79">
        <v>17</v>
      </c>
      <c r="W79" s="2">
        <v>0</v>
      </c>
    </row>
    <row r="80" spans="1:23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>
        <v>1141685</v>
      </c>
      <c r="H80" t="s">
        <v>76</v>
      </c>
      <c r="I80" t="s">
        <v>95</v>
      </c>
      <c r="J80" t="s">
        <v>99</v>
      </c>
      <c r="K80" t="s">
        <v>109</v>
      </c>
      <c r="L80" s="1">
        <v>46143</v>
      </c>
      <c r="M80" s="1">
        <v>46173</v>
      </c>
      <c r="N80">
        <v>134.95005900000001</v>
      </c>
      <c r="O80" t="s">
        <v>58</v>
      </c>
      <c r="P80" t="s">
        <v>63</v>
      </c>
      <c r="Q80" t="s">
        <v>137</v>
      </c>
      <c r="R80" t="s">
        <v>141</v>
      </c>
      <c r="S80" t="s">
        <v>67</v>
      </c>
      <c r="T80" t="s">
        <v>224</v>
      </c>
      <c r="U80" t="s">
        <v>379</v>
      </c>
      <c r="V80">
        <v>15</v>
      </c>
      <c r="W80" s="2">
        <v>0</v>
      </c>
    </row>
    <row r="81" spans="1:23" x14ac:dyDescent="0.25">
      <c r="A81" t="s">
        <v>31</v>
      </c>
      <c r="B81" t="s">
        <v>32</v>
      </c>
      <c r="C81" t="s">
        <v>33</v>
      </c>
      <c r="D81" t="s">
        <v>34</v>
      </c>
      <c r="E81" t="s">
        <v>35</v>
      </c>
      <c r="F81" t="s">
        <v>36</v>
      </c>
      <c r="G81">
        <v>1141685</v>
      </c>
      <c r="H81" t="s">
        <v>76</v>
      </c>
      <c r="I81" t="s">
        <v>95</v>
      </c>
      <c r="J81" t="s">
        <v>99</v>
      </c>
      <c r="K81" t="s">
        <v>109</v>
      </c>
      <c r="L81" s="1">
        <v>46143</v>
      </c>
      <c r="M81" s="1">
        <v>46173</v>
      </c>
      <c r="N81">
        <v>4.9940999999999999E-2</v>
      </c>
      <c r="O81" t="s">
        <v>58</v>
      </c>
      <c r="P81" t="s">
        <v>63</v>
      </c>
      <c r="Q81" t="s">
        <v>137</v>
      </c>
      <c r="R81" t="s">
        <v>141</v>
      </c>
      <c r="S81" t="s">
        <v>67</v>
      </c>
      <c r="T81" t="s">
        <v>224</v>
      </c>
      <c r="U81" t="s">
        <v>379</v>
      </c>
      <c r="V81">
        <v>15</v>
      </c>
      <c r="W81" s="2">
        <v>0</v>
      </c>
    </row>
    <row r="82" spans="1:23" x14ac:dyDescent="0.25">
      <c r="A82" t="s">
        <v>31</v>
      </c>
      <c r="B82" t="s">
        <v>32</v>
      </c>
      <c r="C82" t="s">
        <v>33</v>
      </c>
      <c r="D82" t="s">
        <v>34</v>
      </c>
      <c r="E82" t="s">
        <v>35</v>
      </c>
      <c r="F82" t="s">
        <v>36</v>
      </c>
      <c r="G82">
        <v>1141685</v>
      </c>
      <c r="H82" t="s">
        <v>76</v>
      </c>
      <c r="I82" t="s">
        <v>95</v>
      </c>
      <c r="J82" t="s">
        <v>99</v>
      </c>
      <c r="K82" t="s">
        <v>109</v>
      </c>
      <c r="L82" s="1">
        <v>46143</v>
      </c>
      <c r="M82" s="1">
        <v>46173</v>
      </c>
      <c r="N82">
        <v>1.966704</v>
      </c>
      <c r="O82" t="s">
        <v>58</v>
      </c>
      <c r="P82" t="s">
        <v>63</v>
      </c>
      <c r="Q82" t="s">
        <v>137</v>
      </c>
      <c r="R82" t="s">
        <v>141</v>
      </c>
      <c r="S82" t="s">
        <v>67</v>
      </c>
      <c r="T82" t="s">
        <v>171</v>
      </c>
      <c r="U82" t="s">
        <v>326</v>
      </c>
      <c r="V82">
        <v>16</v>
      </c>
      <c r="W82" s="2">
        <v>0</v>
      </c>
    </row>
    <row r="83" spans="1:23" x14ac:dyDescent="0.25">
      <c r="A83" t="s">
        <v>31</v>
      </c>
      <c r="B83" t="s">
        <v>32</v>
      </c>
      <c r="C83" t="s">
        <v>33</v>
      </c>
      <c r="D83" t="s">
        <v>34</v>
      </c>
      <c r="E83" t="s">
        <v>35</v>
      </c>
      <c r="F83" t="s">
        <v>36</v>
      </c>
      <c r="G83">
        <v>1141685</v>
      </c>
      <c r="H83" t="s">
        <v>77</v>
      </c>
      <c r="I83" t="s">
        <v>96</v>
      </c>
      <c r="J83" t="s">
        <v>77</v>
      </c>
      <c r="K83" t="s">
        <v>111</v>
      </c>
      <c r="L83" s="1">
        <v>46143</v>
      </c>
      <c r="M83" s="1">
        <v>46173</v>
      </c>
      <c r="N83">
        <v>79.787850582000004</v>
      </c>
      <c r="O83" t="s">
        <v>56</v>
      </c>
      <c r="P83" t="s">
        <v>63</v>
      </c>
      <c r="Q83" t="s">
        <v>136</v>
      </c>
      <c r="R83" t="s">
        <v>140</v>
      </c>
      <c r="S83" t="s">
        <v>67</v>
      </c>
      <c r="T83" t="s">
        <v>225</v>
      </c>
      <c r="U83" t="s">
        <v>380</v>
      </c>
      <c r="V83">
        <v>16</v>
      </c>
      <c r="W83" s="2">
        <v>13919.783803037701</v>
      </c>
    </row>
    <row r="84" spans="1:23" x14ac:dyDescent="0.25">
      <c r="A84" t="s">
        <v>31</v>
      </c>
      <c r="B84" t="s">
        <v>32</v>
      </c>
      <c r="C84" t="s">
        <v>33</v>
      </c>
      <c r="D84" t="s">
        <v>34</v>
      </c>
      <c r="E84" t="s">
        <v>35</v>
      </c>
      <c r="F84" t="s">
        <v>36</v>
      </c>
      <c r="G84">
        <v>1141685</v>
      </c>
      <c r="H84" t="s">
        <v>76</v>
      </c>
      <c r="I84" t="s">
        <v>95</v>
      </c>
      <c r="J84" t="s">
        <v>99</v>
      </c>
      <c r="K84" t="s">
        <v>109</v>
      </c>
      <c r="L84" s="1">
        <v>46143</v>
      </c>
      <c r="M84" s="1">
        <v>46173</v>
      </c>
      <c r="N84">
        <v>2.149851</v>
      </c>
      <c r="O84" t="s">
        <v>58</v>
      </c>
      <c r="P84" t="s">
        <v>63</v>
      </c>
      <c r="Q84" t="s">
        <v>137</v>
      </c>
      <c r="R84" t="s">
        <v>141</v>
      </c>
      <c r="S84" t="s">
        <v>67</v>
      </c>
      <c r="T84" t="s">
        <v>171</v>
      </c>
      <c r="U84" t="s">
        <v>326</v>
      </c>
      <c r="V84">
        <v>16</v>
      </c>
      <c r="W84" s="2">
        <v>0</v>
      </c>
    </row>
    <row r="85" spans="1:23" x14ac:dyDescent="0.25">
      <c r="A85" t="s">
        <v>31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>
        <v>1141685</v>
      </c>
      <c r="H85" t="s">
        <v>76</v>
      </c>
      <c r="I85" t="s">
        <v>95</v>
      </c>
      <c r="J85" t="s">
        <v>99</v>
      </c>
      <c r="K85" t="s">
        <v>109</v>
      </c>
      <c r="L85" s="1">
        <v>46143</v>
      </c>
      <c r="M85" s="1">
        <v>46173</v>
      </c>
      <c r="N85">
        <v>170.83353</v>
      </c>
      <c r="O85" t="s">
        <v>58</v>
      </c>
      <c r="P85" t="s">
        <v>63</v>
      </c>
      <c r="Q85" t="s">
        <v>137</v>
      </c>
      <c r="R85" t="s">
        <v>141</v>
      </c>
      <c r="S85" t="s">
        <v>67</v>
      </c>
      <c r="T85" t="s">
        <v>171</v>
      </c>
      <c r="U85" t="s">
        <v>326</v>
      </c>
      <c r="V85">
        <v>16</v>
      </c>
      <c r="W85" s="2">
        <v>0</v>
      </c>
    </row>
    <row r="86" spans="1:23" x14ac:dyDescent="0.25">
      <c r="A86" t="s">
        <v>31</v>
      </c>
      <c r="B86" t="s">
        <v>32</v>
      </c>
      <c r="C86" t="s">
        <v>33</v>
      </c>
      <c r="D86" t="s">
        <v>34</v>
      </c>
      <c r="E86" t="s">
        <v>35</v>
      </c>
      <c r="F86" t="s">
        <v>36</v>
      </c>
      <c r="G86">
        <v>1141685</v>
      </c>
      <c r="H86" t="s">
        <v>77</v>
      </c>
      <c r="I86" t="s">
        <v>96</v>
      </c>
      <c r="J86" t="s">
        <v>77</v>
      </c>
      <c r="K86" t="s">
        <v>110</v>
      </c>
      <c r="L86" s="1">
        <v>46143</v>
      </c>
      <c r="M86" s="1">
        <v>46173</v>
      </c>
      <c r="N86">
        <v>744</v>
      </c>
      <c r="O86" t="s">
        <v>58</v>
      </c>
      <c r="P86" t="s">
        <v>63</v>
      </c>
      <c r="Q86" t="s">
        <v>138</v>
      </c>
      <c r="R86" t="s">
        <v>153</v>
      </c>
      <c r="S86" t="s">
        <v>67</v>
      </c>
      <c r="T86" t="s">
        <v>173</v>
      </c>
      <c r="U86" t="s">
        <v>328</v>
      </c>
      <c r="V86">
        <v>7</v>
      </c>
      <c r="W86" s="2">
        <v>129798.2412</v>
      </c>
    </row>
    <row r="87" spans="1:23" x14ac:dyDescent="0.25">
      <c r="A87" t="s">
        <v>31</v>
      </c>
      <c r="B87" t="s">
        <v>32</v>
      </c>
      <c r="C87" t="s">
        <v>33</v>
      </c>
      <c r="D87" t="s">
        <v>34</v>
      </c>
      <c r="E87" t="s">
        <v>35</v>
      </c>
      <c r="F87" t="s">
        <v>36</v>
      </c>
      <c r="G87">
        <v>1141685</v>
      </c>
      <c r="H87" t="s">
        <v>77</v>
      </c>
      <c r="I87" t="s">
        <v>96</v>
      </c>
      <c r="J87" t="s">
        <v>77</v>
      </c>
      <c r="K87" t="s">
        <v>110</v>
      </c>
      <c r="L87" s="1">
        <v>46143</v>
      </c>
      <c r="M87" s="1">
        <v>46173</v>
      </c>
      <c r="N87">
        <v>744</v>
      </c>
      <c r="O87" t="s">
        <v>58</v>
      </c>
      <c r="P87" t="s">
        <v>63</v>
      </c>
      <c r="Q87" t="s">
        <v>138</v>
      </c>
      <c r="R87" t="s">
        <v>150</v>
      </c>
      <c r="S87" t="s">
        <v>67</v>
      </c>
      <c r="T87" t="s">
        <v>173</v>
      </c>
      <c r="U87" t="s">
        <v>328</v>
      </c>
      <c r="V87">
        <v>7</v>
      </c>
      <c r="W87" s="2">
        <v>129798.2412</v>
      </c>
    </row>
    <row r="88" spans="1:23" x14ac:dyDescent="0.25">
      <c r="A88" t="s">
        <v>31</v>
      </c>
      <c r="B88" t="s">
        <v>32</v>
      </c>
      <c r="C88" t="s">
        <v>33</v>
      </c>
      <c r="D88" t="s">
        <v>34</v>
      </c>
      <c r="E88" t="s">
        <v>35</v>
      </c>
      <c r="F88" t="s">
        <v>36</v>
      </c>
      <c r="G88">
        <v>1141685</v>
      </c>
      <c r="H88" t="s">
        <v>76</v>
      </c>
      <c r="I88" t="s">
        <v>95</v>
      </c>
      <c r="J88" t="s">
        <v>99</v>
      </c>
      <c r="K88" t="s">
        <v>109</v>
      </c>
      <c r="L88" s="1">
        <v>46143</v>
      </c>
      <c r="M88" s="1">
        <v>46173</v>
      </c>
      <c r="N88">
        <v>27.067993000000001</v>
      </c>
      <c r="O88" t="s">
        <v>58</v>
      </c>
      <c r="P88" t="s">
        <v>63</v>
      </c>
      <c r="Q88" t="s">
        <v>137</v>
      </c>
      <c r="R88" t="s">
        <v>140</v>
      </c>
      <c r="S88" t="s">
        <v>67</v>
      </c>
      <c r="T88" t="s">
        <v>219</v>
      </c>
      <c r="U88" t="s">
        <v>374</v>
      </c>
      <c r="V88">
        <v>15</v>
      </c>
      <c r="W88" s="2">
        <v>0</v>
      </c>
    </row>
    <row r="89" spans="1:23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36</v>
      </c>
      <c r="G89">
        <v>1141685</v>
      </c>
      <c r="H89" t="s">
        <v>76</v>
      </c>
      <c r="I89" t="s">
        <v>95</v>
      </c>
      <c r="J89" t="s">
        <v>99</v>
      </c>
      <c r="K89" t="s">
        <v>109</v>
      </c>
      <c r="L89" s="1">
        <v>46143</v>
      </c>
      <c r="M89" s="1">
        <v>46173</v>
      </c>
      <c r="N89">
        <v>1.950059</v>
      </c>
      <c r="O89" t="s">
        <v>58</v>
      </c>
      <c r="P89" t="s">
        <v>63</v>
      </c>
      <c r="Q89" t="s">
        <v>137</v>
      </c>
      <c r="R89" t="s">
        <v>140</v>
      </c>
      <c r="S89" t="s">
        <v>67</v>
      </c>
      <c r="T89" t="s">
        <v>219</v>
      </c>
      <c r="U89" t="s">
        <v>374</v>
      </c>
      <c r="V89">
        <v>15</v>
      </c>
      <c r="W89" s="2">
        <v>0</v>
      </c>
    </row>
    <row r="90" spans="1:23" x14ac:dyDescent="0.25">
      <c r="A90" t="s">
        <v>31</v>
      </c>
      <c r="B90" t="s">
        <v>32</v>
      </c>
      <c r="C90" t="s">
        <v>33</v>
      </c>
      <c r="D90" t="s">
        <v>34</v>
      </c>
      <c r="E90" t="s">
        <v>35</v>
      </c>
      <c r="F90" t="s">
        <v>36</v>
      </c>
      <c r="G90">
        <v>1141685</v>
      </c>
      <c r="H90" t="s">
        <v>76</v>
      </c>
      <c r="I90" t="s">
        <v>95</v>
      </c>
      <c r="J90" t="s">
        <v>99</v>
      </c>
      <c r="K90" t="s">
        <v>109</v>
      </c>
      <c r="L90" s="1">
        <v>46143</v>
      </c>
      <c r="M90" s="1">
        <v>46173</v>
      </c>
      <c r="N90">
        <v>98.483005000000006</v>
      </c>
      <c r="O90" t="s">
        <v>58</v>
      </c>
      <c r="P90" t="s">
        <v>63</v>
      </c>
      <c r="Q90" t="s">
        <v>137</v>
      </c>
      <c r="R90" t="s">
        <v>140</v>
      </c>
      <c r="S90" t="s">
        <v>67</v>
      </c>
      <c r="T90" t="s">
        <v>219</v>
      </c>
      <c r="U90" t="s">
        <v>374</v>
      </c>
      <c r="V90">
        <v>15</v>
      </c>
      <c r="W90" s="2">
        <v>0</v>
      </c>
    </row>
    <row r="91" spans="1:23" x14ac:dyDescent="0.25">
      <c r="A91" t="s">
        <v>31</v>
      </c>
      <c r="B91" t="s">
        <v>32</v>
      </c>
      <c r="C91" t="s">
        <v>33</v>
      </c>
      <c r="D91" t="s">
        <v>34</v>
      </c>
      <c r="E91" t="s">
        <v>35</v>
      </c>
      <c r="F91" t="s">
        <v>36</v>
      </c>
      <c r="G91">
        <v>1141685</v>
      </c>
      <c r="H91" t="s">
        <v>76</v>
      </c>
      <c r="I91" t="s">
        <v>95</v>
      </c>
      <c r="J91" t="s">
        <v>99</v>
      </c>
      <c r="K91" t="s">
        <v>109</v>
      </c>
      <c r="L91" s="1">
        <v>46143</v>
      </c>
      <c r="M91" s="1">
        <v>46173</v>
      </c>
      <c r="N91">
        <v>0.98335300000000003</v>
      </c>
      <c r="O91" t="s">
        <v>58</v>
      </c>
      <c r="P91" t="s">
        <v>63</v>
      </c>
      <c r="Q91" t="s">
        <v>137</v>
      </c>
      <c r="R91" t="s">
        <v>140</v>
      </c>
      <c r="S91" t="s">
        <v>67</v>
      </c>
      <c r="T91" t="s">
        <v>219</v>
      </c>
      <c r="U91" t="s">
        <v>374</v>
      </c>
      <c r="V91">
        <v>15</v>
      </c>
      <c r="W91" s="2">
        <v>0</v>
      </c>
    </row>
    <row r="92" spans="1:23" x14ac:dyDescent="0.25">
      <c r="A92" t="s">
        <v>31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>
        <v>1141685</v>
      </c>
      <c r="H92" t="s">
        <v>76</v>
      </c>
      <c r="I92" t="s">
        <v>95</v>
      </c>
      <c r="J92" t="s">
        <v>99</v>
      </c>
      <c r="K92" t="s">
        <v>109</v>
      </c>
      <c r="L92" s="1">
        <v>46143</v>
      </c>
      <c r="M92" s="1">
        <v>46173</v>
      </c>
      <c r="N92">
        <v>0.40018599999999999</v>
      </c>
      <c r="O92" t="s">
        <v>58</v>
      </c>
      <c r="P92" t="s">
        <v>63</v>
      </c>
      <c r="Q92" t="s">
        <v>137</v>
      </c>
      <c r="R92" t="s">
        <v>140</v>
      </c>
      <c r="S92" t="s">
        <v>67</v>
      </c>
      <c r="T92" t="s">
        <v>219</v>
      </c>
      <c r="U92" t="s">
        <v>374</v>
      </c>
      <c r="V92">
        <v>15</v>
      </c>
      <c r="W92" s="2">
        <v>0</v>
      </c>
    </row>
    <row r="93" spans="1:23" x14ac:dyDescent="0.25">
      <c r="A93" t="s">
        <v>31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>
        <v>1141685</v>
      </c>
      <c r="H93" t="s">
        <v>76</v>
      </c>
      <c r="I93" t="s">
        <v>95</v>
      </c>
      <c r="J93" t="s">
        <v>99</v>
      </c>
      <c r="K93" t="s">
        <v>109</v>
      </c>
      <c r="L93" s="1">
        <v>46143</v>
      </c>
      <c r="M93" s="1">
        <v>46173</v>
      </c>
      <c r="N93">
        <v>44.733905</v>
      </c>
      <c r="O93" t="s">
        <v>58</v>
      </c>
      <c r="P93" t="s">
        <v>63</v>
      </c>
      <c r="Q93" t="s">
        <v>137</v>
      </c>
      <c r="R93" t="s">
        <v>140</v>
      </c>
      <c r="S93" t="s">
        <v>67</v>
      </c>
      <c r="T93" t="s">
        <v>219</v>
      </c>
      <c r="U93" t="s">
        <v>374</v>
      </c>
      <c r="V93">
        <v>15</v>
      </c>
      <c r="W93" s="2">
        <v>0</v>
      </c>
    </row>
    <row r="94" spans="1:23" x14ac:dyDescent="0.25">
      <c r="A94" t="s">
        <v>31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>
        <v>1141685</v>
      </c>
      <c r="H94" t="s">
        <v>76</v>
      </c>
      <c r="I94" t="s">
        <v>95</v>
      </c>
      <c r="J94" t="s">
        <v>99</v>
      </c>
      <c r="K94" t="s">
        <v>109</v>
      </c>
      <c r="L94" s="1">
        <v>46143</v>
      </c>
      <c r="M94" s="1">
        <v>46173</v>
      </c>
      <c r="N94">
        <v>15.733957</v>
      </c>
      <c r="O94" t="s">
        <v>58</v>
      </c>
      <c r="P94" t="s">
        <v>63</v>
      </c>
      <c r="Q94" t="s">
        <v>137</v>
      </c>
      <c r="R94" t="s">
        <v>140</v>
      </c>
      <c r="S94" t="s">
        <v>67</v>
      </c>
      <c r="T94" t="s">
        <v>170</v>
      </c>
      <c r="U94" t="s">
        <v>325</v>
      </c>
      <c r="V94">
        <v>16</v>
      </c>
      <c r="W94" s="2">
        <v>0</v>
      </c>
    </row>
    <row r="95" spans="1:23" x14ac:dyDescent="0.25">
      <c r="A95" t="s">
        <v>31</v>
      </c>
      <c r="B95" t="s">
        <v>32</v>
      </c>
      <c r="C95" t="s">
        <v>33</v>
      </c>
      <c r="D95" t="s">
        <v>34</v>
      </c>
      <c r="E95" t="s">
        <v>35</v>
      </c>
      <c r="F95" t="s">
        <v>36</v>
      </c>
      <c r="G95">
        <v>1141685</v>
      </c>
      <c r="H95" t="s">
        <v>76</v>
      </c>
      <c r="I95" t="s">
        <v>95</v>
      </c>
      <c r="J95" t="s">
        <v>99</v>
      </c>
      <c r="K95" t="s">
        <v>109</v>
      </c>
      <c r="L95" s="1">
        <v>46143</v>
      </c>
      <c r="M95" s="1">
        <v>46173</v>
      </c>
      <c r="N95">
        <v>2.7999999999999998E-4</v>
      </c>
      <c r="O95" t="s">
        <v>58</v>
      </c>
      <c r="P95" t="s">
        <v>63</v>
      </c>
      <c r="Q95" t="s">
        <v>137</v>
      </c>
      <c r="R95" t="s">
        <v>140</v>
      </c>
      <c r="S95" t="s">
        <v>67</v>
      </c>
      <c r="T95" t="s">
        <v>170</v>
      </c>
      <c r="U95" t="s">
        <v>325</v>
      </c>
      <c r="V95">
        <v>16</v>
      </c>
      <c r="W95" s="2">
        <v>0</v>
      </c>
    </row>
    <row r="96" spans="1:23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>
        <v>1141685</v>
      </c>
      <c r="H96" t="s">
        <v>76</v>
      </c>
      <c r="I96" t="s">
        <v>95</v>
      </c>
      <c r="J96" t="s">
        <v>99</v>
      </c>
      <c r="K96" t="s">
        <v>109</v>
      </c>
      <c r="L96" s="1">
        <v>46143</v>
      </c>
      <c r="M96" s="1">
        <v>46173</v>
      </c>
      <c r="N96">
        <v>9.0173760000000005</v>
      </c>
      <c r="O96" t="s">
        <v>58</v>
      </c>
      <c r="P96" t="s">
        <v>63</v>
      </c>
      <c r="Q96" t="s">
        <v>137</v>
      </c>
      <c r="R96" t="s">
        <v>140</v>
      </c>
      <c r="S96" t="s">
        <v>67</v>
      </c>
      <c r="T96" t="s">
        <v>170</v>
      </c>
      <c r="U96" t="s">
        <v>325</v>
      </c>
      <c r="V96">
        <v>16</v>
      </c>
      <c r="W96" s="2">
        <v>0</v>
      </c>
    </row>
    <row r="97" spans="1:23" x14ac:dyDescent="0.25">
      <c r="A97" t="s">
        <v>31</v>
      </c>
      <c r="B97" t="s">
        <v>32</v>
      </c>
      <c r="C97" t="s">
        <v>33</v>
      </c>
      <c r="D97" t="s">
        <v>34</v>
      </c>
      <c r="E97" t="s">
        <v>35</v>
      </c>
      <c r="F97" t="s">
        <v>36</v>
      </c>
      <c r="G97">
        <v>1141685</v>
      </c>
      <c r="H97" t="s">
        <v>76</v>
      </c>
      <c r="I97" t="s">
        <v>95</v>
      </c>
      <c r="J97" t="s">
        <v>99</v>
      </c>
      <c r="K97" t="s">
        <v>109</v>
      </c>
      <c r="L97" s="1">
        <v>46143</v>
      </c>
      <c r="M97" s="1">
        <v>46173</v>
      </c>
      <c r="N97">
        <v>2.6665679999999998</v>
      </c>
      <c r="O97" t="s">
        <v>58</v>
      </c>
      <c r="P97" t="s">
        <v>63</v>
      </c>
      <c r="Q97" t="s">
        <v>137</v>
      </c>
      <c r="R97" t="s">
        <v>140</v>
      </c>
      <c r="S97" t="s">
        <v>67</v>
      </c>
      <c r="T97" t="s">
        <v>170</v>
      </c>
      <c r="U97" t="s">
        <v>325</v>
      </c>
      <c r="V97">
        <v>16</v>
      </c>
      <c r="W97" s="2">
        <v>0</v>
      </c>
    </row>
    <row r="98" spans="1:23" x14ac:dyDescent="0.25">
      <c r="A98" t="s">
        <v>31</v>
      </c>
      <c r="B98" t="s">
        <v>32</v>
      </c>
      <c r="C98" t="s">
        <v>33</v>
      </c>
      <c r="D98" t="s">
        <v>34</v>
      </c>
      <c r="E98" t="s">
        <v>35</v>
      </c>
      <c r="F98" t="s">
        <v>36</v>
      </c>
      <c r="G98">
        <v>1141685</v>
      </c>
      <c r="H98" t="s">
        <v>76</v>
      </c>
      <c r="I98" t="s">
        <v>95</v>
      </c>
      <c r="J98" t="s">
        <v>99</v>
      </c>
      <c r="K98" t="s">
        <v>109</v>
      </c>
      <c r="L98" s="1">
        <v>46143</v>
      </c>
      <c r="M98" s="1">
        <v>46173</v>
      </c>
      <c r="N98">
        <v>45.383580000000002</v>
      </c>
      <c r="O98" t="s">
        <v>58</v>
      </c>
      <c r="P98" t="s">
        <v>63</v>
      </c>
      <c r="Q98" t="s">
        <v>137</v>
      </c>
      <c r="R98" t="s">
        <v>140</v>
      </c>
      <c r="S98" t="s">
        <v>67</v>
      </c>
      <c r="T98" t="s">
        <v>170</v>
      </c>
      <c r="U98" t="s">
        <v>325</v>
      </c>
      <c r="V98">
        <v>16</v>
      </c>
      <c r="W98" s="2">
        <v>0</v>
      </c>
    </row>
    <row r="99" spans="1:23" x14ac:dyDescent="0.25">
      <c r="A99" t="s">
        <v>31</v>
      </c>
      <c r="B99" t="s">
        <v>32</v>
      </c>
      <c r="C99" t="s">
        <v>33</v>
      </c>
      <c r="D99" t="s">
        <v>34</v>
      </c>
      <c r="E99" t="s">
        <v>35</v>
      </c>
      <c r="F99" t="s">
        <v>36</v>
      </c>
      <c r="G99">
        <v>1141685</v>
      </c>
      <c r="H99" t="s">
        <v>76</v>
      </c>
      <c r="I99" t="s">
        <v>95</v>
      </c>
      <c r="J99" t="s">
        <v>99</v>
      </c>
      <c r="K99" t="s">
        <v>109</v>
      </c>
      <c r="L99" s="1">
        <v>46143</v>
      </c>
      <c r="M99" s="1">
        <v>46173</v>
      </c>
      <c r="N99">
        <v>98.783051</v>
      </c>
      <c r="O99" t="s">
        <v>58</v>
      </c>
      <c r="P99" t="s">
        <v>63</v>
      </c>
      <c r="Q99" t="s">
        <v>137</v>
      </c>
      <c r="R99" t="s">
        <v>140</v>
      </c>
      <c r="S99" t="s">
        <v>67</v>
      </c>
      <c r="T99" t="s">
        <v>170</v>
      </c>
      <c r="U99" t="s">
        <v>325</v>
      </c>
      <c r="V99">
        <v>16</v>
      </c>
      <c r="W99" s="2">
        <v>0</v>
      </c>
    </row>
    <row r="100" spans="1:23" x14ac:dyDescent="0.25">
      <c r="A100" t="s">
        <v>31</v>
      </c>
      <c r="B100" t="s">
        <v>32</v>
      </c>
      <c r="C100" t="s">
        <v>33</v>
      </c>
      <c r="D100" t="s">
        <v>34</v>
      </c>
      <c r="E100" t="s">
        <v>35</v>
      </c>
      <c r="F100" t="s">
        <v>36</v>
      </c>
      <c r="G100">
        <v>1141685</v>
      </c>
      <c r="H100" t="s">
        <v>76</v>
      </c>
      <c r="I100" t="s">
        <v>95</v>
      </c>
      <c r="J100" t="s">
        <v>99</v>
      </c>
      <c r="K100" t="s">
        <v>109</v>
      </c>
      <c r="L100" s="1">
        <v>46143</v>
      </c>
      <c r="M100" s="1">
        <v>46173</v>
      </c>
      <c r="N100">
        <v>166.98207400000001</v>
      </c>
      <c r="O100" t="s">
        <v>58</v>
      </c>
      <c r="P100" t="s">
        <v>63</v>
      </c>
      <c r="Q100" t="s">
        <v>137</v>
      </c>
      <c r="R100" t="s">
        <v>140</v>
      </c>
      <c r="S100" t="s">
        <v>67</v>
      </c>
      <c r="T100" t="s">
        <v>170</v>
      </c>
      <c r="U100" t="s">
        <v>325</v>
      </c>
      <c r="V100">
        <v>16</v>
      </c>
      <c r="W100" s="2">
        <v>0</v>
      </c>
    </row>
    <row r="101" spans="1:23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>
        <v>1141685</v>
      </c>
      <c r="H101" t="s">
        <v>76</v>
      </c>
      <c r="I101" t="s">
        <v>95</v>
      </c>
      <c r="J101" t="s">
        <v>99</v>
      </c>
      <c r="K101" t="s">
        <v>109</v>
      </c>
      <c r="L101" s="1">
        <v>46143</v>
      </c>
      <c r="M101" s="1">
        <v>46173</v>
      </c>
      <c r="N101">
        <v>0.26649299999999998</v>
      </c>
      <c r="O101" t="s">
        <v>58</v>
      </c>
      <c r="P101" t="s">
        <v>63</v>
      </c>
      <c r="Q101" t="s">
        <v>137</v>
      </c>
      <c r="R101" t="s">
        <v>140</v>
      </c>
      <c r="S101" t="s">
        <v>67</v>
      </c>
      <c r="T101" t="s">
        <v>170</v>
      </c>
      <c r="U101" t="s">
        <v>325</v>
      </c>
      <c r="V101">
        <v>16</v>
      </c>
      <c r="W101" s="2">
        <v>0</v>
      </c>
    </row>
    <row r="102" spans="1:23" x14ac:dyDescent="0.25">
      <c r="A102" t="s">
        <v>31</v>
      </c>
      <c r="B102" t="s">
        <v>32</v>
      </c>
      <c r="C102" t="s">
        <v>33</v>
      </c>
      <c r="D102" t="s">
        <v>34</v>
      </c>
      <c r="E102" t="s">
        <v>35</v>
      </c>
      <c r="F102" t="s">
        <v>36</v>
      </c>
      <c r="G102">
        <v>1141685</v>
      </c>
      <c r="H102" t="s">
        <v>86</v>
      </c>
      <c r="I102" t="s">
        <v>42</v>
      </c>
      <c r="J102" t="s">
        <v>86</v>
      </c>
      <c r="K102" t="s">
        <v>124</v>
      </c>
      <c r="L102" s="1">
        <v>46143</v>
      </c>
      <c r="M102" s="1">
        <v>46173</v>
      </c>
      <c r="N102">
        <v>5.0600000000000005E-4</v>
      </c>
      <c r="O102" t="s">
        <v>135</v>
      </c>
      <c r="P102" t="s">
        <v>63</v>
      </c>
      <c r="Q102" t="s">
        <v>137</v>
      </c>
      <c r="R102" t="s">
        <v>154</v>
      </c>
      <c r="S102" t="s">
        <v>67</v>
      </c>
      <c r="T102" t="s">
        <v>226</v>
      </c>
      <c r="U102" t="s">
        <v>381</v>
      </c>
      <c r="V102">
        <v>17</v>
      </c>
      <c r="W102" s="2">
        <v>173.99427468479999</v>
      </c>
    </row>
    <row r="103" spans="1:23" x14ac:dyDescent="0.25">
      <c r="A103" t="s">
        <v>31</v>
      </c>
      <c r="B103" t="s">
        <v>32</v>
      </c>
      <c r="C103" t="s">
        <v>33</v>
      </c>
      <c r="D103" t="s">
        <v>34</v>
      </c>
      <c r="E103" t="s">
        <v>35</v>
      </c>
      <c r="F103" t="s">
        <v>36</v>
      </c>
      <c r="G103">
        <v>1141685</v>
      </c>
      <c r="H103" t="s">
        <v>76</v>
      </c>
      <c r="I103" t="s">
        <v>95</v>
      </c>
      <c r="J103" t="s">
        <v>99</v>
      </c>
      <c r="K103" t="s">
        <v>109</v>
      </c>
      <c r="L103" s="1">
        <v>46143</v>
      </c>
      <c r="M103" s="1">
        <v>46173</v>
      </c>
      <c r="N103">
        <v>34.883088999999998</v>
      </c>
      <c r="O103" t="s">
        <v>58</v>
      </c>
      <c r="P103" t="s">
        <v>63</v>
      </c>
      <c r="Q103" t="s">
        <v>137</v>
      </c>
      <c r="R103" t="s">
        <v>140</v>
      </c>
      <c r="S103" t="s">
        <v>67</v>
      </c>
      <c r="T103" t="s">
        <v>170</v>
      </c>
      <c r="U103" t="s">
        <v>325</v>
      </c>
      <c r="V103">
        <v>16</v>
      </c>
      <c r="W103" s="2">
        <v>0</v>
      </c>
    </row>
    <row r="104" spans="1:23" x14ac:dyDescent="0.25">
      <c r="A104" t="s">
        <v>31</v>
      </c>
      <c r="B104" t="s">
        <v>32</v>
      </c>
      <c r="C104" t="s">
        <v>33</v>
      </c>
      <c r="D104" t="s">
        <v>34</v>
      </c>
      <c r="E104" t="s">
        <v>35</v>
      </c>
      <c r="F104" t="s">
        <v>36</v>
      </c>
      <c r="G104">
        <v>1141685</v>
      </c>
      <c r="H104" t="s">
        <v>76</v>
      </c>
      <c r="I104" t="s">
        <v>95</v>
      </c>
      <c r="J104" t="s">
        <v>99</v>
      </c>
      <c r="K104" t="s">
        <v>109</v>
      </c>
      <c r="L104" s="1">
        <v>46143</v>
      </c>
      <c r="M104" s="1">
        <v>46173</v>
      </c>
      <c r="N104">
        <v>66.915857000000003</v>
      </c>
      <c r="O104" t="s">
        <v>58</v>
      </c>
      <c r="P104" t="s">
        <v>63</v>
      </c>
      <c r="Q104" t="s">
        <v>137</v>
      </c>
      <c r="R104" t="s">
        <v>140</v>
      </c>
      <c r="S104" t="s">
        <v>67</v>
      </c>
      <c r="T104" t="s">
        <v>170</v>
      </c>
      <c r="U104" t="s">
        <v>325</v>
      </c>
      <c r="V104">
        <v>16</v>
      </c>
      <c r="W104" s="2">
        <v>0</v>
      </c>
    </row>
    <row r="105" spans="1:23" x14ac:dyDescent="0.25">
      <c r="A105" t="s">
        <v>31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>
        <v>1141685</v>
      </c>
      <c r="H105" t="s">
        <v>76</v>
      </c>
      <c r="I105" t="s">
        <v>95</v>
      </c>
      <c r="J105" t="s">
        <v>99</v>
      </c>
      <c r="K105" t="s">
        <v>109</v>
      </c>
      <c r="L105" s="1">
        <v>46143</v>
      </c>
      <c r="M105" s="1">
        <v>46173</v>
      </c>
      <c r="N105">
        <v>2.3501270000000001</v>
      </c>
      <c r="O105" t="s">
        <v>58</v>
      </c>
      <c r="P105" t="s">
        <v>63</v>
      </c>
      <c r="Q105" t="s">
        <v>137</v>
      </c>
      <c r="R105" t="s">
        <v>140</v>
      </c>
      <c r="S105" t="s">
        <v>67</v>
      </c>
      <c r="T105" t="s">
        <v>170</v>
      </c>
      <c r="U105" t="s">
        <v>325</v>
      </c>
      <c r="V105">
        <v>16</v>
      </c>
      <c r="W105" s="2">
        <v>0</v>
      </c>
    </row>
    <row r="106" spans="1:23" x14ac:dyDescent="0.25">
      <c r="A106" t="s">
        <v>31</v>
      </c>
      <c r="B106" t="s">
        <v>32</v>
      </c>
      <c r="C106" t="s">
        <v>33</v>
      </c>
      <c r="D106" t="s">
        <v>34</v>
      </c>
      <c r="E106" t="s">
        <v>35</v>
      </c>
      <c r="F106" t="s">
        <v>36</v>
      </c>
      <c r="G106">
        <v>1141685</v>
      </c>
      <c r="H106" t="s">
        <v>77</v>
      </c>
      <c r="I106" t="s">
        <v>96</v>
      </c>
      <c r="J106" t="s">
        <v>77</v>
      </c>
      <c r="K106" t="s">
        <v>110</v>
      </c>
      <c r="L106" s="1">
        <v>46143</v>
      </c>
      <c r="M106" s="1">
        <v>46173</v>
      </c>
      <c r="N106">
        <v>744</v>
      </c>
      <c r="O106" t="s">
        <v>58</v>
      </c>
      <c r="P106" t="s">
        <v>63</v>
      </c>
      <c r="Q106" t="s">
        <v>138</v>
      </c>
      <c r="R106" t="s">
        <v>155</v>
      </c>
      <c r="S106" t="s">
        <v>67</v>
      </c>
      <c r="T106" t="s">
        <v>227</v>
      </c>
      <c r="U106" t="s">
        <v>382</v>
      </c>
      <c r="V106">
        <v>7</v>
      </c>
      <c r="W106" s="2">
        <v>129798.2412</v>
      </c>
    </row>
    <row r="107" spans="1:23" x14ac:dyDescent="0.25">
      <c r="A107" t="s">
        <v>31</v>
      </c>
      <c r="B107" t="s">
        <v>32</v>
      </c>
      <c r="C107" t="s">
        <v>33</v>
      </c>
      <c r="D107" t="s">
        <v>34</v>
      </c>
      <c r="E107" t="s">
        <v>35</v>
      </c>
      <c r="F107" t="s">
        <v>36</v>
      </c>
      <c r="G107">
        <v>1141685</v>
      </c>
      <c r="H107" t="s">
        <v>77</v>
      </c>
      <c r="I107" t="s">
        <v>96</v>
      </c>
      <c r="J107" t="s">
        <v>77</v>
      </c>
      <c r="K107" t="s">
        <v>111</v>
      </c>
      <c r="L107" s="1">
        <v>46143</v>
      </c>
      <c r="M107" s="1">
        <v>46173</v>
      </c>
      <c r="N107">
        <v>12.8241883917</v>
      </c>
      <c r="O107" t="s">
        <v>56</v>
      </c>
      <c r="P107" t="s">
        <v>63</v>
      </c>
      <c r="Q107" t="s">
        <v>136</v>
      </c>
      <c r="R107" t="s">
        <v>140</v>
      </c>
      <c r="S107" t="s">
        <v>67</v>
      </c>
      <c r="T107" t="s">
        <v>228</v>
      </c>
      <c r="U107" t="s">
        <v>383</v>
      </c>
      <c r="V107">
        <v>15</v>
      </c>
      <c r="W107" s="2">
        <v>2237.3109579946999</v>
      </c>
    </row>
    <row r="108" spans="1:23" x14ac:dyDescent="0.25">
      <c r="A108" t="s">
        <v>31</v>
      </c>
      <c r="B108" t="s">
        <v>32</v>
      </c>
      <c r="C108" t="s">
        <v>33</v>
      </c>
      <c r="D108" t="s">
        <v>34</v>
      </c>
      <c r="E108" t="s">
        <v>35</v>
      </c>
      <c r="F108" t="s">
        <v>36</v>
      </c>
      <c r="G108">
        <v>1141685</v>
      </c>
      <c r="H108" t="s">
        <v>77</v>
      </c>
      <c r="I108" t="s">
        <v>96</v>
      </c>
      <c r="J108" t="s">
        <v>77</v>
      </c>
      <c r="K108" t="s">
        <v>113</v>
      </c>
      <c r="L108" s="1">
        <v>46143</v>
      </c>
      <c r="M108" s="1">
        <v>46173</v>
      </c>
      <c r="N108">
        <v>3.7826500000000002E-4</v>
      </c>
      <c r="O108" t="s">
        <v>56</v>
      </c>
      <c r="P108" t="s">
        <v>63</v>
      </c>
      <c r="Q108" t="s">
        <v>138</v>
      </c>
      <c r="R108" t="s">
        <v>150</v>
      </c>
      <c r="S108" t="s">
        <v>67</v>
      </c>
      <c r="T108" t="s">
        <v>229</v>
      </c>
      <c r="U108" t="s">
        <v>384</v>
      </c>
      <c r="V108">
        <v>7</v>
      </c>
      <c r="W108" s="2">
        <v>6.8073065299999999E-2</v>
      </c>
    </row>
    <row r="109" spans="1:23" x14ac:dyDescent="0.25">
      <c r="A109" t="s">
        <v>31</v>
      </c>
      <c r="B109" t="s">
        <v>32</v>
      </c>
      <c r="C109" t="s">
        <v>33</v>
      </c>
      <c r="D109" t="s">
        <v>34</v>
      </c>
      <c r="E109" t="s">
        <v>35</v>
      </c>
      <c r="F109" t="s">
        <v>36</v>
      </c>
      <c r="G109">
        <v>1141685</v>
      </c>
      <c r="H109" t="s">
        <v>77</v>
      </c>
      <c r="I109" t="s">
        <v>96</v>
      </c>
      <c r="J109" t="s">
        <v>77</v>
      </c>
      <c r="K109" t="s">
        <v>113</v>
      </c>
      <c r="L109" s="1">
        <v>46143</v>
      </c>
      <c r="M109" s="1">
        <v>46173</v>
      </c>
      <c r="N109">
        <v>2.4156784592</v>
      </c>
      <c r="O109" t="s">
        <v>56</v>
      </c>
      <c r="P109" t="s">
        <v>63</v>
      </c>
      <c r="Q109" t="s">
        <v>136</v>
      </c>
      <c r="R109" t="s">
        <v>141</v>
      </c>
      <c r="S109" t="s">
        <v>67</v>
      </c>
      <c r="T109" t="s">
        <v>230</v>
      </c>
      <c r="U109" t="s">
        <v>385</v>
      </c>
      <c r="V109">
        <v>15</v>
      </c>
      <c r="W109" s="2">
        <v>421.43655231529999</v>
      </c>
    </row>
    <row r="110" spans="1:23" x14ac:dyDescent="0.25">
      <c r="A110" t="s">
        <v>31</v>
      </c>
      <c r="B110" t="s">
        <v>32</v>
      </c>
      <c r="C110" t="s">
        <v>33</v>
      </c>
      <c r="D110" t="s">
        <v>34</v>
      </c>
      <c r="E110" t="s">
        <v>35</v>
      </c>
      <c r="F110" t="s">
        <v>36</v>
      </c>
      <c r="G110">
        <v>1141685</v>
      </c>
      <c r="H110" t="s">
        <v>77</v>
      </c>
      <c r="I110" t="s">
        <v>96</v>
      </c>
      <c r="J110" t="s">
        <v>77</v>
      </c>
      <c r="K110" t="s">
        <v>113</v>
      </c>
      <c r="L110" s="1">
        <v>46143</v>
      </c>
      <c r="M110" s="1">
        <v>46173</v>
      </c>
      <c r="N110">
        <v>190.9390754309</v>
      </c>
      <c r="O110" t="s">
        <v>56</v>
      </c>
      <c r="P110" t="s">
        <v>63</v>
      </c>
      <c r="Q110" t="s">
        <v>136</v>
      </c>
      <c r="R110" t="s">
        <v>140</v>
      </c>
      <c r="S110" t="s">
        <v>67</v>
      </c>
      <c r="T110" t="s">
        <v>231</v>
      </c>
      <c r="U110" t="s">
        <v>386</v>
      </c>
      <c r="V110">
        <v>15</v>
      </c>
      <c r="W110" s="2">
        <v>33311.233367706998</v>
      </c>
    </row>
    <row r="111" spans="1:23" x14ac:dyDescent="0.25">
      <c r="A111" t="s">
        <v>31</v>
      </c>
      <c r="B111" t="s">
        <v>32</v>
      </c>
      <c r="C111" t="s">
        <v>33</v>
      </c>
      <c r="D111" t="s">
        <v>34</v>
      </c>
      <c r="E111" t="s">
        <v>35</v>
      </c>
      <c r="F111" t="s">
        <v>36</v>
      </c>
      <c r="G111">
        <v>1141685</v>
      </c>
      <c r="H111" t="s">
        <v>79</v>
      </c>
      <c r="I111" t="s">
        <v>94</v>
      </c>
      <c r="J111" t="s">
        <v>101</v>
      </c>
      <c r="K111" t="s">
        <v>116</v>
      </c>
      <c r="L111" s="1">
        <v>46143</v>
      </c>
      <c r="M111" s="1">
        <v>46173</v>
      </c>
      <c r="N111">
        <v>1.650872E-4</v>
      </c>
      <c r="O111" t="s">
        <v>56</v>
      </c>
      <c r="P111" t="s">
        <v>63</v>
      </c>
      <c r="Q111" t="s">
        <v>136</v>
      </c>
      <c r="R111" t="s">
        <v>140</v>
      </c>
      <c r="S111" t="s">
        <v>67</v>
      </c>
      <c r="T111" t="s">
        <v>232</v>
      </c>
      <c r="U111" t="s">
        <v>387</v>
      </c>
      <c r="V111">
        <v>16</v>
      </c>
      <c r="W111" s="2">
        <v>0.2327597991</v>
      </c>
    </row>
    <row r="112" spans="1:23" x14ac:dyDescent="0.25">
      <c r="A112" t="s">
        <v>31</v>
      </c>
      <c r="B112" t="s">
        <v>32</v>
      </c>
      <c r="C112" t="s">
        <v>33</v>
      </c>
      <c r="D112" t="s">
        <v>34</v>
      </c>
      <c r="E112" t="s">
        <v>35</v>
      </c>
      <c r="F112" t="s">
        <v>36</v>
      </c>
      <c r="G112">
        <v>1141685</v>
      </c>
      <c r="H112" t="s">
        <v>79</v>
      </c>
      <c r="I112" t="s">
        <v>94</v>
      </c>
      <c r="J112" t="s">
        <v>101</v>
      </c>
      <c r="K112" t="s">
        <v>116</v>
      </c>
      <c r="L112" s="1">
        <v>46143</v>
      </c>
      <c r="M112" s="1">
        <v>46173</v>
      </c>
      <c r="N112">
        <v>0.13526274730000001</v>
      </c>
      <c r="O112" t="s">
        <v>56</v>
      </c>
      <c r="P112" t="s">
        <v>63</v>
      </c>
      <c r="Q112" t="s">
        <v>136</v>
      </c>
      <c r="R112" t="s">
        <v>140</v>
      </c>
      <c r="S112" t="s">
        <v>67</v>
      </c>
      <c r="T112" t="s">
        <v>233</v>
      </c>
      <c r="U112" t="s">
        <v>388</v>
      </c>
      <c r="V112">
        <v>15</v>
      </c>
      <c r="W112" s="2">
        <v>154.6564913906</v>
      </c>
    </row>
    <row r="113" spans="1:23" x14ac:dyDescent="0.25">
      <c r="A113" t="s">
        <v>31</v>
      </c>
      <c r="B113" t="s">
        <v>32</v>
      </c>
      <c r="C113" t="s">
        <v>33</v>
      </c>
      <c r="D113" t="s">
        <v>34</v>
      </c>
      <c r="E113" t="s">
        <v>35</v>
      </c>
      <c r="F113" t="s">
        <v>36</v>
      </c>
      <c r="G113">
        <v>1141685</v>
      </c>
      <c r="H113" t="s">
        <v>77</v>
      </c>
      <c r="I113" t="s">
        <v>96</v>
      </c>
      <c r="J113" t="s">
        <v>77</v>
      </c>
      <c r="K113" t="s">
        <v>110</v>
      </c>
      <c r="L113" s="1">
        <v>46143</v>
      </c>
      <c r="M113" s="1">
        <v>46173</v>
      </c>
      <c r="N113">
        <v>744</v>
      </c>
      <c r="O113" t="s">
        <v>58</v>
      </c>
      <c r="P113" t="s">
        <v>63</v>
      </c>
      <c r="Q113" t="s">
        <v>138</v>
      </c>
      <c r="R113" t="s">
        <v>156</v>
      </c>
      <c r="S113" t="s">
        <v>67</v>
      </c>
      <c r="T113" t="s">
        <v>234</v>
      </c>
      <c r="U113" t="s">
        <v>389</v>
      </c>
      <c r="V113">
        <v>8</v>
      </c>
      <c r="W113" s="2">
        <v>129798.2412</v>
      </c>
    </row>
    <row r="114" spans="1:23" x14ac:dyDescent="0.25">
      <c r="A114" t="s">
        <v>31</v>
      </c>
      <c r="B114" t="s">
        <v>32</v>
      </c>
      <c r="C114" t="s">
        <v>33</v>
      </c>
      <c r="D114" t="s">
        <v>34</v>
      </c>
      <c r="E114" t="s">
        <v>35</v>
      </c>
      <c r="F114" t="s">
        <v>36</v>
      </c>
      <c r="G114">
        <v>1141685</v>
      </c>
      <c r="H114" t="s">
        <v>80</v>
      </c>
      <c r="I114" t="s">
        <v>96</v>
      </c>
      <c r="J114" t="s">
        <v>80</v>
      </c>
      <c r="K114" t="s">
        <v>115</v>
      </c>
      <c r="L114" s="1">
        <v>46143</v>
      </c>
      <c r="M114" s="1">
        <v>46173</v>
      </c>
      <c r="N114">
        <v>3.3057900481</v>
      </c>
      <c r="O114" t="s">
        <v>56</v>
      </c>
      <c r="P114" t="s">
        <v>63</v>
      </c>
      <c r="Q114" t="s">
        <v>136</v>
      </c>
      <c r="R114" t="s">
        <v>140</v>
      </c>
      <c r="S114" t="s">
        <v>67</v>
      </c>
      <c r="T114" t="s">
        <v>235</v>
      </c>
      <c r="U114" t="s">
        <v>390</v>
      </c>
      <c r="V114">
        <v>16</v>
      </c>
      <c r="W114" s="2">
        <v>576.73075597310003</v>
      </c>
    </row>
    <row r="115" spans="1:23" x14ac:dyDescent="0.25">
      <c r="A115" t="s">
        <v>31</v>
      </c>
      <c r="B115" t="s">
        <v>32</v>
      </c>
      <c r="C115" t="s">
        <v>33</v>
      </c>
      <c r="D115" t="s">
        <v>34</v>
      </c>
      <c r="E115" t="s">
        <v>35</v>
      </c>
      <c r="F115" t="s">
        <v>36</v>
      </c>
      <c r="G115">
        <v>1141685</v>
      </c>
      <c r="H115" t="s">
        <v>80</v>
      </c>
      <c r="I115" t="s">
        <v>96</v>
      </c>
      <c r="J115" t="s">
        <v>80</v>
      </c>
      <c r="K115" t="s">
        <v>115</v>
      </c>
      <c r="L115" s="1">
        <v>46143</v>
      </c>
      <c r="M115" s="1">
        <v>46173</v>
      </c>
      <c r="N115">
        <v>6.9898673999999996E-3</v>
      </c>
      <c r="O115" t="s">
        <v>56</v>
      </c>
      <c r="P115" t="s">
        <v>63</v>
      </c>
      <c r="Q115" t="s">
        <v>136</v>
      </c>
      <c r="R115" t="s">
        <v>140</v>
      </c>
      <c r="S115" t="s">
        <v>67</v>
      </c>
      <c r="T115" t="s">
        <v>236</v>
      </c>
      <c r="U115" t="s">
        <v>391</v>
      </c>
      <c r="V115">
        <v>16</v>
      </c>
      <c r="W115" s="2">
        <v>1.2231179986</v>
      </c>
    </row>
    <row r="116" spans="1:23" x14ac:dyDescent="0.25">
      <c r="A116" t="s">
        <v>31</v>
      </c>
      <c r="B116" t="s">
        <v>32</v>
      </c>
      <c r="C116" t="s">
        <v>33</v>
      </c>
      <c r="D116" t="s">
        <v>34</v>
      </c>
      <c r="E116" t="s">
        <v>35</v>
      </c>
      <c r="F116" t="s">
        <v>36</v>
      </c>
      <c r="G116">
        <v>1141685</v>
      </c>
      <c r="H116" t="s">
        <v>80</v>
      </c>
      <c r="I116" t="s">
        <v>96</v>
      </c>
      <c r="J116" t="s">
        <v>80</v>
      </c>
      <c r="K116" t="s">
        <v>115</v>
      </c>
      <c r="L116" s="1">
        <v>46143</v>
      </c>
      <c r="M116" s="1">
        <v>46173</v>
      </c>
      <c r="N116">
        <v>1.4551629349999999</v>
      </c>
      <c r="O116" t="s">
        <v>56</v>
      </c>
      <c r="P116" t="s">
        <v>63</v>
      </c>
      <c r="Q116" t="s">
        <v>136</v>
      </c>
      <c r="R116" t="s">
        <v>140</v>
      </c>
      <c r="S116" t="s">
        <v>67</v>
      </c>
      <c r="T116" t="s">
        <v>237</v>
      </c>
      <c r="U116" t="s">
        <v>392</v>
      </c>
      <c r="V116">
        <v>16</v>
      </c>
      <c r="W116" s="2">
        <v>253.86359855469999</v>
      </c>
    </row>
    <row r="117" spans="1:23" x14ac:dyDescent="0.25">
      <c r="A117" t="s">
        <v>31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>
        <v>1141685</v>
      </c>
      <c r="H117" t="s">
        <v>80</v>
      </c>
      <c r="I117" t="s">
        <v>96</v>
      </c>
      <c r="J117" t="s">
        <v>80</v>
      </c>
      <c r="K117" t="s">
        <v>115</v>
      </c>
      <c r="L117" s="1">
        <v>46143</v>
      </c>
      <c r="M117" s="1">
        <v>46173</v>
      </c>
      <c r="N117">
        <v>2.8323780363000002</v>
      </c>
      <c r="O117" t="s">
        <v>56</v>
      </c>
      <c r="P117" t="s">
        <v>63</v>
      </c>
      <c r="Q117" t="s">
        <v>136</v>
      </c>
      <c r="R117" t="s">
        <v>140</v>
      </c>
      <c r="S117" t="s">
        <v>67</v>
      </c>
      <c r="T117" t="s">
        <v>238</v>
      </c>
      <c r="U117" t="s">
        <v>393</v>
      </c>
      <c r="V117">
        <v>16</v>
      </c>
      <c r="W117" s="2">
        <v>494.14027155159999</v>
      </c>
    </row>
    <row r="118" spans="1:23" x14ac:dyDescent="0.25">
      <c r="A118" t="s">
        <v>31</v>
      </c>
      <c r="B118" t="s">
        <v>32</v>
      </c>
      <c r="C118" t="s">
        <v>33</v>
      </c>
      <c r="D118" t="s">
        <v>34</v>
      </c>
      <c r="E118" t="s">
        <v>35</v>
      </c>
      <c r="F118" t="s">
        <v>36</v>
      </c>
      <c r="G118">
        <v>1141685</v>
      </c>
      <c r="H118" t="s">
        <v>79</v>
      </c>
      <c r="I118" t="s">
        <v>94</v>
      </c>
      <c r="J118" t="s">
        <v>101</v>
      </c>
      <c r="K118" t="s">
        <v>116</v>
      </c>
      <c r="L118" s="1">
        <v>46143</v>
      </c>
      <c r="M118" s="1">
        <v>46173</v>
      </c>
      <c r="N118">
        <v>0.36309360149999997</v>
      </c>
      <c r="O118" t="s">
        <v>56</v>
      </c>
      <c r="P118" t="s">
        <v>63</v>
      </c>
      <c r="Q118" t="s">
        <v>136</v>
      </c>
      <c r="R118" t="s">
        <v>140</v>
      </c>
      <c r="S118" t="s">
        <v>67</v>
      </c>
      <c r="T118" t="s">
        <v>239</v>
      </c>
      <c r="U118" t="s">
        <v>394</v>
      </c>
      <c r="V118">
        <v>15</v>
      </c>
      <c r="W118" s="2">
        <v>411.78491851460001</v>
      </c>
    </row>
    <row r="119" spans="1:23" x14ac:dyDescent="0.25">
      <c r="A119" t="s">
        <v>31</v>
      </c>
      <c r="B119" t="s">
        <v>32</v>
      </c>
      <c r="C119" t="s">
        <v>33</v>
      </c>
      <c r="D119" t="s">
        <v>34</v>
      </c>
      <c r="E119" t="s">
        <v>35</v>
      </c>
      <c r="F119" t="s">
        <v>36</v>
      </c>
      <c r="G119">
        <v>1141685</v>
      </c>
      <c r="H119" t="s">
        <v>79</v>
      </c>
      <c r="I119" t="s">
        <v>94</v>
      </c>
      <c r="J119" t="s">
        <v>101</v>
      </c>
      <c r="K119" t="s">
        <v>116</v>
      </c>
      <c r="L119" s="1">
        <v>46143</v>
      </c>
      <c r="M119" s="1">
        <v>46173</v>
      </c>
      <c r="N119">
        <v>0.23908970230000001</v>
      </c>
      <c r="O119" t="s">
        <v>56</v>
      </c>
      <c r="P119" t="s">
        <v>63</v>
      </c>
      <c r="Q119" t="s">
        <v>136</v>
      </c>
      <c r="R119" t="s">
        <v>140</v>
      </c>
      <c r="S119" t="s">
        <v>67</v>
      </c>
      <c r="T119" t="s">
        <v>240</v>
      </c>
      <c r="U119" t="s">
        <v>395</v>
      </c>
      <c r="V119">
        <v>15</v>
      </c>
      <c r="W119" s="2">
        <v>274.64869574260001</v>
      </c>
    </row>
    <row r="120" spans="1:23" x14ac:dyDescent="0.25">
      <c r="A120" t="s">
        <v>31</v>
      </c>
      <c r="B120" t="s">
        <v>32</v>
      </c>
      <c r="C120" t="s">
        <v>33</v>
      </c>
      <c r="D120" t="s">
        <v>34</v>
      </c>
      <c r="E120" t="s">
        <v>35</v>
      </c>
      <c r="F120" t="s">
        <v>36</v>
      </c>
      <c r="G120">
        <v>1141685</v>
      </c>
      <c r="H120" t="s">
        <v>80</v>
      </c>
      <c r="I120" t="s">
        <v>96</v>
      </c>
      <c r="J120" t="s">
        <v>80</v>
      </c>
      <c r="K120" t="s">
        <v>115</v>
      </c>
      <c r="L120" s="1">
        <v>46143</v>
      </c>
      <c r="M120" s="1">
        <v>46173</v>
      </c>
      <c r="N120">
        <v>0.69220973549999998</v>
      </c>
      <c r="O120" t="s">
        <v>56</v>
      </c>
      <c r="P120" t="s">
        <v>63</v>
      </c>
      <c r="Q120" t="s">
        <v>136</v>
      </c>
      <c r="R120" t="s">
        <v>140</v>
      </c>
      <c r="S120" t="s">
        <v>67</v>
      </c>
      <c r="T120" t="s">
        <v>241</v>
      </c>
      <c r="U120" t="s">
        <v>396</v>
      </c>
      <c r="V120">
        <v>15</v>
      </c>
      <c r="W120" s="2">
        <v>120.76136120220001</v>
      </c>
    </row>
    <row r="121" spans="1:23" x14ac:dyDescent="0.25">
      <c r="A121" t="s">
        <v>31</v>
      </c>
      <c r="B121" t="s">
        <v>32</v>
      </c>
      <c r="C121" t="s">
        <v>33</v>
      </c>
      <c r="D121" t="s">
        <v>34</v>
      </c>
      <c r="E121" t="s">
        <v>35</v>
      </c>
      <c r="F121" t="s">
        <v>36</v>
      </c>
      <c r="G121">
        <v>1141685</v>
      </c>
      <c r="H121" t="s">
        <v>80</v>
      </c>
      <c r="I121" t="s">
        <v>96</v>
      </c>
      <c r="J121" t="s">
        <v>80</v>
      </c>
      <c r="K121" t="s">
        <v>115</v>
      </c>
      <c r="L121" s="1">
        <v>46143</v>
      </c>
      <c r="M121" s="1">
        <v>46173</v>
      </c>
      <c r="N121">
        <v>4.5354323500000002E-2</v>
      </c>
      <c r="O121" t="s">
        <v>56</v>
      </c>
      <c r="P121" t="s">
        <v>63</v>
      </c>
      <c r="Q121" t="s">
        <v>136</v>
      </c>
      <c r="R121" t="s">
        <v>141</v>
      </c>
      <c r="S121" t="s">
        <v>67</v>
      </c>
      <c r="T121" t="s">
        <v>242</v>
      </c>
      <c r="U121" t="s">
        <v>397</v>
      </c>
      <c r="V121">
        <v>15</v>
      </c>
      <c r="W121" s="2">
        <v>7.9130134381000001</v>
      </c>
    </row>
    <row r="122" spans="1:23" x14ac:dyDescent="0.25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36</v>
      </c>
      <c r="G122">
        <v>1141685</v>
      </c>
      <c r="H122" t="s">
        <v>79</v>
      </c>
      <c r="I122" t="s">
        <v>94</v>
      </c>
      <c r="J122" t="s">
        <v>101</v>
      </c>
      <c r="K122" t="s">
        <v>114</v>
      </c>
      <c r="L122" s="1">
        <v>46143</v>
      </c>
      <c r="M122" s="1">
        <v>46173</v>
      </c>
      <c r="N122">
        <v>1.8775332999999999E-3</v>
      </c>
      <c r="O122" t="s">
        <v>56</v>
      </c>
      <c r="P122" t="s">
        <v>63</v>
      </c>
      <c r="Q122" t="s">
        <v>136</v>
      </c>
      <c r="R122" t="s">
        <v>141</v>
      </c>
      <c r="S122" t="s">
        <v>67</v>
      </c>
      <c r="T122" t="s">
        <v>243</v>
      </c>
      <c r="U122" t="s">
        <v>398</v>
      </c>
      <c r="V122">
        <v>15</v>
      </c>
      <c r="W122" s="2">
        <v>2.61598336</v>
      </c>
    </row>
    <row r="123" spans="1:23" x14ac:dyDescent="0.25">
      <c r="A123" t="s">
        <v>31</v>
      </c>
      <c r="B123" t="s">
        <v>32</v>
      </c>
      <c r="C123" t="s">
        <v>33</v>
      </c>
      <c r="D123" t="s">
        <v>34</v>
      </c>
      <c r="E123" t="s">
        <v>35</v>
      </c>
      <c r="F123" t="s">
        <v>36</v>
      </c>
      <c r="G123">
        <v>1141685</v>
      </c>
      <c r="H123" t="s">
        <v>79</v>
      </c>
      <c r="I123" t="s">
        <v>94</v>
      </c>
      <c r="J123" t="s">
        <v>101</v>
      </c>
      <c r="K123" t="s">
        <v>114</v>
      </c>
      <c r="L123" s="1">
        <v>46143</v>
      </c>
      <c r="M123" s="1">
        <v>46173</v>
      </c>
      <c r="N123">
        <v>0.79090216660000001</v>
      </c>
      <c r="O123" t="s">
        <v>56</v>
      </c>
      <c r="P123" t="s">
        <v>63</v>
      </c>
      <c r="Q123" t="s">
        <v>136</v>
      </c>
      <c r="R123" t="s">
        <v>140</v>
      </c>
      <c r="S123" t="s">
        <v>67</v>
      </c>
      <c r="T123" t="s">
        <v>244</v>
      </c>
      <c r="U123" t="s">
        <v>399</v>
      </c>
      <c r="V123">
        <v>15</v>
      </c>
      <c r="W123" s="2">
        <v>1103.8447756077001</v>
      </c>
    </row>
    <row r="124" spans="1:23" x14ac:dyDescent="0.25">
      <c r="A124" t="s">
        <v>31</v>
      </c>
      <c r="B124" t="s">
        <v>32</v>
      </c>
      <c r="C124" t="s">
        <v>33</v>
      </c>
      <c r="D124" t="s">
        <v>34</v>
      </c>
      <c r="E124" t="s">
        <v>35</v>
      </c>
      <c r="F124" t="s">
        <v>36</v>
      </c>
      <c r="G124">
        <v>1141685</v>
      </c>
      <c r="H124" t="s">
        <v>79</v>
      </c>
      <c r="I124" t="s">
        <v>94</v>
      </c>
      <c r="J124" t="s">
        <v>101</v>
      </c>
      <c r="K124" t="s">
        <v>114</v>
      </c>
      <c r="L124" s="1">
        <v>46143</v>
      </c>
      <c r="M124" s="1">
        <v>46173</v>
      </c>
      <c r="N124">
        <v>7.4518113499999998</v>
      </c>
      <c r="O124" t="s">
        <v>56</v>
      </c>
      <c r="P124" t="s">
        <v>63</v>
      </c>
      <c r="Q124" t="s">
        <v>136</v>
      </c>
      <c r="R124" t="s">
        <v>140</v>
      </c>
      <c r="S124" t="s">
        <v>67</v>
      </c>
      <c r="T124" t="s">
        <v>245</v>
      </c>
      <c r="U124" t="s">
        <v>400</v>
      </c>
      <c r="V124">
        <v>16</v>
      </c>
      <c r="W124" s="2">
        <v>10400.342777109099</v>
      </c>
    </row>
    <row r="125" spans="1:23" x14ac:dyDescent="0.25">
      <c r="A125" t="s">
        <v>31</v>
      </c>
      <c r="B125" t="s">
        <v>32</v>
      </c>
      <c r="C125" t="s">
        <v>33</v>
      </c>
      <c r="D125" t="s">
        <v>34</v>
      </c>
      <c r="E125" t="s">
        <v>35</v>
      </c>
      <c r="F125" t="s">
        <v>36</v>
      </c>
      <c r="G125">
        <v>1141685</v>
      </c>
      <c r="H125" t="s">
        <v>80</v>
      </c>
      <c r="I125" t="s">
        <v>96</v>
      </c>
      <c r="J125" t="s">
        <v>80</v>
      </c>
      <c r="K125" t="s">
        <v>115</v>
      </c>
      <c r="L125" s="1">
        <v>46143</v>
      </c>
      <c r="M125" s="1">
        <v>46173</v>
      </c>
      <c r="N125">
        <v>0.63136877680000003</v>
      </c>
      <c r="O125" t="s">
        <v>56</v>
      </c>
      <c r="P125" t="s">
        <v>63</v>
      </c>
      <c r="Q125" t="s">
        <v>136</v>
      </c>
      <c r="R125" t="s">
        <v>140</v>
      </c>
      <c r="S125" t="s">
        <v>67</v>
      </c>
      <c r="T125" t="s">
        <v>246</v>
      </c>
      <c r="U125" t="s">
        <v>401</v>
      </c>
      <c r="V125">
        <v>15</v>
      </c>
      <c r="W125" s="2">
        <v>110.1507651814</v>
      </c>
    </row>
    <row r="126" spans="1:23" x14ac:dyDescent="0.25">
      <c r="A126" t="s">
        <v>31</v>
      </c>
      <c r="B126" t="s">
        <v>32</v>
      </c>
      <c r="C126" t="s">
        <v>33</v>
      </c>
      <c r="D126" t="s">
        <v>34</v>
      </c>
      <c r="E126" t="s">
        <v>35</v>
      </c>
      <c r="F126" t="s">
        <v>36</v>
      </c>
      <c r="G126">
        <v>1141685</v>
      </c>
      <c r="H126" t="s">
        <v>80</v>
      </c>
      <c r="I126" t="s">
        <v>96</v>
      </c>
      <c r="J126" t="s">
        <v>80</v>
      </c>
      <c r="K126" t="s">
        <v>115</v>
      </c>
      <c r="L126" s="1">
        <v>46143</v>
      </c>
      <c r="M126" s="1">
        <v>46173</v>
      </c>
      <c r="N126">
        <v>0.51652688069999997</v>
      </c>
      <c r="O126" t="s">
        <v>56</v>
      </c>
      <c r="P126" t="s">
        <v>63</v>
      </c>
      <c r="Q126" t="s">
        <v>136</v>
      </c>
      <c r="R126" t="s">
        <v>140</v>
      </c>
      <c r="S126" t="s">
        <v>67</v>
      </c>
      <c r="T126" t="s">
        <v>247</v>
      </c>
      <c r="U126" t="s">
        <v>402</v>
      </c>
      <c r="V126">
        <v>15</v>
      </c>
      <c r="W126" s="2">
        <v>90.109686049399997</v>
      </c>
    </row>
    <row r="127" spans="1:23" x14ac:dyDescent="0.25">
      <c r="A127" t="s">
        <v>31</v>
      </c>
      <c r="B127" t="s">
        <v>32</v>
      </c>
      <c r="C127" t="s">
        <v>33</v>
      </c>
      <c r="D127" t="s">
        <v>34</v>
      </c>
      <c r="E127" t="s">
        <v>35</v>
      </c>
      <c r="F127" t="s">
        <v>36</v>
      </c>
      <c r="G127">
        <v>1141685</v>
      </c>
      <c r="H127" t="s">
        <v>77</v>
      </c>
      <c r="I127" t="s">
        <v>96</v>
      </c>
      <c r="J127" t="s">
        <v>77</v>
      </c>
      <c r="K127" t="s">
        <v>111</v>
      </c>
      <c r="L127" s="1">
        <v>46143</v>
      </c>
      <c r="M127" s="1">
        <v>46173</v>
      </c>
      <c r="N127">
        <v>7.3820594999999996E-3</v>
      </c>
      <c r="O127" t="s">
        <v>56</v>
      </c>
      <c r="P127" t="s">
        <v>63</v>
      </c>
      <c r="Q127" t="s">
        <v>136</v>
      </c>
      <c r="R127" t="s">
        <v>140</v>
      </c>
      <c r="S127" t="s">
        <v>67</v>
      </c>
      <c r="T127" t="s">
        <v>248</v>
      </c>
      <c r="U127" t="s">
        <v>403</v>
      </c>
      <c r="V127">
        <v>16</v>
      </c>
      <c r="W127" s="2">
        <v>1.2833292035999999</v>
      </c>
    </row>
    <row r="128" spans="1:23" x14ac:dyDescent="0.25">
      <c r="A128" t="s">
        <v>31</v>
      </c>
      <c r="B128" t="s">
        <v>32</v>
      </c>
      <c r="C128" t="s">
        <v>33</v>
      </c>
      <c r="D128" t="s">
        <v>34</v>
      </c>
      <c r="E128" t="s">
        <v>35</v>
      </c>
      <c r="F128" t="s">
        <v>36</v>
      </c>
      <c r="G128">
        <v>1141685</v>
      </c>
      <c r="H128" t="s">
        <v>79</v>
      </c>
      <c r="I128" t="s">
        <v>94</v>
      </c>
      <c r="J128" t="s">
        <v>101</v>
      </c>
      <c r="K128" t="s">
        <v>114</v>
      </c>
      <c r="L128" s="1">
        <v>46143</v>
      </c>
      <c r="M128" s="1">
        <v>46173</v>
      </c>
      <c r="N128">
        <v>1.6759999999999999E-7</v>
      </c>
      <c r="O128" t="s">
        <v>56</v>
      </c>
      <c r="P128" t="s">
        <v>63</v>
      </c>
      <c r="Q128" t="s">
        <v>136</v>
      </c>
      <c r="R128" t="s">
        <v>141</v>
      </c>
      <c r="S128" t="s">
        <v>67</v>
      </c>
      <c r="T128" t="s">
        <v>249</v>
      </c>
      <c r="U128" t="s">
        <v>404</v>
      </c>
      <c r="V128">
        <v>16</v>
      </c>
      <c r="W128" s="2">
        <v>2.0589269999999999E-4</v>
      </c>
    </row>
    <row r="129" spans="1:23" x14ac:dyDescent="0.25">
      <c r="A129" t="s">
        <v>31</v>
      </c>
      <c r="B129" t="s">
        <v>32</v>
      </c>
      <c r="C129" t="s">
        <v>33</v>
      </c>
      <c r="D129" t="s">
        <v>34</v>
      </c>
      <c r="E129" t="s">
        <v>35</v>
      </c>
      <c r="F129" t="s">
        <v>36</v>
      </c>
      <c r="G129">
        <v>1141685</v>
      </c>
      <c r="H129" t="s">
        <v>79</v>
      </c>
      <c r="I129" t="s">
        <v>94</v>
      </c>
      <c r="J129" t="s">
        <v>101</v>
      </c>
      <c r="K129" t="s">
        <v>114</v>
      </c>
      <c r="L129" s="1">
        <v>46143</v>
      </c>
      <c r="M129" s="1">
        <v>46173</v>
      </c>
      <c r="N129">
        <v>5.8975539999999999E-4</v>
      </c>
      <c r="O129" t="s">
        <v>56</v>
      </c>
      <c r="P129" t="s">
        <v>63</v>
      </c>
      <c r="Q129" t="s">
        <v>136</v>
      </c>
      <c r="R129" t="s">
        <v>151</v>
      </c>
      <c r="S129" t="s">
        <v>67</v>
      </c>
      <c r="T129" t="s">
        <v>250</v>
      </c>
      <c r="U129" t="s">
        <v>405</v>
      </c>
      <c r="V129">
        <v>16</v>
      </c>
      <c r="W129" s="2">
        <v>0.82433659370000001</v>
      </c>
    </row>
    <row r="130" spans="1:23" x14ac:dyDescent="0.25">
      <c r="A130" t="s">
        <v>31</v>
      </c>
      <c r="B130" t="s">
        <v>32</v>
      </c>
      <c r="C130" t="s">
        <v>33</v>
      </c>
      <c r="D130" t="s">
        <v>34</v>
      </c>
      <c r="E130" t="s">
        <v>35</v>
      </c>
      <c r="F130" t="s">
        <v>36</v>
      </c>
      <c r="G130">
        <v>1141685</v>
      </c>
      <c r="H130" t="s">
        <v>79</v>
      </c>
      <c r="I130" t="s">
        <v>94</v>
      </c>
      <c r="J130" t="s">
        <v>101</v>
      </c>
      <c r="K130" t="s">
        <v>114</v>
      </c>
      <c r="L130" s="1">
        <v>46143</v>
      </c>
      <c r="M130" s="1">
        <v>46173</v>
      </c>
      <c r="N130">
        <v>9.3570445785</v>
      </c>
      <c r="O130" t="s">
        <v>56</v>
      </c>
      <c r="P130" t="s">
        <v>63</v>
      </c>
      <c r="Q130" t="s">
        <v>136</v>
      </c>
      <c r="R130" t="s">
        <v>140</v>
      </c>
      <c r="S130" t="s">
        <v>67</v>
      </c>
      <c r="T130" t="s">
        <v>251</v>
      </c>
      <c r="U130" t="s">
        <v>406</v>
      </c>
      <c r="V130">
        <v>16</v>
      </c>
      <c r="W130" s="2">
        <v>13059.437180077201</v>
      </c>
    </row>
    <row r="131" spans="1:23" x14ac:dyDescent="0.25">
      <c r="A131" t="s">
        <v>31</v>
      </c>
      <c r="B131" t="s">
        <v>32</v>
      </c>
      <c r="C131" t="s">
        <v>33</v>
      </c>
      <c r="D131" t="s">
        <v>34</v>
      </c>
      <c r="E131" t="s">
        <v>35</v>
      </c>
      <c r="F131" t="s">
        <v>36</v>
      </c>
      <c r="G131">
        <v>1141685</v>
      </c>
      <c r="H131" t="s">
        <v>79</v>
      </c>
      <c r="I131" t="s">
        <v>94</v>
      </c>
      <c r="J131" t="s">
        <v>101</v>
      </c>
      <c r="K131" t="s">
        <v>116</v>
      </c>
      <c r="L131" s="1">
        <v>46143</v>
      </c>
      <c r="M131" s="1">
        <v>46173</v>
      </c>
      <c r="N131">
        <v>4.68558E-5</v>
      </c>
      <c r="O131" t="s">
        <v>56</v>
      </c>
      <c r="P131" t="s">
        <v>63</v>
      </c>
      <c r="Q131" t="s">
        <v>136</v>
      </c>
      <c r="R131" t="s">
        <v>151</v>
      </c>
      <c r="S131" t="s">
        <v>67</v>
      </c>
      <c r="T131" t="s">
        <v>252</v>
      </c>
      <c r="U131" t="s">
        <v>407</v>
      </c>
      <c r="V131">
        <v>17</v>
      </c>
      <c r="W131" s="2">
        <v>6.7548181700000001E-2</v>
      </c>
    </row>
    <row r="132" spans="1:23" x14ac:dyDescent="0.25">
      <c r="A132" t="s">
        <v>31</v>
      </c>
      <c r="B132" t="s">
        <v>32</v>
      </c>
      <c r="C132" t="s">
        <v>33</v>
      </c>
      <c r="D132" t="s">
        <v>34</v>
      </c>
      <c r="E132" t="s">
        <v>35</v>
      </c>
      <c r="F132" t="s">
        <v>36</v>
      </c>
      <c r="G132">
        <v>1141685</v>
      </c>
      <c r="H132" t="s">
        <v>79</v>
      </c>
      <c r="I132" t="s">
        <v>94</v>
      </c>
      <c r="J132" t="s">
        <v>101</v>
      </c>
      <c r="K132" t="s">
        <v>116</v>
      </c>
      <c r="L132" s="1">
        <v>46143</v>
      </c>
      <c r="M132" s="1">
        <v>46173</v>
      </c>
      <c r="N132">
        <v>1.1322466247</v>
      </c>
      <c r="O132" t="s">
        <v>56</v>
      </c>
      <c r="P132" t="s">
        <v>63</v>
      </c>
      <c r="Q132" t="s">
        <v>136</v>
      </c>
      <c r="R132" t="s">
        <v>140</v>
      </c>
      <c r="S132" t="s">
        <v>67</v>
      </c>
      <c r="T132" t="s">
        <v>253</v>
      </c>
      <c r="U132" t="s">
        <v>408</v>
      </c>
      <c r="V132">
        <v>16</v>
      </c>
      <c r="W132" s="2">
        <v>1580.2534928330001</v>
      </c>
    </row>
    <row r="133" spans="1:23" x14ac:dyDescent="0.25">
      <c r="A133" t="s">
        <v>31</v>
      </c>
      <c r="B133" t="s">
        <v>32</v>
      </c>
      <c r="C133" t="s">
        <v>33</v>
      </c>
      <c r="D133" t="s">
        <v>34</v>
      </c>
      <c r="E133" t="s">
        <v>35</v>
      </c>
      <c r="F133" t="s">
        <v>36</v>
      </c>
      <c r="G133">
        <v>1141685</v>
      </c>
      <c r="H133" t="s">
        <v>77</v>
      </c>
      <c r="I133" t="s">
        <v>96</v>
      </c>
      <c r="J133" t="s">
        <v>77</v>
      </c>
      <c r="K133" t="s">
        <v>113</v>
      </c>
      <c r="L133" s="1">
        <v>46143</v>
      </c>
      <c r="M133" s="1">
        <v>46173</v>
      </c>
      <c r="N133">
        <v>40.792005615299999</v>
      </c>
      <c r="O133" t="s">
        <v>56</v>
      </c>
      <c r="P133" t="s">
        <v>63</v>
      </c>
      <c r="Q133" t="s">
        <v>136</v>
      </c>
      <c r="R133" t="s">
        <v>140</v>
      </c>
      <c r="S133" t="s">
        <v>67</v>
      </c>
      <c r="T133" t="s">
        <v>254</v>
      </c>
      <c r="U133" t="s">
        <v>409</v>
      </c>
      <c r="V133">
        <v>16</v>
      </c>
      <c r="W133" s="2">
        <v>7116.5745036891994</v>
      </c>
    </row>
    <row r="134" spans="1:23" x14ac:dyDescent="0.25">
      <c r="A134" t="s">
        <v>31</v>
      </c>
      <c r="B134" t="s">
        <v>32</v>
      </c>
      <c r="C134" t="s">
        <v>33</v>
      </c>
      <c r="D134" t="s">
        <v>34</v>
      </c>
      <c r="E134" t="s">
        <v>35</v>
      </c>
      <c r="F134" t="s">
        <v>36</v>
      </c>
      <c r="G134">
        <v>1141685</v>
      </c>
      <c r="H134" t="s">
        <v>77</v>
      </c>
      <c r="I134" t="s">
        <v>96</v>
      </c>
      <c r="J134" t="s">
        <v>77</v>
      </c>
      <c r="K134" t="s">
        <v>113</v>
      </c>
      <c r="L134" s="1">
        <v>46143</v>
      </c>
      <c r="M134" s="1">
        <v>46173</v>
      </c>
      <c r="N134">
        <v>3.8911252299999997E-2</v>
      </c>
      <c r="O134" t="s">
        <v>56</v>
      </c>
      <c r="P134" t="s">
        <v>63</v>
      </c>
      <c r="Q134" t="s">
        <v>138</v>
      </c>
      <c r="R134" t="s">
        <v>150</v>
      </c>
      <c r="S134" t="s">
        <v>67</v>
      </c>
      <c r="T134" t="s">
        <v>255</v>
      </c>
      <c r="U134" t="s">
        <v>410</v>
      </c>
      <c r="V134">
        <v>7</v>
      </c>
      <c r="W134" s="2">
        <v>6.7838422233000006</v>
      </c>
    </row>
    <row r="135" spans="1:23" x14ac:dyDescent="0.25">
      <c r="A135" t="s">
        <v>31</v>
      </c>
      <c r="B135" t="s">
        <v>32</v>
      </c>
      <c r="C135" t="s">
        <v>33</v>
      </c>
      <c r="D135" t="s">
        <v>34</v>
      </c>
      <c r="E135" t="s">
        <v>35</v>
      </c>
      <c r="F135" t="s">
        <v>36</v>
      </c>
      <c r="G135">
        <v>1141685</v>
      </c>
      <c r="H135" t="s">
        <v>82</v>
      </c>
      <c r="I135" t="s">
        <v>82</v>
      </c>
      <c r="J135" t="s">
        <v>82</v>
      </c>
      <c r="K135" t="s">
        <v>120</v>
      </c>
      <c r="L135" s="1">
        <v>46143</v>
      </c>
      <c r="M135" s="1">
        <v>46173</v>
      </c>
      <c r="N135">
        <v>1</v>
      </c>
      <c r="O135" t="s">
        <v>61</v>
      </c>
      <c r="P135" t="s">
        <v>63</v>
      </c>
      <c r="Q135" t="s">
        <v>138</v>
      </c>
      <c r="R135" t="s">
        <v>157</v>
      </c>
      <c r="S135" t="s">
        <v>68</v>
      </c>
      <c r="T135" t="s">
        <v>256</v>
      </c>
      <c r="U135" t="s">
        <v>411</v>
      </c>
      <c r="V135">
        <v>6</v>
      </c>
      <c r="W135" s="2">
        <v>2691.9341720419998</v>
      </c>
    </row>
    <row r="136" spans="1:23" x14ac:dyDescent="0.25">
      <c r="A136" t="s">
        <v>31</v>
      </c>
      <c r="B136" t="s">
        <v>32</v>
      </c>
      <c r="C136" t="s">
        <v>33</v>
      </c>
      <c r="D136" t="s">
        <v>34</v>
      </c>
      <c r="E136" t="s">
        <v>35</v>
      </c>
      <c r="F136" t="s">
        <v>36</v>
      </c>
      <c r="G136">
        <v>1141685</v>
      </c>
      <c r="H136" t="s">
        <v>87</v>
      </c>
      <c r="I136" t="s">
        <v>87</v>
      </c>
      <c r="J136" t="s">
        <v>87</v>
      </c>
      <c r="K136" t="s">
        <v>125</v>
      </c>
      <c r="L136" s="1">
        <v>46143</v>
      </c>
      <c r="M136" s="1">
        <v>46173</v>
      </c>
      <c r="N136">
        <v>744</v>
      </c>
      <c r="O136" t="s">
        <v>58</v>
      </c>
      <c r="P136" t="s">
        <v>63</v>
      </c>
      <c r="Q136" t="s">
        <v>136</v>
      </c>
      <c r="R136" t="s">
        <v>158</v>
      </c>
      <c r="S136" t="s">
        <v>67</v>
      </c>
      <c r="T136" t="s">
        <v>257</v>
      </c>
      <c r="U136" t="s">
        <v>412</v>
      </c>
      <c r="V136">
        <v>12</v>
      </c>
      <c r="W136" s="2">
        <v>324495.598</v>
      </c>
    </row>
    <row r="137" spans="1:23" x14ac:dyDescent="0.25">
      <c r="A137" t="s">
        <v>31</v>
      </c>
      <c r="B137" t="s">
        <v>32</v>
      </c>
      <c r="C137" t="s">
        <v>33</v>
      </c>
      <c r="D137" t="s">
        <v>34</v>
      </c>
      <c r="E137" t="s">
        <v>35</v>
      </c>
      <c r="F137" t="s">
        <v>36</v>
      </c>
      <c r="G137">
        <v>1141685</v>
      </c>
      <c r="H137" t="s">
        <v>88</v>
      </c>
      <c r="I137" t="s">
        <v>88</v>
      </c>
      <c r="J137" t="s">
        <v>88</v>
      </c>
      <c r="K137" t="s">
        <v>126</v>
      </c>
      <c r="L137" s="1">
        <v>46143</v>
      </c>
      <c r="M137" s="1">
        <v>46173</v>
      </c>
      <c r="N137">
        <v>744</v>
      </c>
      <c r="O137" t="s">
        <v>58</v>
      </c>
      <c r="P137" t="s">
        <v>63</v>
      </c>
      <c r="Q137" t="s">
        <v>139</v>
      </c>
      <c r="R137" t="s">
        <v>159</v>
      </c>
      <c r="S137" t="s">
        <v>67</v>
      </c>
      <c r="T137" t="s">
        <v>258</v>
      </c>
      <c r="U137" t="s">
        <v>413</v>
      </c>
      <c r="V137">
        <v>8</v>
      </c>
      <c r="W137" s="2">
        <v>389394.72360000003</v>
      </c>
    </row>
    <row r="138" spans="1:23" x14ac:dyDescent="0.25">
      <c r="A138" t="s">
        <v>31</v>
      </c>
      <c r="B138" t="s">
        <v>32</v>
      </c>
      <c r="C138" t="s">
        <v>33</v>
      </c>
      <c r="D138" t="s">
        <v>34</v>
      </c>
      <c r="E138" t="s">
        <v>35</v>
      </c>
      <c r="F138" t="s">
        <v>36</v>
      </c>
      <c r="G138">
        <v>1141685</v>
      </c>
      <c r="H138" t="s">
        <v>80</v>
      </c>
      <c r="I138" t="s">
        <v>96</v>
      </c>
      <c r="J138" t="s">
        <v>80</v>
      </c>
      <c r="K138" t="s">
        <v>115</v>
      </c>
      <c r="L138" s="1">
        <v>46143</v>
      </c>
      <c r="M138" s="1">
        <v>46173</v>
      </c>
      <c r="N138">
        <v>0.60994772990000001</v>
      </c>
      <c r="O138" t="s">
        <v>56</v>
      </c>
      <c r="P138" t="s">
        <v>63</v>
      </c>
      <c r="Q138" t="s">
        <v>136</v>
      </c>
      <c r="R138" t="s">
        <v>140</v>
      </c>
      <c r="S138" t="s">
        <v>67</v>
      </c>
      <c r="T138" t="s">
        <v>259</v>
      </c>
      <c r="U138" t="s">
        <v>414</v>
      </c>
      <c r="V138">
        <v>15</v>
      </c>
      <c r="W138" s="2">
        <v>106.41210323609999</v>
      </c>
    </row>
    <row r="139" spans="1:23" x14ac:dyDescent="0.25">
      <c r="A139" t="s">
        <v>31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>
        <v>1141685</v>
      </c>
      <c r="H139" t="s">
        <v>80</v>
      </c>
      <c r="I139" t="s">
        <v>96</v>
      </c>
      <c r="J139" t="s">
        <v>80</v>
      </c>
      <c r="K139" t="s">
        <v>115</v>
      </c>
      <c r="L139" s="1">
        <v>46143</v>
      </c>
      <c r="M139" s="1">
        <v>46173</v>
      </c>
      <c r="N139">
        <v>0.42403811120000001</v>
      </c>
      <c r="O139" t="s">
        <v>56</v>
      </c>
      <c r="P139" t="s">
        <v>63</v>
      </c>
      <c r="Q139" t="s">
        <v>136</v>
      </c>
      <c r="R139" t="s">
        <v>141</v>
      </c>
      <c r="S139" t="s">
        <v>67</v>
      </c>
      <c r="T139" t="s">
        <v>260</v>
      </c>
      <c r="U139" t="s">
        <v>415</v>
      </c>
      <c r="V139">
        <v>16</v>
      </c>
      <c r="W139" s="2">
        <v>73.9803662172</v>
      </c>
    </row>
    <row r="140" spans="1:23" x14ac:dyDescent="0.25">
      <c r="A140" t="s">
        <v>31</v>
      </c>
      <c r="B140" t="s">
        <v>32</v>
      </c>
      <c r="C140" t="s">
        <v>33</v>
      </c>
      <c r="D140" t="s">
        <v>34</v>
      </c>
      <c r="E140" t="s">
        <v>35</v>
      </c>
      <c r="F140" t="s">
        <v>36</v>
      </c>
      <c r="G140">
        <v>1141685</v>
      </c>
      <c r="H140" t="s">
        <v>89</v>
      </c>
      <c r="I140" t="s">
        <v>89</v>
      </c>
      <c r="J140" t="s">
        <v>89</v>
      </c>
      <c r="K140" t="s">
        <v>127</v>
      </c>
      <c r="L140" s="1">
        <v>46143</v>
      </c>
      <c r="M140" s="1">
        <v>46173</v>
      </c>
      <c r="N140">
        <v>3.5799999999999997E-4</v>
      </c>
      <c r="O140" t="s">
        <v>60</v>
      </c>
      <c r="P140" t="s">
        <v>63</v>
      </c>
      <c r="Q140" t="s">
        <v>139</v>
      </c>
      <c r="R140" t="s">
        <v>159</v>
      </c>
      <c r="S140" t="s">
        <v>67</v>
      </c>
      <c r="T140" t="s">
        <v>261</v>
      </c>
      <c r="U140" t="s">
        <v>416</v>
      </c>
      <c r="V140">
        <v>8</v>
      </c>
      <c r="W140" s="2">
        <v>0</v>
      </c>
    </row>
    <row r="141" spans="1:23" x14ac:dyDescent="0.25">
      <c r="A141" t="s">
        <v>31</v>
      </c>
      <c r="B141" t="s">
        <v>32</v>
      </c>
      <c r="C141" t="s">
        <v>33</v>
      </c>
      <c r="D141" t="s">
        <v>34</v>
      </c>
      <c r="E141" t="s">
        <v>35</v>
      </c>
      <c r="F141" t="s">
        <v>36</v>
      </c>
      <c r="G141">
        <v>1141685</v>
      </c>
      <c r="H141" t="s">
        <v>80</v>
      </c>
      <c r="I141" t="s">
        <v>96</v>
      </c>
      <c r="J141" t="s">
        <v>80</v>
      </c>
      <c r="K141" t="s">
        <v>115</v>
      </c>
      <c r="L141" s="1">
        <v>46143</v>
      </c>
      <c r="M141" s="1">
        <v>46173</v>
      </c>
      <c r="N141">
        <v>0.68615321259999995</v>
      </c>
      <c r="O141" t="s">
        <v>56</v>
      </c>
      <c r="P141" t="s">
        <v>63</v>
      </c>
      <c r="Q141" t="s">
        <v>136</v>
      </c>
      <c r="R141" t="s">
        <v>140</v>
      </c>
      <c r="S141" t="s">
        <v>67</v>
      </c>
      <c r="T141" t="s">
        <v>262</v>
      </c>
      <c r="U141" t="s">
        <v>417</v>
      </c>
      <c r="V141">
        <v>15</v>
      </c>
      <c r="W141" s="2">
        <v>119.7015347273</v>
      </c>
    </row>
    <row r="142" spans="1:23" x14ac:dyDescent="0.25">
      <c r="A142" t="s">
        <v>31</v>
      </c>
      <c r="B142" t="s">
        <v>32</v>
      </c>
      <c r="C142" t="s">
        <v>33</v>
      </c>
      <c r="D142" t="s">
        <v>34</v>
      </c>
      <c r="E142" t="s">
        <v>35</v>
      </c>
      <c r="F142" t="s">
        <v>36</v>
      </c>
      <c r="G142">
        <v>1141685</v>
      </c>
      <c r="H142" t="s">
        <v>80</v>
      </c>
      <c r="I142" t="s">
        <v>96</v>
      </c>
      <c r="J142" t="s">
        <v>80</v>
      </c>
      <c r="K142" t="s">
        <v>115</v>
      </c>
      <c r="L142" s="1">
        <v>46143</v>
      </c>
      <c r="M142" s="1">
        <v>46173</v>
      </c>
      <c r="N142">
        <v>0.41292157959999998</v>
      </c>
      <c r="O142" t="s">
        <v>56</v>
      </c>
      <c r="P142" t="s">
        <v>63</v>
      </c>
      <c r="Q142" t="s">
        <v>136</v>
      </c>
      <c r="R142" t="s">
        <v>140</v>
      </c>
      <c r="S142" t="s">
        <v>67</v>
      </c>
      <c r="T142" t="s">
        <v>263</v>
      </c>
      <c r="U142" t="s">
        <v>418</v>
      </c>
      <c r="V142">
        <v>16</v>
      </c>
      <c r="W142" s="2">
        <v>72.033702916400003</v>
      </c>
    </row>
    <row r="143" spans="1:23" x14ac:dyDescent="0.25">
      <c r="A143" t="s">
        <v>31</v>
      </c>
      <c r="B143" t="s">
        <v>32</v>
      </c>
      <c r="C143" t="s">
        <v>33</v>
      </c>
      <c r="D143" t="s">
        <v>34</v>
      </c>
      <c r="E143" t="s">
        <v>35</v>
      </c>
      <c r="F143" t="s">
        <v>36</v>
      </c>
      <c r="G143">
        <v>1141685</v>
      </c>
      <c r="H143" t="s">
        <v>86</v>
      </c>
      <c r="I143" t="s">
        <v>42</v>
      </c>
      <c r="J143" t="s">
        <v>86</v>
      </c>
      <c r="K143" t="s">
        <v>124</v>
      </c>
      <c r="L143" s="1">
        <v>46143</v>
      </c>
      <c r="M143" s="1">
        <v>46173</v>
      </c>
      <c r="N143">
        <v>0.182784</v>
      </c>
      <c r="O143" t="s">
        <v>135</v>
      </c>
      <c r="P143" t="s">
        <v>63</v>
      </c>
      <c r="Q143" t="s">
        <v>137</v>
      </c>
      <c r="R143" t="s">
        <v>160</v>
      </c>
      <c r="S143" t="s">
        <v>67</v>
      </c>
      <c r="T143" t="s">
        <v>264</v>
      </c>
      <c r="U143" t="s">
        <v>419</v>
      </c>
      <c r="V143">
        <v>16</v>
      </c>
      <c r="W143" s="2">
        <v>62852.229652147202</v>
      </c>
    </row>
    <row r="144" spans="1:23" x14ac:dyDescent="0.25">
      <c r="A144" t="s">
        <v>31</v>
      </c>
      <c r="B144" t="s">
        <v>32</v>
      </c>
      <c r="C144" t="s">
        <v>33</v>
      </c>
      <c r="D144" t="s">
        <v>34</v>
      </c>
      <c r="E144" t="s">
        <v>35</v>
      </c>
      <c r="F144" t="s">
        <v>36</v>
      </c>
      <c r="G144">
        <v>1141685</v>
      </c>
      <c r="H144" t="s">
        <v>86</v>
      </c>
      <c r="I144" t="s">
        <v>42</v>
      </c>
      <c r="J144" t="s">
        <v>86</v>
      </c>
      <c r="K144" t="s">
        <v>124</v>
      </c>
      <c r="L144" s="1">
        <v>46143</v>
      </c>
      <c r="M144" s="1">
        <v>46173</v>
      </c>
      <c r="N144">
        <v>0.81601199999999996</v>
      </c>
      <c r="O144" t="s">
        <v>135</v>
      </c>
      <c r="P144" t="s">
        <v>63</v>
      </c>
      <c r="Q144" t="s">
        <v>137</v>
      </c>
      <c r="R144" t="s">
        <v>161</v>
      </c>
      <c r="S144" t="s">
        <v>67</v>
      </c>
      <c r="T144" t="s">
        <v>265</v>
      </c>
      <c r="U144" t="s">
        <v>420</v>
      </c>
      <c r="V144">
        <v>17</v>
      </c>
      <c r="W144" s="2">
        <v>280594.42390136962</v>
      </c>
    </row>
    <row r="145" spans="1:23" x14ac:dyDescent="0.25">
      <c r="A145" t="s">
        <v>31</v>
      </c>
      <c r="B145" t="s">
        <v>32</v>
      </c>
      <c r="C145" t="s">
        <v>33</v>
      </c>
      <c r="D145" t="s">
        <v>34</v>
      </c>
      <c r="E145" t="s">
        <v>35</v>
      </c>
      <c r="F145" t="s">
        <v>36</v>
      </c>
      <c r="G145">
        <v>1141685</v>
      </c>
      <c r="H145" t="s">
        <v>79</v>
      </c>
      <c r="I145" t="s">
        <v>94</v>
      </c>
      <c r="J145" t="s">
        <v>101</v>
      </c>
      <c r="K145" t="s">
        <v>116</v>
      </c>
      <c r="L145" s="1">
        <v>46143</v>
      </c>
      <c r="M145" s="1">
        <v>46173</v>
      </c>
      <c r="N145">
        <v>0.2183057964</v>
      </c>
      <c r="O145" t="s">
        <v>56</v>
      </c>
      <c r="P145" t="s">
        <v>63</v>
      </c>
      <c r="Q145" t="s">
        <v>136</v>
      </c>
      <c r="R145" t="s">
        <v>140</v>
      </c>
      <c r="S145" t="s">
        <v>67</v>
      </c>
      <c r="T145" t="s">
        <v>266</v>
      </c>
      <c r="U145" t="s">
        <v>421</v>
      </c>
      <c r="V145">
        <v>16</v>
      </c>
      <c r="W145" s="2">
        <v>304.68282982990002</v>
      </c>
    </row>
    <row r="146" spans="1:23" x14ac:dyDescent="0.25">
      <c r="A146" t="s">
        <v>31</v>
      </c>
      <c r="B146" t="s">
        <v>32</v>
      </c>
      <c r="C146" t="s">
        <v>33</v>
      </c>
      <c r="D146" t="s">
        <v>34</v>
      </c>
      <c r="E146" t="s">
        <v>35</v>
      </c>
      <c r="F146" t="s">
        <v>36</v>
      </c>
      <c r="G146">
        <v>1141685</v>
      </c>
      <c r="H146" t="s">
        <v>77</v>
      </c>
      <c r="I146" t="s">
        <v>96</v>
      </c>
      <c r="J146" t="s">
        <v>77</v>
      </c>
      <c r="K146" t="s">
        <v>111</v>
      </c>
      <c r="L146" s="1">
        <v>46143</v>
      </c>
      <c r="M146" s="1">
        <v>46173</v>
      </c>
      <c r="N146">
        <v>74.965306867799995</v>
      </c>
      <c r="O146" t="s">
        <v>56</v>
      </c>
      <c r="P146" t="s">
        <v>63</v>
      </c>
      <c r="Q146" t="s">
        <v>136</v>
      </c>
      <c r="R146" t="s">
        <v>140</v>
      </c>
      <c r="S146" t="s">
        <v>67</v>
      </c>
      <c r="T146" t="s">
        <v>267</v>
      </c>
      <c r="U146" t="s">
        <v>422</v>
      </c>
      <c r="V146">
        <v>16</v>
      </c>
      <c r="W146" s="2">
        <v>13078.4437438246</v>
      </c>
    </row>
    <row r="147" spans="1:23" x14ac:dyDescent="0.25">
      <c r="A147" t="s">
        <v>31</v>
      </c>
      <c r="B147" t="s">
        <v>32</v>
      </c>
      <c r="C147" t="s">
        <v>33</v>
      </c>
      <c r="D147" t="s">
        <v>34</v>
      </c>
      <c r="E147" t="s">
        <v>35</v>
      </c>
      <c r="F147" t="s">
        <v>36</v>
      </c>
      <c r="G147">
        <v>1141685</v>
      </c>
      <c r="H147" t="s">
        <v>77</v>
      </c>
      <c r="I147" t="s">
        <v>96</v>
      </c>
      <c r="J147" t="s">
        <v>77</v>
      </c>
      <c r="K147" t="s">
        <v>111</v>
      </c>
      <c r="L147" s="1">
        <v>46143</v>
      </c>
      <c r="M147" s="1">
        <v>46173</v>
      </c>
      <c r="N147">
        <v>16.259841799699998</v>
      </c>
      <c r="O147" t="s">
        <v>56</v>
      </c>
      <c r="P147" t="s">
        <v>63</v>
      </c>
      <c r="Q147" t="s">
        <v>136</v>
      </c>
      <c r="R147" t="s">
        <v>140</v>
      </c>
      <c r="S147" t="s">
        <v>67</v>
      </c>
      <c r="T147" t="s">
        <v>268</v>
      </c>
      <c r="U147" t="s">
        <v>423</v>
      </c>
      <c r="V147">
        <v>15</v>
      </c>
      <c r="W147" s="2">
        <v>2836.6889603361001</v>
      </c>
    </row>
    <row r="148" spans="1:23" x14ac:dyDescent="0.25">
      <c r="A148" t="s">
        <v>31</v>
      </c>
      <c r="B148" t="s">
        <v>32</v>
      </c>
      <c r="C148" t="s">
        <v>33</v>
      </c>
      <c r="D148" t="s">
        <v>34</v>
      </c>
      <c r="E148" t="s">
        <v>35</v>
      </c>
      <c r="F148" t="s">
        <v>36</v>
      </c>
      <c r="G148">
        <v>1141685</v>
      </c>
      <c r="H148" t="s">
        <v>77</v>
      </c>
      <c r="I148" t="s">
        <v>96</v>
      </c>
      <c r="J148" t="s">
        <v>77</v>
      </c>
      <c r="K148" t="s">
        <v>111</v>
      </c>
      <c r="L148" s="1">
        <v>46143</v>
      </c>
      <c r="M148" s="1">
        <v>46173</v>
      </c>
      <c r="N148">
        <v>44.4684096314</v>
      </c>
      <c r="O148" t="s">
        <v>56</v>
      </c>
      <c r="P148" t="s">
        <v>63</v>
      </c>
      <c r="Q148" t="s">
        <v>136</v>
      </c>
      <c r="R148" t="s">
        <v>140</v>
      </c>
      <c r="S148" t="s">
        <v>67</v>
      </c>
      <c r="T148" t="s">
        <v>269</v>
      </c>
      <c r="U148" t="s">
        <v>424</v>
      </c>
      <c r="V148">
        <v>16</v>
      </c>
      <c r="W148" s="2">
        <v>7757.9636949790001</v>
      </c>
    </row>
    <row r="149" spans="1:23" x14ac:dyDescent="0.25">
      <c r="A149" t="s">
        <v>31</v>
      </c>
      <c r="B149" t="s">
        <v>32</v>
      </c>
      <c r="C149" t="s">
        <v>33</v>
      </c>
      <c r="D149" t="s">
        <v>34</v>
      </c>
      <c r="E149" t="s">
        <v>35</v>
      </c>
      <c r="F149" t="s">
        <v>36</v>
      </c>
      <c r="G149">
        <v>1141685</v>
      </c>
      <c r="H149" t="s">
        <v>75</v>
      </c>
      <c r="I149" t="s">
        <v>94</v>
      </c>
      <c r="J149" t="s">
        <v>98</v>
      </c>
      <c r="K149" t="s">
        <v>108</v>
      </c>
      <c r="L149" s="1">
        <v>46143</v>
      </c>
      <c r="M149" s="1">
        <v>46173</v>
      </c>
      <c r="N149">
        <v>0.19300139229999999</v>
      </c>
      <c r="O149" t="s">
        <v>56</v>
      </c>
      <c r="P149" t="s">
        <v>63</v>
      </c>
      <c r="Q149" t="s">
        <v>136</v>
      </c>
      <c r="R149" t="s">
        <v>140</v>
      </c>
      <c r="S149" t="s">
        <v>67</v>
      </c>
      <c r="T149" t="s">
        <v>270</v>
      </c>
      <c r="U149" t="s">
        <v>425</v>
      </c>
      <c r="V149">
        <v>15</v>
      </c>
      <c r="W149" s="2">
        <v>369.2440721168</v>
      </c>
    </row>
    <row r="150" spans="1:23" x14ac:dyDescent="0.25">
      <c r="A150" t="s">
        <v>31</v>
      </c>
      <c r="B150" t="s">
        <v>32</v>
      </c>
      <c r="C150" t="s">
        <v>33</v>
      </c>
      <c r="D150" t="s">
        <v>34</v>
      </c>
      <c r="E150" t="s">
        <v>35</v>
      </c>
      <c r="F150" t="s">
        <v>36</v>
      </c>
      <c r="G150">
        <v>1141685</v>
      </c>
      <c r="H150" t="s">
        <v>77</v>
      </c>
      <c r="I150" t="s">
        <v>96</v>
      </c>
      <c r="J150" t="s">
        <v>77</v>
      </c>
      <c r="K150" t="s">
        <v>113</v>
      </c>
      <c r="L150" s="1">
        <v>46143</v>
      </c>
      <c r="M150" s="1">
        <v>46173</v>
      </c>
      <c r="N150">
        <v>82.339835410899994</v>
      </c>
      <c r="O150" t="s">
        <v>56</v>
      </c>
      <c r="P150" t="s">
        <v>63</v>
      </c>
      <c r="Q150" t="s">
        <v>136</v>
      </c>
      <c r="R150" t="s">
        <v>140</v>
      </c>
      <c r="S150" t="s">
        <v>67</v>
      </c>
      <c r="T150" t="s">
        <v>271</v>
      </c>
      <c r="U150" t="s">
        <v>426</v>
      </c>
      <c r="V150">
        <v>15</v>
      </c>
      <c r="W150" s="2">
        <v>14365.0067634971</v>
      </c>
    </row>
    <row r="151" spans="1:23" x14ac:dyDescent="0.25">
      <c r="A151" t="s">
        <v>31</v>
      </c>
      <c r="B151" t="s">
        <v>32</v>
      </c>
      <c r="C151" t="s">
        <v>33</v>
      </c>
      <c r="D151" t="s">
        <v>34</v>
      </c>
      <c r="E151" t="s">
        <v>35</v>
      </c>
      <c r="F151" t="s">
        <v>36</v>
      </c>
      <c r="G151">
        <v>1141685</v>
      </c>
      <c r="H151" t="s">
        <v>77</v>
      </c>
      <c r="I151" t="s">
        <v>96</v>
      </c>
      <c r="J151" t="s">
        <v>77</v>
      </c>
      <c r="K151" t="s">
        <v>113</v>
      </c>
      <c r="L151" s="1">
        <v>46143</v>
      </c>
      <c r="M151" s="1">
        <v>46173</v>
      </c>
      <c r="N151">
        <v>59.393553478599998</v>
      </c>
      <c r="O151" t="s">
        <v>56</v>
      </c>
      <c r="P151" t="s">
        <v>63</v>
      </c>
      <c r="Q151" t="s">
        <v>136</v>
      </c>
      <c r="R151" t="s">
        <v>140</v>
      </c>
      <c r="S151" t="s">
        <v>67</v>
      </c>
      <c r="T151" t="s">
        <v>272</v>
      </c>
      <c r="U151" t="s">
        <v>427</v>
      </c>
      <c r="V151">
        <v>15</v>
      </c>
      <c r="W151" s="2">
        <v>10361.803419098</v>
      </c>
    </row>
    <row r="152" spans="1:23" x14ac:dyDescent="0.25">
      <c r="A152" t="s">
        <v>31</v>
      </c>
      <c r="B152" t="s">
        <v>32</v>
      </c>
      <c r="C152" t="s">
        <v>33</v>
      </c>
      <c r="D152" t="s">
        <v>34</v>
      </c>
      <c r="E152" t="s">
        <v>35</v>
      </c>
      <c r="F152" t="s">
        <v>36</v>
      </c>
      <c r="G152">
        <v>1141685</v>
      </c>
      <c r="H152" t="s">
        <v>77</v>
      </c>
      <c r="I152" t="s">
        <v>96</v>
      </c>
      <c r="J152" t="s">
        <v>77</v>
      </c>
      <c r="K152" t="s">
        <v>113</v>
      </c>
      <c r="L152" s="1">
        <v>46143</v>
      </c>
      <c r="M152" s="1">
        <v>46173</v>
      </c>
      <c r="N152">
        <v>668.73118263950005</v>
      </c>
      <c r="O152" t="s">
        <v>56</v>
      </c>
      <c r="P152" t="s">
        <v>63</v>
      </c>
      <c r="Q152" t="s">
        <v>136</v>
      </c>
      <c r="R152" t="s">
        <v>140</v>
      </c>
      <c r="S152" t="s">
        <v>67</v>
      </c>
      <c r="T152" t="s">
        <v>273</v>
      </c>
      <c r="U152" t="s">
        <v>428</v>
      </c>
      <c r="V152">
        <v>16</v>
      </c>
      <c r="W152" s="2">
        <v>116666.8410684907</v>
      </c>
    </row>
    <row r="153" spans="1:23" x14ac:dyDescent="0.25">
      <c r="A153" t="s">
        <v>31</v>
      </c>
      <c r="B153" t="s">
        <v>32</v>
      </c>
      <c r="C153" t="s">
        <v>33</v>
      </c>
      <c r="D153" t="s">
        <v>34</v>
      </c>
      <c r="E153" t="s">
        <v>35</v>
      </c>
      <c r="F153" t="s">
        <v>36</v>
      </c>
      <c r="G153">
        <v>1141685</v>
      </c>
      <c r="H153" t="s">
        <v>77</v>
      </c>
      <c r="I153" t="s">
        <v>96</v>
      </c>
      <c r="J153" t="s">
        <v>77</v>
      </c>
      <c r="K153" t="s">
        <v>110</v>
      </c>
      <c r="L153" s="1">
        <v>46143</v>
      </c>
      <c r="M153" s="1">
        <v>46173</v>
      </c>
      <c r="N153">
        <v>744</v>
      </c>
      <c r="O153" t="s">
        <v>58</v>
      </c>
      <c r="P153" t="s">
        <v>63</v>
      </c>
      <c r="Q153" t="s">
        <v>138</v>
      </c>
      <c r="R153" t="s">
        <v>162</v>
      </c>
      <c r="S153" t="s">
        <v>67</v>
      </c>
      <c r="T153" t="s">
        <v>173</v>
      </c>
      <c r="U153" t="s">
        <v>328</v>
      </c>
      <c r="V153">
        <v>7</v>
      </c>
      <c r="W153" s="2">
        <v>129798.2412</v>
      </c>
    </row>
    <row r="154" spans="1:23" x14ac:dyDescent="0.25">
      <c r="A154" t="s">
        <v>31</v>
      </c>
      <c r="B154" t="s">
        <v>32</v>
      </c>
      <c r="C154" t="s">
        <v>33</v>
      </c>
      <c r="D154" t="s">
        <v>34</v>
      </c>
      <c r="E154" t="s">
        <v>35</v>
      </c>
      <c r="F154" t="s">
        <v>36</v>
      </c>
      <c r="G154">
        <v>1141685</v>
      </c>
      <c r="H154" t="s">
        <v>76</v>
      </c>
      <c r="I154" t="s">
        <v>95</v>
      </c>
      <c r="J154" t="s">
        <v>99</v>
      </c>
      <c r="K154" t="s">
        <v>109</v>
      </c>
      <c r="L154" s="1">
        <v>46143</v>
      </c>
      <c r="M154" s="1">
        <v>46173</v>
      </c>
      <c r="N154">
        <v>359.53332599999999</v>
      </c>
      <c r="O154" t="s">
        <v>58</v>
      </c>
      <c r="P154" t="s">
        <v>63</v>
      </c>
      <c r="Q154" t="s">
        <v>137</v>
      </c>
      <c r="R154" t="s">
        <v>151</v>
      </c>
      <c r="S154" t="s">
        <v>67</v>
      </c>
      <c r="T154" t="s">
        <v>218</v>
      </c>
      <c r="U154" t="s">
        <v>373</v>
      </c>
      <c r="V154">
        <v>17</v>
      </c>
      <c r="W154" s="2">
        <v>0</v>
      </c>
    </row>
    <row r="155" spans="1:23" x14ac:dyDescent="0.25">
      <c r="A155" t="s">
        <v>31</v>
      </c>
      <c r="B155" t="s">
        <v>32</v>
      </c>
      <c r="C155" t="s">
        <v>33</v>
      </c>
      <c r="D155" t="s">
        <v>34</v>
      </c>
      <c r="E155" t="s">
        <v>35</v>
      </c>
      <c r="F155" t="s">
        <v>36</v>
      </c>
      <c r="G155">
        <v>1141685</v>
      </c>
      <c r="H155" t="s">
        <v>76</v>
      </c>
      <c r="I155" t="s">
        <v>95</v>
      </c>
      <c r="J155" t="s">
        <v>99</v>
      </c>
      <c r="K155" t="s">
        <v>109</v>
      </c>
      <c r="L155" s="1">
        <v>46143</v>
      </c>
      <c r="M155" s="1">
        <v>46173</v>
      </c>
      <c r="N155">
        <v>1.6646999999999999E-2</v>
      </c>
      <c r="O155" t="s">
        <v>58</v>
      </c>
      <c r="P155" t="s">
        <v>63</v>
      </c>
      <c r="Q155" t="s">
        <v>137</v>
      </c>
      <c r="R155" t="s">
        <v>140</v>
      </c>
      <c r="S155" t="s">
        <v>67</v>
      </c>
      <c r="T155" t="s">
        <v>219</v>
      </c>
      <c r="U155" t="s">
        <v>374</v>
      </c>
      <c r="V155">
        <v>15</v>
      </c>
      <c r="W155" s="2">
        <v>0</v>
      </c>
    </row>
    <row r="156" spans="1:23" x14ac:dyDescent="0.25">
      <c r="A156" t="s">
        <v>31</v>
      </c>
      <c r="B156" t="s">
        <v>32</v>
      </c>
      <c r="C156" t="s">
        <v>33</v>
      </c>
      <c r="D156" t="s">
        <v>34</v>
      </c>
      <c r="E156" t="s">
        <v>35</v>
      </c>
      <c r="F156" t="s">
        <v>36</v>
      </c>
      <c r="G156">
        <v>1141685</v>
      </c>
      <c r="H156" t="s">
        <v>76</v>
      </c>
      <c r="I156" t="s">
        <v>95</v>
      </c>
      <c r="J156" t="s">
        <v>99</v>
      </c>
      <c r="K156" t="s">
        <v>109</v>
      </c>
      <c r="L156" s="1">
        <v>46143</v>
      </c>
      <c r="M156" s="1">
        <v>46173</v>
      </c>
      <c r="N156">
        <v>0.98335300000000003</v>
      </c>
      <c r="O156" t="s">
        <v>58</v>
      </c>
      <c r="P156" t="s">
        <v>63</v>
      </c>
      <c r="Q156" t="s">
        <v>137</v>
      </c>
      <c r="R156" t="s">
        <v>151</v>
      </c>
      <c r="S156" t="s">
        <v>67</v>
      </c>
      <c r="T156" t="s">
        <v>218</v>
      </c>
      <c r="U156" t="s">
        <v>373</v>
      </c>
      <c r="V156">
        <v>17</v>
      </c>
      <c r="W156" s="2">
        <v>0</v>
      </c>
    </row>
    <row r="157" spans="1:23" x14ac:dyDescent="0.25">
      <c r="A157" t="s">
        <v>31</v>
      </c>
      <c r="B157" t="s">
        <v>32</v>
      </c>
      <c r="C157" t="s">
        <v>33</v>
      </c>
      <c r="D157" t="s">
        <v>34</v>
      </c>
      <c r="E157" t="s">
        <v>35</v>
      </c>
      <c r="F157" t="s">
        <v>36</v>
      </c>
      <c r="G157">
        <v>1141685</v>
      </c>
      <c r="H157" t="s">
        <v>76</v>
      </c>
      <c r="I157" t="s">
        <v>95</v>
      </c>
      <c r="J157" t="s">
        <v>99</v>
      </c>
      <c r="K157" t="s">
        <v>109</v>
      </c>
      <c r="L157" s="1">
        <v>46143</v>
      </c>
      <c r="M157" s="1">
        <v>46173</v>
      </c>
      <c r="N157">
        <v>1.9667060000000001</v>
      </c>
      <c r="O157" t="s">
        <v>58</v>
      </c>
      <c r="P157" t="s">
        <v>63</v>
      </c>
      <c r="Q157" t="s">
        <v>137</v>
      </c>
      <c r="R157" t="s">
        <v>140</v>
      </c>
      <c r="S157" t="s">
        <v>67</v>
      </c>
      <c r="T157" t="s">
        <v>219</v>
      </c>
      <c r="U157" t="s">
        <v>374</v>
      </c>
      <c r="V157">
        <v>15</v>
      </c>
      <c r="W157" s="2">
        <v>0</v>
      </c>
    </row>
    <row r="158" spans="1:23" x14ac:dyDescent="0.25">
      <c r="A158" t="s">
        <v>31</v>
      </c>
      <c r="B158" t="s">
        <v>32</v>
      </c>
      <c r="C158" t="s">
        <v>33</v>
      </c>
      <c r="D158" t="s">
        <v>34</v>
      </c>
      <c r="E158" t="s">
        <v>35</v>
      </c>
      <c r="F158" t="s">
        <v>36</v>
      </c>
      <c r="G158">
        <v>1141685</v>
      </c>
      <c r="H158" t="s">
        <v>76</v>
      </c>
      <c r="I158" t="s">
        <v>95</v>
      </c>
      <c r="J158" t="s">
        <v>99</v>
      </c>
      <c r="K158" t="s">
        <v>109</v>
      </c>
      <c r="L158" s="1">
        <v>46143</v>
      </c>
      <c r="M158" s="1">
        <v>46173</v>
      </c>
      <c r="N158">
        <v>96.616319000000004</v>
      </c>
      <c r="O158" t="s">
        <v>58</v>
      </c>
      <c r="P158" t="s">
        <v>63</v>
      </c>
      <c r="Q158" t="s">
        <v>137</v>
      </c>
      <c r="R158" t="s">
        <v>140</v>
      </c>
      <c r="S158" t="s">
        <v>67</v>
      </c>
      <c r="T158" t="s">
        <v>219</v>
      </c>
      <c r="U158" t="s">
        <v>374</v>
      </c>
      <c r="V158">
        <v>15</v>
      </c>
      <c r="W158" s="2">
        <v>0</v>
      </c>
    </row>
    <row r="159" spans="1:23" x14ac:dyDescent="0.25">
      <c r="A159" t="s">
        <v>31</v>
      </c>
      <c r="B159" t="s">
        <v>32</v>
      </c>
      <c r="C159" t="s">
        <v>33</v>
      </c>
      <c r="D159" t="s">
        <v>34</v>
      </c>
      <c r="E159" t="s">
        <v>35</v>
      </c>
      <c r="F159" t="s">
        <v>36</v>
      </c>
      <c r="G159">
        <v>1141685</v>
      </c>
      <c r="H159" t="s">
        <v>90</v>
      </c>
      <c r="I159" t="s">
        <v>43</v>
      </c>
      <c r="J159" t="s">
        <v>105</v>
      </c>
      <c r="K159" t="s">
        <v>128</v>
      </c>
      <c r="L159" s="1">
        <v>46143</v>
      </c>
      <c r="M159" s="1">
        <v>46173</v>
      </c>
      <c r="N159">
        <v>0.99731182799999996</v>
      </c>
      <c r="O159" t="s">
        <v>135</v>
      </c>
      <c r="P159" t="s">
        <v>63</v>
      </c>
      <c r="Q159" t="s">
        <v>139</v>
      </c>
      <c r="R159" t="s">
        <v>163</v>
      </c>
      <c r="S159" t="s">
        <v>67</v>
      </c>
      <c r="T159" t="s">
        <v>274</v>
      </c>
      <c r="U159" t="s">
        <v>429</v>
      </c>
      <c r="V159">
        <v>8</v>
      </c>
      <c r="W159" s="2">
        <v>260986.5283870938</v>
      </c>
    </row>
    <row r="160" spans="1:23" x14ac:dyDescent="0.25">
      <c r="A160" t="s">
        <v>31</v>
      </c>
      <c r="B160" t="s">
        <v>32</v>
      </c>
      <c r="C160" t="s">
        <v>33</v>
      </c>
      <c r="D160" t="s">
        <v>34</v>
      </c>
      <c r="E160" t="s">
        <v>35</v>
      </c>
      <c r="F160" t="s">
        <v>36</v>
      </c>
      <c r="G160">
        <v>1141685</v>
      </c>
      <c r="H160" t="s">
        <v>76</v>
      </c>
      <c r="I160" t="s">
        <v>95</v>
      </c>
      <c r="J160" t="s">
        <v>99</v>
      </c>
      <c r="K160" t="s">
        <v>109</v>
      </c>
      <c r="L160" s="1">
        <v>46143</v>
      </c>
      <c r="M160" s="1">
        <v>46173</v>
      </c>
      <c r="N160">
        <v>87.132519000000002</v>
      </c>
      <c r="O160" t="s">
        <v>58</v>
      </c>
      <c r="P160" t="s">
        <v>63</v>
      </c>
      <c r="Q160" t="s">
        <v>137</v>
      </c>
      <c r="R160" t="s">
        <v>140</v>
      </c>
      <c r="S160" t="s">
        <v>67</v>
      </c>
      <c r="T160" t="s">
        <v>219</v>
      </c>
      <c r="U160" t="s">
        <v>374</v>
      </c>
      <c r="V160">
        <v>15</v>
      </c>
      <c r="W160" s="2">
        <v>0</v>
      </c>
    </row>
    <row r="161" spans="1:23" x14ac:dyDescent="0.25">
      <c r="A161" t="s">
        <v>31</v>
      </c>
      <c r="B161" t="s">
        <v>32</v>
      </c>
      <c r="C161" t="s">
        <v>33</v>
      </c>
      <c r="D161" t="s">
        <v>34</v>
      </c>
      <c r="E161" t="s">
        <v>35</v>
      </c>
      <c r="F161" t="s">
        <v>36</v>
      </c>
      <c r="G161">
        <v>1141685</v>
      </c>
      <c r="H161" t="s">
        <v>76</v>
      </c>
      <c r="I161" t="s">
        <v>95</v>
      </c>
      <c r="J161" t="s">
        <v>99</v>
      </c>
      <c r="K161" t="s">
        <v>109</v>
      </c>
      <c r="L161" s="1">
        <v>46143</v>
      </c>
      <c r="M161" s="1">
        <v>46173</v>
      </c>
      <c r="N161">
        <v>132.283559</v>
      </c>
      <c r="O161" t="s">
        <v>58</v>
      </c>
      <c r="P161" t="s">
        <v>63</v>
      </c>
      <c r="Q161" t="s">
        <v>137</v>
      </c>
      <c r="R161" t="s">
        <v>140</v>
      </c>
      <c r="S161" t="s">
        <v>67</v>
      </c>
      <c r="T161" t="s">
        <v>219</v>
      </c>
      <c r="U161" t="s">
        <v>374</v>
      </c>
      <c r="V161">
        <v>15</v>
      </c>
      <c r="W161" s="2">
        <v>0</v>
      </c>
    </row>
    <row r="162" spans="1:23" x14ac:dyDescent="0.25">
      <c r="A162" t="s">
        <v>31</v>
      </c>
      <c r="B162" t="s">
        <v>32</v>
      </c>
      <c r="C162" t="s">
        <v>33</v>
      </c>
      <c r="D162" t="s">
        <v>34</v>
      </c>
      <c r="E162" t="s">
        <v>35</v>
      </c>
      <c r="F162" t="s">
        <v>36</v>
      </c>
      <c r="G162">
        <v>1141685</v>
      </c>
      <c r="H162" t="s">
        <v>76</v>
      </c>
      <c r="I162" t="s">
        <v>95</v>
      </c>
      <c r="J162" t="s">
        <v>99</v>
      </c>
      <c r="K162" t="s">
        <v>109</v>
      </c>
      <c r="L162" s="1">
        <v>46143</v>
      </c>
      <c r="M162" s="1">
        <v>46173</v>
      </c>
      <c r="N162">
        <v>0.983352</v>
      </c>
      <c r="O162" t="s">
        <v>58</v>
      </c>
      <c r="P162" t="s">
        <v>63</v>
      </c>
      <c r="Q162" t="s">
        <v>137</v>
      </c>
      <c r="R162" t="s">
        <v>140</v>
      </c>
      <c r="S162" t="s">
        <v>67</v>
      </c>
      <c r="T162" t="s">
        <v>170</v>
      </c>
      <c r="U162" t="s">
        <v>325</v>
      </c>
      <c r="V162">
        <v>16</v>
      </c>
      <c r="W162" s="2">
        <v>0</v>
      </c>
    </row>
    <row r="163" spans="1:23" x14ac:dyDescent="0.25">
      <c r="A163" t="s">
        <v>31</v>
      </c>
      <c r="B163" t="s">
        <v>32</v>
      </c>
      <c r="C163" t="s">
        <v>33</v>
      </c>
      <c r="D163" t="s">
        <v>34</v>
      </c>
      <c r="E163" t="s">
        <v>35</v>
      </c>
      <c r="F163" t="s">
        <v>36</v>
      </c>
      <c r="G163">
        <v>1141685</v>
      </c>
      <c r="H163" t="s">
        <v>76</v>
      </c>
      <c r="I163" t="s">
        <v>95</v>
      </c>
      <c r="J163" t="s">
        <v>99</v>
      </c>
      <c r="K163" t="s">
        <v>109</v>
      </c>
      <c r="L163" s="1">
        <v>46143</v>
      </c>
      <c r="M163" s="1">
        <v>46173</v>
      </c>
      <c r="N163">
        <v>0.98335300000000003</v>
      </c>
      <c r="O163" t="s">
        <v>58</v>
      </c>
      <c r="P163" t="s">
        <v>63</v>
      </c>
      <c r="Q163" t="s">
        <v>137</v>
      </c>
      <c r="R163" t="s">
        <v>140</v>
      </c>
      <c r="S163" t="s">
        <v>67</v>
      </c>
      <c r="T163" t="s">
        <v>170</v>
      </c>
      <c r="U163" t="s">
        <v>325</v>
      </c>
      <c r="V163">
        <v>16</v>
      </c>
      <c r="W163" s="2">
        <v>0</v>
      </c>
    </row>
    <row r="164" spans="1:23" x14ac:dyDescent="0.25">
      <c r="A164" t="s">
        <v>31</v>
      </c>
      <c r="B164" t="s">
        <v>32</v>
      </c>
      <c r="C164" t="s">
        <v>33</v>
      </c>
      <c r="D164" t="s">
        <v>34</v>
      </c>
      <c r="E164" t="s">
        <v>35</v>
      </c>
      <c r="F164" t="s">
        <v>36</v>
      </c>
      <c r="G164">
        <v>1141685</v>
      </c>
      <c r="H164" t="s">
        <v>76</v>
      </c>
      <c r="I164" t="s">
        <v>95</v>
      </c>
      <c r="J164" t="s">
        <v>99</v>
      </c>
      <c r="K164" t="s">
        <v>109</v>
      </c>
      <c r="L164" s="1">
        <v>46143</v>
      </c>
      <c r="M164" s="1">
        <v>46173</v>
      </c>
      <c r="N164">
        <v>90.748339999999999</v>
      </c>
      <c r="O164" t="s">
        <v>58</v>
      </c>
      <c r="P164" t="s">
        <v>63</v>
      </c>
      <c r="Q164" t="s">
        <v>137</v>
      </c>
      <c r="R164" t="s">
        <v>140</v>
      </c>
      <c r="S164" t="s">
        <v>67</v>
      </c>
      <c r="T164" t="s">
        <v>170</v>
      </c>
      <c r="U164" t="s">
        <v>325</v>
      </c>
      <c r="V164">
        <v>16</v>
      </c>
      <c r="W164" s="2">
        <v>0</v>
      </c>
    </row>
    <row r="165" spans="1:23" x14ac:dyDescent="0.25">
      <c r="A165" t="s">
        <v>31</v>
      </c>
      <c r="B165" t="s">
        <v>32</v>
      </c>
      <c r="C165" t="s">
        <v>33</v>
      </c>
      <c r="D165" t="s">
        <v>34</v>
      </c>
      <c r="E165" t="s">
        <v>35</v>
      </c>
      <c r="F165" t="s">
        <v>36</v>
      </c>
      <c r="G165">
        <v>1141685</v>
      </c>
      <c r="H165" t="s">
        <v>76</v>
      </c>
      <c r="I165" t="s">
        <v>95</v>
      </c>
      <c r="J165" t="s">
        <v>99</v>
      </c>
      <c r="K165" t="s">
        <v>109</v>
      </c>
      <c r="L165" s="1">
        <v>46143</v>
      </c>
      <c r="M165" s="1">
        <v>46173</v>
      </c>
      <c r="N165">
        <v>2.2841900000000002</v>
      </c>
      <c r="O165" t="s">
        <v>58</v>
      </c>
      <c r="P165" t="s">
        <v>63</v>
      </c>
      <c r="Q165" t="s">
        <v>137</v>
      </c>
      <c r="R165" t="s">
        <v>140</v>
      </c>
      <c r="S165" t="s">
        <v>67</v>
      </c>
      <c r="T165" t="s">
        <v>170</v>
      </c>
      <c r="U165" t="s">
        <v>325</v>
      </c>
      <c r="V165">
        <v>16</v>
      </c>
      <c r="W165" s="2">
        <v>0</v>
      </c>
    </row>
    <row r="166" spans="1:23" x14ac:dyDescent="0.25">
      <c r="A166" t="s">
        <v>31</v>
      </c>
      <c r="B166" t="s">
        <v>32</v>
      </c>
      <c r="C166" t="s">
        <v>33</v>
      </c>
      <c r="D166" t="s">
        <v>34</v>
      </c>
      <c r="E166" t="s">
        <v>35</v>
      </c>
      <c r="F166" t="s">
        <v>36</v>
      </c>
      <c r="G166">
        <v>1141685</v>
      </c>
      <c r="H166" t="s">
        <v>76</v>
      </c>
      <c r="I166" t="s">
        <v>95</v>
      </c>
      <c r="J166" t="s">
        <v>99</v>
      </c>
      <c r="K166" t="s">
        <v>109</v>
      </c>
      <c r="L166" s="1">
        <v>46143</v>
      </c>
      <c r="M166" s="1">
        <v>46173</v>
      </c>
      <c r="N166">
        <v>0.983352</v>
      </c>
      <c r="O166" t="s">
        <v>58</v>
      </c>
      <c r="P166" t="s">
        <v>63</v>
      </c>
      <c r="Q166" t="s">
        <v>137</v>
      </c>
      <c r="R166" t="s">
        <v>140</v>
      </c>
      <c r="S166" t="s">
        <v>67</v>
      </c>
      <c r="T166" t="s">
        <v>170</v>
      </c>
      <c r="U166" t="s">
        <v>325</v>
      </c>
      <c r="V166">
        <v>16</v>
      </c>
      <c r="W166" s="2">
        <v>0</v>
      </c>
    </row>
    <row r="167" spans="1:23" x14ac:dyDescent="0.25">
      <c r="A167" t="s">
        <v>31</v>
      </c>
      <c r="B167" t="s">
        <v>32</v>
      </c>
      <c r="C167" t="s">
        <v>33</v>
      </c>
      <c r="D167" t="s">
        <v>34</v>
      </c>
      <c r="E167" t="s">
        <v>35</v>
      </c>
      <c r="F167" t="s">
        <v>36</v>
      </c>
      <c r="G167">
        <v>1141685</v>
      </c>
      <c r="H167" t="s">
        <v>76</v>
      </c>
      <c r="I167" t="s">
        <v>95</v>
      </c>
      <c r="J167" t="s">
        <v>99</v>
      </c>
      <c r="K167" t="s">
        <v>109</v>
      </c>
      <c r="L167" s="1">
        <v>46143</v>
      </c>
      <c r="M167" s="1">
        <v>46173</v>
      </c>
      <c r="N167">
        <v>28.167608000000001</v>
      </c>
      <c r="O167" t="s">
        <v>58</v>
      </c>
      <c r="P167" t="s">
        <v>63</v>
      </c>
      <c r="Q167" t="s">
        <v>137</v>
      </c>
      <c r="R167" t="s">
        <v>140</v>
      </c>
      <c r="S167" t="s">
        <v>67</v>
      </c>
      <c r="T167" t="s">
        <v>170</v>
      </c>
      <c r="U167" t="s">
        <v>325</v>
      </c>
      <c r="V167">
        <v>16</v>
      </c>
      <c r="W167" s="2">
        <v>0</v>
      </c>
    </row>
    <row r="168" spans="1:23" x14ac:dyDescent="0.25">
      <c r="A168" t="s">
        <v>31</v>
      </c>
      <c r="B168" t="s">
        <v>32</v>
      </c>
      <c r="C168" t="s">
        <v>33</v>
      </c>
      <c r="D168" t="s">
        <v>34</v>
      </c>
      <c r="E168" t="s">
        <v>35</v>
      </c>
      <c r="F168" t="s">
        <v>36</v>
      </c>
      <c r="G168">
        <v>1141685</v>
      </c>
      <c r="H168" t="s">
        <v>76</v>
      </c>
      <c r="I168" t="s">
        <v>95</v>
      </c>
      <c r="J168" t="s">
        <v>99</v>
      </c>
      <c r="K168" t="s">
        <v>109</v>
      </c>
      <c r="L168" s="1">
        <v>46143</v>
      </c>
      <c r="M168" s="1">
        <v>46173</v>
      </c>
      <c r="N168">
        <v>93.083122000000003</v>
      </c>
      <c r="O168" t="s">
        <v>58</v>
      </c>
      <c r="P168" t="s">
        <v>63</v>
      </c>
      <c r="Q168" t="s">
        <v>137</v>
      </c>
      <c r="R168" t="s">
        <v>140</v>
      </c>
      <c r="S168" t="s">
        <v>67</v>
      </c>
      <c r="T168" t="s">
        <v>170</v>
      </c>
      <c r="U168" t="s">
        <v>325</v>
      </c>
      <c r="V168">
        <v>16</v>
      </c>
      <c r="W168" s="2">
        <v>0</v>
      </c>
    </row>
    <row r="169" spans="1:23" x14ac:dyDescent="0.25">
      <c r="A169" t="s">
        <v>31</v>
      </c>
      <c r="B169" t="s">
        <v>32</v>
      </c>
      <c r="C169" t="s">
        <v>33</v>
      </c>
      <c r="D169" t="s">
        <v>34</v>
      </c>
      <c r="E169" t="s">
        <v>35</v>
      </c>
      <c r="F169" t="s">
        <v>36</v>
      </c>
      <c r="G169">
        <v>1141685</v>
      </c>
      <c r="H169" t="s">
        <v>76</v>
      </c>
      <c r="I169" t="s">
        <v>95</v>
      </c>
      <c r="J169" t="s">
        <v>99</v>
      </c>
      <c r="K169" t="s">
        <v>109</v>
      </c>
      <c r="L169" s="1">
        <v>46143</v>
      </c>
      <c r="M169" s="1">
        <v>46173</v>
      </c>
      <c r="N169">
        <v>1.2164239999999999</v>
      </c>
      <c r="O169" t="s">
        <v>58</v>
      </c>
      <c r="P169" t="s">
        <v>63</v>
      </c>
      <c r="Q169" t="s">
        <v>137</v>
      </c>
      <c r="R169" t="s">
        <v>140</v>
      </c>
      <c r="S169" t="s">
        <v>67</v>
      </c>
      <c r="T169" t="s">
        <v>170</v>
      </c>
      <c r="U169" t="s">
        <v>325</v>
      </c>
      <c r="V169">
        <v>16</v>
      </c>
      <c r="W169" s="2">
        <v>0</v>
      </c>
    </row>
    <row r="170" spans="1:23" x14ac:dyDescent="0.25">
      <c r="A170" t="s">
        <v>31</v>
      </c>
      <c r="B170" t="s">
        <v>32</v>
      </c>
      <c r="C170" t="s">
        <v>33</v>
      </c>
      <c r="D170" t="s">
        <v>34</v>
      </c>
      <c r="E170" t="s">
        <v>35</v>
      </c>
      <c r="F170" t="s">
        <v>36</v>
      </c>
      <c r="G170">
        <v>1141685</v>
      </c>
      <c r="H170" t="s">
        <v>76</v>
      </c>
      <c r="I170" t="s">
        <v>95</v>
      </c>
      <c r="J170" t="s">
        <v>99</v>
      </c>
      <c r="K170" t="s">
        <v>109</v>
      </c>
      <c r="L170" s="1">
        <v>46143</v>
      </c>
      <c r="M170" s="1">
        <v>46173</v>
      </c>
      <c r="N170">
        <v>19.066844</v>
      </c>
      <c r="O170" t="s">
        <v>58</v>
      </c>
      <c r="P170" t="s">
        <v>63</v>
      </c>
      <c r="Q170" t="s">
        <v>137</v>
      </c>
      <c r="R170" t="s">
        <v>140</v>
      </c>
      <c r="S170" t="s">
        <v>67</v>
      </c>
      <c r="T170" t="s">
        <v>170</v>
      </c>
      <c r="U170" t="s">
        <v>325</v>
      </c>
      <c r="V170">
        <v>16</v>
      </c>
      <c r="W170" s="2">
        <v>0</v>
      </c>
    </row>
    <row r="171" spans="1:23" x14ac:dyDescent="0.25">
      <c r="A171" t="s">
        <v>31</v>
      </c>
      <c r="B171" t="s">
        <v>32</v>
      </c>
      <c r="C171" t="s">
        <v>33</v>
      </c>
      <c r="D171" t="s">
        <v>34</v>
      </c>
      <c r="E171" t="s">
        <v>35</v>
      </c>
      <c r="F171" t="s">
        <v>36</v>
      </c>
      <c r="G171">
        <v>1141685</v>
      </c>
      <c r="H171" t="s">
        <v>76</v>
      </c>
      <c r="I171" t="s">
        <v>95</v>
      </c>
      <c r="J171" t="s">
        <v>99</v>
      </c>
      <c r="K171" t="s">
        <v>109</v>
      </c>
      <c r="L171" s="1">
        <v>46143</v>
      </c>
      <c r="M171" s="1">
        <v>46173</v>
      </c>
      <c r="N171">
        <v>48.616660000000003</v>
      </c>
      <c r="O171" t="s">
        <v>58</v>
      </c>
      <c r="P171" t="s">
        <v>63</v>
      </c>
      <c r="Q171" t="s">
        <v>137</v>
      </c>
      <c r="R171" t="s">
        <v>140</v>
      </c>
      <c r="S171" t="s">
        <v>67</v>
      </c>
      <c r="T171" t="s">
        <v>170</v>
      </c>
      <c r="U171" t="s">
        <v>325</v>
      </c>
      <c r="V171">
        <v>16</v>
      </c>
      <c r="W171" s="2">
        <v>0</v>
      </c>
    </row>
    <row r="172" spans="1:23" x14ac:dyDescent="0.25">
      <c r="A172" t="s">
        <v>31</v>
      </c>
      <c r="B172" t="s">
        <v>32</v>
      </c>
      <c r="C172" t="s">
        <v>33</v>
      </c>
      <c r="D172" t="s">
        <v>34</v>
      </c>
      <c r="E172" t="s">
        <v>35</v>
      </c>
      <c r="F172" t="s">
        <v>36</v>
      </c>
      <c r="G172">
        <v>1141685</v>
      </c>
      <c r="H172" t="s">
        <v>76</v>
      </c>
      <c r="I172" t="s">
        <v>95</v>
      </c>
      <c r="J172" t="s">
        <v>99</v>
      </c>
      <c r="K172" t="s">
        <v>109</v>
      </c>
      <c r="L172" s="1">
        <v>46143</v>
      </c>
      <c r="M172" s="1">
        <v>46173</v>
      </c>
      <c r="N172">
        <v>26.249801999999999</v>
      </c>
      <c r="O172" t="s">
        <v>58</v>
      </c>
      <c r="P172" t="s">
        <v>63</v>
      </c>
      <c r="Q172" t="s">
        <v>137</v>
      </c>
      <c r="R172" t="s">
        <v>140</v>
      </c>
      <c r="S172" t="s">
        <v>67</v>
      </c>
      <c r="T172" t="s">
        <v>170</v>
      </c>
      <c r="U172" t="s">
        <v>325</v>
      </c>
      <c r="V172">
        <v>16</v>
      </c>
      <c r="W172" s="2">
        <v>0</v>
      </c>
    </row>
    <row r="173" spans="1:23" x14ac:dyDescent="0.25">
      <c r="A173" t="s">
        <v>31</v>
      </c>
      <c r="B173" t="s">
        <v>32</v>
      </c>
      <c r="C173" t="s">
        <v>33</v>
      </c>
      <c r="D173" t="s">
        <v>34</v>
      </c>
      <c r="E173" t="s">
        <v>35</v>
      </c>
      <c r="F173" t="s">
        <v>36</v>
      </c>
      <c r="G173">
        <v>1141685</v>
      </c>
      <c r="H173" t="s">
        <v>76</v>
      </c>
      <c r="I173" t="s">
        <v>95</v>
      </c>
      <c r="J173" t="s">
        <v>99</v>
      </c>
      <c r="K173" t="s">
        <v>109</v>
      </c>
      <c r="L173" s="1">
        <v>46143</v>
      </c>
      <c r="M173" s="1">
        <v>46173</v>
      </c>
      <c r="N173">
        <v>110.483406</v>
      </c>
      <c r="O173" t="s">
        <v>58</v>
      </c>
      <c r="P173" t="s">
        <v>63</v>
      </c>
      <c r="Q173" t="s">
        <v>137</v>
      </c>
      <c r="R173" t="s">
        <v>140</v>
      </c>
      <c r="S173" t="s">
        <v>67</v>
      </c>
      <c r="T173" t="s">
        <v>170</v>
      </c>
      <c r="U173" t="s">
        <v>325</v>
      </c>
      <c r="V173">
        <v>16</v>
      </c>
      <c r="W173" s="2">
        <v>0</v>
      </c>
    </row>
    <row r="174" spans="1:23" x14ac:dyDescent="0.25">
      <c r="A174" t="s">
        <v>31</v>
      </c>
      <c r="B174" t="s">
        <v>32</v>
      </c>
      <c r="C174" t="s">
        <v>33</v>
      </c>
      <c r="D174" t="s">
        <v>34</v>
      </c>
      <c r="E174" t="s">
        <v>35</v>
      </c>
      <c r="F174" t="s">
        <v>36</v>
      </c>
      <c r="G174">
        <v>1141685</v>
      </c>
      <c r="H174" t="s">
        <v>79</v>
      </c>
      <c r="I174" t="s">
        <v>94</v>
      </c>
      <c r="J174" t="s">
        <v>101</v>
      </c>
      <c r="K174" t="s">
        <v>116</v>
      </c>
      <c r="L174" s="1">
        <v>46143</v>
      </c>
      <c r="M174" s="1">
        <v>46173</v>
      </c>
      <c r="N174">
        <v>7.4675896199999994E-2</v>
      </c>
      <c r="O174" t="s">
        <v>56</v>
      </c>
      <c r="P174" t="s">
        <v>63</v>
      </c>
      <c r="Q174" t="s">
        <v>136</v>
      </c>
      <c r="R174" t="s">
        <v>151</v>
      </c>
      <c r="S174" t="s">
        <v>67</v>
      </c>
      <c r="T174" t="s">
        <v>275</v>
      </c>
      <c r="U174" t="s">
        <v>430</v>
      </c>
      <c r="V174">
        <v>16</v>
      </c>
      <c r="W174" s="2">
        <v>85.223876919700004</v>
      </c>
    </row>
    <row r="175" spans="1:23" x14ac:dyDescent="0.25">
      <c r="A175" t="s">
        <v>31</v>
      </c>
      <c r="B175" t="s">
        <v>32</v>
      </c>
      <c r="C175" t="s">
        <v>33</v>
      </c>
      <c r="D175" t="s">
        <v>34</v>
      </c>
      <c r="E175" t="s">
        <v>35</v>
      </c>
      <c r="F175" t="s">
        <v>36</v>
      </c>
      <c r="G175">
        <v>1141685</v>
      </c>
      <c r="H175" t="s">
        <v>79</v>
      </c>
      <c r="I175" t="s">
        <v>94</v>
      </c>
      <c r="J175" t="s">
        <v>101</v>
      </c>
      <c r="K175" t="s">
        <v>116</v>
      </c>
      <c r="L175" s="1">
        <v>46143</v>
      </c>
      <c r="M175" s="1">
        <v>46173</v>
      </c>
      <c r="N175">
        <v>0.2161707859</v>
      </c>
      <c r="O175" t="s">
        <v>56</v>
      </c>
      <c r="P175" t="s">
        <v>63</v>
      </c>
      <c r="Q175" t="s">
        <v>136</v>
      </c>
      <c r="R175" t="s">
        <v>141</v>
      </c>
      <c r="S175" t="s">
        <v>67</v>
      </c>
      <c r="T175" t="s">
        <v>276</v>
      </c>
      <c r="U175" t="s">
        <v>431</v>
      </c>
      <c r="V175">
        <v>16</v>
      </c>
      <c r="W175" s="2">
        <v>301.7006134271</v>
      </c>
    </row>
    <row r="176" spans="1:23" x14ac:dyDescent="0.25">
      <c r="A176" t="s">
        <v>31</v>
      </c>
      <c r="B176" t="s">
        <v>32</v>
      </c>
      <c r="C176" t="s">
        <v>33</v>
      </c>
      <c r="D176" t="s">
        <v>34</v>
      </c>
      <c r="E176" t="s">
        <v>35</v>
      </c>
      <c r="F176" t="s">
        <v>36</v>
      </c>
      <c r="G176">
        <v>1141685</v>
      </c>
      <c r="H176" t="s">
        <v>79</v>
      </c>
      <c r="I176" t="s">
        <v>94</v>
      </c>
      <c r="J176" t="s">
        <v>101</v>
      </c>
      <c r="K176" t="s">
        <v>116</v>
      </c>
      <c r="L176" s="1">
        <v>46143</v>
      </c>
      <c r="M176" s="1">
        <v>46173</v>
      </c>
      <c r="N176">
        <v>1.0891249E-3</v>
      </c>
      <c r="O176" t="s">
        <v>56</v>
      </c>
      <c r="P176" t="s">
        <v>63</v>
      </c>
      <c r="Q176" t="s">
        <v>136</v>
      </c>
      <c r="R176" t="s">
        <v>140</v>
      </c>
      <c r="S176" t="s">
        <v>67</v>
      </c>
      <c r="T176" t="s">
        <v>277</v>
      </c>
      <c r="U176" t="s">
        <v>432</v>
      </c>
      <c r="V176">
        <v>16</v>
      </c>
      <c r="W176" s="2">
        <v>1.5176615091000001</v>
      </c>
    </row>
    <row r="177" spans="1:23" x14ac:dyDescent="0.25">
      <c r="A177" t="s">
        <v>31</v>
      </c>
      <c r="B177" t="s">
        <v>32</v>
      </c>
      <c r="C177" t="s">
        <v>33</v>
      </c>
      <c r="D177" t="s">
        <v>34</v>
      </c>
      <c r="E177" t="s">
        <v>35</v>
      </c>
      <c r="F177" t="s">
        <v>36</v>
      </c>
      <c r="G177">
        <v>1141685</v>
      </c>
      <c r="H177" t="s">
        <v>91</v>
      </c>
      <c r="I177" t="s">
        <v>95</v>
      </c>
      <c r="J177" t="s">
        <v>106</v>
      </c>
      <c r="K177" t="s">
        <v>129</v>
      </c>
      <c r="L177" s="1">
        <v>46143</v>
      </c>
      <c r="M177" s="1">
        <v>46173</v>
      </c>
      <c r="N177">
        <v>1</v>
      </c>
      <c r="O177" t="s">
        <v>58</v>
      </c>
      <c r="P177" t="s">
        <v>63</v>
      </c>
      <c r="Q177" t="s">
        <v>137</v>
      </c>
      <c r="R177" t="s">
        <v>141</v>
      </c>
      <c r="S177" t="s">
        <v>67</v>
      </c>
      <c r="T177" t="s">
        <v>278</v>
      </c>
      <c r="U177" t="s">
        <v>433</v>
      </c>
      <c r="V177">
        <v>16</v>
      </c>
      <c r="W177" s="2">
        <v>2180.75</v>
      </c>
    </row>
    <row r="178" spans="1:23" x14ac:dyDescent="0.25">
      <c r="A178" t="s">
        <v>31</v>
      </c>
      <c r="B178" t="s">
        <v>32</v>
      </c>
      <c r="C178" t="s">
        <v>33</v>
      </c>
      <c r="D178" t="s">
        <v>34</v>
      </c>
      <c r="E178" t="s">
        <v>35</v>
      </c>
      <c r="F178" t="s">
        <v>36</v>
      </c>
      <c r="G178">
        <v>1141685</v>
      </c>
      <c r="H178" t="s">
        <v>92</v>
      </c>
      <c r="I178" t="s">
        <v>97</v>
      </c>
      <c r="J178" t="s">
        <v>107</v>
      </c>
      <c r="K178" t="s">
        <v>130</v>
      </c>
      <c r="L178" s="1">
        <v>46143</v>
      </c>
      <c r="M178" s="1">
        <v>46173</v>
      </c>
      <c r="N178">
        <v>130</v>
      </c>
      <c r="O178" t="s">
        <v>57</v>
      </c>
      <c r="P178" t="s">
        <v>63</v>
      </c>
      <c r="Q178" t="s">
        <v>139</v>
      </c>
      <c r="R178" t="s">
        <v>146</v>
      </c>
      <c r="S178" t="s">
        <v>67</v>
      </c>
      <c r="T178" t="s">
        <v>279</v>
      </c>
      <c r="U178" t="s">
        <v>434</v>
      </c>
      <c r="V178">
        <v>9</v>
      </c>
      <c r="W178" s="2">
        <v>312981.24120000011</v>
      </c>
    </row>
    <row r="179" spans="1:23" x14ac:dyDescent="0.25">
      <c r="A179" t="s">
        <v>31</v>
      </c>
      <c r="B179" t="s">
        <v>32</v>
      </c>
      <c r="C179" t="s">
        <v>33</v>
      </c>
      <c r="D179" t="s">
        <v>34</v>
      </c>
      <c r="E179" t="s">
        <v>35</v>
      </c>
      <c r="F179" t="s">
        <v>36</v>
      </c>
      <c r="G179">
        <v>1141685</v>
      </c>
      <c r="H179" t="s">
        <v>38</v>
      </c>
      <c r="I179" t="s">
        <v>38</v>
      </c>
      <c r="J179" t="s">
        <v>38</v>
      </c>
      <c r="K179" t="s">
        <v>53</v>
      </c>
      <c r="L179" s="1">
        <v>46143</v>
      </c>
      <c r="M179" s="1">
        <v>46173</v>
      </c>
      <c r="N179">
        <v>1.82701852E-2</v>
      </c>
      <c r="O179" t="s">
        <v>57</v>
      </c>
      <c r="P179" t="s">
        <v>63</v>
      </c>
      <c r="Q179" t="s">
        <v>139</v>
      </c>
      <c r="R179" t="s">
        <v>144</v>
      </c>
      <c r="S179" t="s">
        <v>66</v>
      </c>
      <c r="T179" t="s">
        <v>280</v>
      </c>
      <c r="U179" t="s">
        <v>435</v>
      </c>
      <c r="V179">
        <v>6</v>
      </c>
      <c r="W179" s="2">
        <v>44.751168501000002</v>
      </c>
    </row>
    <row r="180" spans="1:23" x14ac:dyDescent="0.25">
      <c r="A180" t="s">
        <v>31</v>
      </c>
      <c r="B180" t="s">
        <v>32</v>
      </c>
      <c r="C180" t="s">
        <v>33</v>
      </c>
      <c r="D180" t="s">
        <v>34</v>
      </c>
      <c r="E180" t="s">
        <v>35</v>
      </c>
      <c r="F180" t="s">
        <v>36</v>
      </c>
      <c r="G180">
        <v>1141685</v>
      </c>
      <c r="H180" t="s">
        <v>79</v>
      </c>
      <c r="I180" t="s">
        <v>94</v>
      </c>
      <c r="J180" t="s">
        <v>101</v>
      </c>
      <c r="K180" t="s">
        <v>116</v>
      </c>
      <c r="L180" s="1">
        <v>46143</v>
      </c>
      <c r="M180" s="1">
        <v>46173</v>
      </c>
      <c r="N180">
        <v>0.19201347420000001</v>
      </c>
      <c r="O180" t="s">
        <v>56</v>
      </c>
      <c r="P180" t="s">
        <v>63</v>
      </c>
      <c r="Q180" t="s">
        <v>136</v>
      </c>
      <c r="R180" t="s">
        <v>140</v>
      </c>
      <c r="S180" t="s">
        <v>67</v>
      </c>
      <c r="T180" t="s">
        <v>281</v>
      </c>
      <c r="U180" t="s">
        <v>436</v>
      </c>
      <c r="V180">
        <v>15</v>
      </c>
      <c r="W180" s="2">
        <v>219.0765817775</v>
      </c>
    </row>
    <row r="181" spans="1:23" x14ac:dyDescent="0.25">
      <c r="A181" t="s">
        <v>31</v>
      </c>
      <c r="B181" t="s">
        <v>32</v>
      </c>
      <c r="C181" t="s">
        <v>33</v>
      </c>
      <c r="D181" t="s">
        <v>34</v>
      </c>
      <c r="E181" t="s">
        <v>35</v>
      </c>
      <c r="F181" t="s">
        <v>36</v>
      </c>
      <c r="G181">
        <v>1141685</v>
      </c>
      <c r="H181" t="s">
        <v>87</v>
      </c>
      <c r="I181" t="s">
        <v>87</v>
      </c>
      <c r="J181" t="s">
        <v>87</v>
      </c>
      <c r="K181" t="s">
        <v>131</v>
      </c>
      <c r="L181" s="1">
        <v>46143</v>
      </c>
      <c r="M181" s="1">
        <v>46173</v>
      </c>
      <c r="N181">
        <v>3828.1306839995</v>
      </c>
      <c r="O181" t="s">
        <v>56</v>
      </c>
      <c r="P181" t="s">
        <v>63</v>
      </c>
      <c r="Q181" t="s">
        <v>136</v>
      </c>
      <c r="R181" t="s">
        <v>164</v>
      </c>
      <c r="S181" t="s">
        <v>67</v>
      </c>
      <c r="T181" t="s">
        <v>282</v>
      </c>
      <c r="U181" t="s">
        <v>437</v>
      </c>
      <c r="V181">
        <v>12</v>
      </c>
      <c r="W181" s="2">
        <v>333927.83881744387</v>
      </c>
    </row>
    <row r="182" spans="1:23" x14ac:dyDescent="0.25">
      <c r="A182" t="s">
        <v>31</v>
      </c>
      <c r="B182" t="s">
        <v>32</v>
      </c>
      <c r="C182" t="s">
        <v>33</v>
      </c>
      <c r="D182" t="s">
        <v>34</v>
      </c>
      <c r="E182" t="s">
        <v>35</v>
      </c>
      <c r="F182" t="s">
        <v>36</v>
      </c>
      <c r="G182">
        <v>1141685</v>
      </c>
      <c r="H182" t="s">
        <v>82</v>
      </c>
      <c r="I182" t="s">
        <v>82</v>
      </c>
      <c r="J182" t="s">
        <v>82</v>
      </c>
      <c r="K182" t="s">
        <v>120</v>
      </c>
      <c r="L182" s="1">
        <v>46143</v>
      </c>
      <c r="M182" s="1">
        <v>46173</v>
      </c>
      <c r="N182">
        <v>1</v>
      </c>
      <c r="O182" t="s">
        <v>61</v>
      </c>
      <c r="P182" t="s">
        <v>63</v>
      </c>
      <c r="Q182" t="s">
        <v>138</v>
      </c>
      <c r="R182" t="s">
        <v>148</v>
      </c>
      <c r="S182" t="s">
        <v>68</v>
      </c>
      <c r="T182" t="s">
        <v>283</v>
      </c>
      <c r="U182" t="s">
        <v>438</v>
      </c>
      <c r="V182">
        <v>7</v>
      </c>
      <c r="W182" s="2">
        <v>2691.9341720419998</v>
      </c>
    </row>
    <row r="183" spans="1:23" x14ac:dyDescent="0.25">
      <c r="A183" t="s">
        <v>31</v>
      </c>
      <c r="B183" t="s">
        <v>32</v>
      </c>
      <c r="C183" t="s">
        <v>33</v>
      </c>
      <c r="D183" t="s">
        <v>34</v>
      </c>
      <c r="E183" t="s">
        <v>35</v>
      </c>
      <c r="F183" t="s">
        <v>36</v>
      </c>
      <c r="G183">
        <v>1141685</v>
      </c>
      <c r="H183" t="s">
        <v>75</v>
      </c>
      <c r="I183" t="s">
        <v>94</v>
      </c>
      <c r="J183" t="s">
        <v>98</v>
      </c>
      <c r="K183" t="s">
        <v>108</v>
      </c>
      <c r="L183" s="1">
        <v>46143</v>
      </c>
      <c r="M183" s="1">
        <v>46173</v>
      </c>
      <c r="N183">
        <v>0.65925882849999995</v>
      </c>
      <c r="O183" t="s">
        <v>56</v>
      </c>
      <c r="P183" t="s">
        <v>63</v>
      </c>
      <c r="Q183" t="s">
        <v>136</v>
      </c>
      <c r="R183" t="s">
        <v>140</v>
      </c>
      <c r="S183" t="s">
        <v>67</v>
      </c>
      <c r="T183" t="s">
        <v>284</v>
      </c>
      <c r="U183" t="s">
        <v>439</v>
      </c>
      <c r="V183">
        <v>16</v>
      </c>
      <c r="W183" s="2">
        <v>1380.1709575186001</v>
      </c>
    </row>
    <row r="184" spans="1:23" x14ac:dyDescent="0.25">
      <c r="A184" t="s">
        <v>31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>
        <v>1141685</v>
      </c>
      <c r="H184" t="s">
        <v>75</v>
      </c>
      <c r="I184" t="s">
        <v>94</v>
      </c>
      <c r="J184" t="s">
        <v>98</v>
      </c>
      <c r="K184" t="s">
        <v>108</v>
      </c>
      <c r="L184" s="1">
        <v>46143</v>
      </c>
      <c r="M184" s="1">
        <v>46173</v>
      </c>
      <c r="N184">
        <v>0.1649912624</v>
      </c>
      <c r="O184" t="s">
        <v>56</v>
      </c>
      <c r="P184" t="s">
        <v>63</v>
      </c>
      <c r="Q184" t="s">
        <v>136</v>
      </c>
      <c r="R184" t="s">
        <v>140</v>
      </c>
      <c r="S184" t="s">
        <v>67</v>
      </c>
      <c r="T184" t="s">
        <v>285</v>
      </c>
      <c r="U184" t="s">
        <v>440</v>
      </c>
      <c r="V184">
        <v>15</v>
      </c>
      <c r="W184" s="2">
        <v>312.61530156800001</v>
      </c>
    </row>
    <row r="185" spans="1:23" x14ac:dyDescent="0.25">
      <c r="A185" t="s">
        <v>31</v>
      </c>
      <c r="B185" t="s">
        <v>32</v>
      </c>
      <c r="C185" t="s">
        <v>33</v>
      </c>
      <c r="D185" t="s">
        <v>34</v>
      </c>
      <c r="E185" t="s">
        <v>35</v>
      </c>
      <c r="F185" t="s">
        <v>36</v>
      </c>
      <c r="G185">
        <v>1141685</v>
      </c>
      <c r="H185" t="s">
        <v>75</v>
      </c>
      <c r="I185" t="s">
        <v>94</v>
      </c>
      <c r="J185" t="s">
        <v>98</v>
      </c>
      <c r="K185" t="s">
        <v>108</v>
      </c>
      <c r="L185" s="1">
        <v>46143</v>
      </c>
      <c r="M185" s="1">
        <v>46173</v>
      </c>
      <c r="N185">
        <v>0.46635893169999998</v>
      </c>
      <c r="O185" t="s">
        <v>56</v>
      </c>
      <c r="P185" t="s">
        <v>63</v>
      </c>
      <c r="Q185" t="s">
        <v>136</v>
      </c>
      <c r="R185" t="s">
        <v>140</v>
      </c>
      <c r="S185" t="s">
        <v>67</v>
      </c>
      <c r="T185" t="s">
        <v>286</v>
      </c>
      <c r="U185" t="s">
        <v>441</v>
      </c>
      <c r="V185">
        <v>16</v>
      </c>
      <c r="W185" s="2">
        <v>976.33194067160002</v>
      </c>
    </row>
    <row r="186" spans="1:23" x14ac:dyDescent="0.25">
      <c r="A186" t="s">
        <v>31</v>
      </c>
      <c r="B186" t="s">
        <v>32</v>
      </c>
      <c r="C186" t="s">
        <v>33</v>
      </c>
      <c r="D186" t="s">
        <v>34</v>
      </c>
      <c r="E186" t="s">
        <v>35</v>
      </c>
      <c r="F186" t="s">
        <v>36</v>
      </c>
      <c r="G186">
        <v>1141685</v>
      </c>
      <c r="H186" t="s">
        <v>87</v>
      </c>
      <c r="I186" t="s">
        <v>87</v>
      </c>
      <c r="J186" t="s">
        <v>87</v>
      </c>
      <c r="K186" t="s">
        <v>131</v>
      </c>
      <c r="L186" s="1">
        <v>46143</v>
      </c>
      <c r="M186" s="1">
        <v>46173</v>
      </c>
      <c r="N186">
        <v>185.67475155369999</v>
      </c>
      <c r="O186" t="s">
        <v>56</v>
      </c>
      <c r="P186" t="s">
        <v>63</v>
      </c>
      <c r="Q186" t="s">
        <v>136</v>
      </c>
      <c r="R186" t="s">
        <v>158</v>
      </c>
      <c r="S186" t="s">
        <v>67</v>
      </c>
      <c r="T186" t="s">
        <v>287</v>
      </c>
      <c r="U186" t="s">
        <v>442</v>
      </c>
      <c r="V186">
        <v>12</v>
      </c>
      <c r="W186" s="2">
        <v>16196.4095486645</v>
      </c>
    </row>
    <row r="187" spans="1:23" x14ac:dyDescent="0.25">
      <c r="A187" t="s">
        <v>31</v>
      </c>
      <c r="B187" t="s">
        <v>32</v>
      </c>
      <c r="C187" t="s">
        <v>33</v>
      </c>
      <c r="D187" t="s">
        <v>34</v>
      </c>
      <c r="E187" t="s">
        <v>35</v>
      </c>
      <c r="F187" t="s">
        <v>36</v>
      </c>
      <c r="G187">
        <v>1141685</v>
      </c>
      <c r="H187" t="s">
        <v>76</v>
      </c>
      <c r="I187" t="s">
        <v>95</v>
      </c>
      <c r="J187" t="s">
        <v>99</v>
      </c>
      <c r="K187" t="s">
        <v>109</v>
      </c>
      <c r="L187" s="1">
        <v>46143</v>
      </c>
      <c r="M187" s="1">
        <v>46173</v>
      </c>
      <c r="N187">
        <v>8.4844209999999993</v>
      </c>
      <c r="O187" t="s">
        <v>58</v>
      </c>
      <c r="P187" t="s">
        <v>63</v>
      </c>
      <c r="Q187" t="s">
        <v>137</v>
      </c>
      <c r="R187" t="s">
        <v>140</v>
      </c>
      <c r="S187" t="s">
        <v>67</v>
      </c>
      <c r="T187" t="s">
        <v>170</v>
      </c>
      <c r="U187" t="s">
        <v>325</v>
      </c>
      <c r="V187">
        <v>16</v>
      </c>
      <c r="W187" s="2">
        <v>0</v>
      </c>
    </row>
    <row r="188" spans="1:23" x14ac:dyDescent="0.25">
      <c r="A188" t="s">
        <v>31</v>
      </c>
      <c r="B188" t="s">
        <v>32</v>
      </c>
      <c r="C188" t="s">
        <v>33</v>
      </c>
      <c r="D188" t="s">
        <v>34</v>
      </c>
      <c r="E188" t="s">
        <v>35</v>
      </c>
      <c r="F188" t="s">
        <v>36</v>
      </c>
      <c r="G188">
        <v>1141685</v>
      </c>
      <c r="H188" t="s">
        <v>76</v>
      </c>
      <c r="I188" t="s">
        <v>95</v>
      </c>
      <c r="J188" t="s">
        <v>99</v>
      </c>
      <c r="K188" t="s">
        <v>109</v>
      </c>
      <c r="L188" s="1">
        <v>46143</v>
      </c>
      <c r="M188" s="1">
        <v>46173</v>
      </c>
      <c r="N188">
        <v>68.199686</v>
      </c>
      <c r="O188" t="s">
        <v>58</v>
      </c>
      <c r="P188" t="s">
        <v>63</v>
      </c>
      <c r="Q188" t="s">
        <v>137</v>
      </c>
      <c r="R188" t="s">
        <v>140</v>
      </c>
      <c r="S188" t="s">
        <v>67</v>
      </c>
      <c r="T188" t="s">
        <v>170</v>
      </c>
      <c r="U188" t="s">
        <v>325</v>
      </c>
      <c r="V188">
        <v>16</v>
      </c>
      <c r="W188" s="2">
        <v>0</v>
      </c>
    </row>
    <row r="189" spans="1:23" x14ac:dyDescent="0.25">
      <c r="A189" t="s">
        <v>31</v>
      </c>
      <c r="B189" t="s">
        <v>32</v>
      </c>
      <c r="C189" t="s">
        <v>33</v>
      </c>
      <c r="D189" t="s">
        <v>34</v>
      </c>
      <c r="E189" t="s">
        <v>35</v>
      </c>
      <c r="F189" t="s">
        <v>36</v>
      </c>
      <c r="G189">
        <v>1141685</v>
      </c>
      <c r="H189" t="s">
        <v>75</v>
      </c>
      <c r="I189" t="s">
        <v>94</v>
      </c>
      <c r="J189" t="s">
        <v>98</v>
      </c>
      <c r="K189" t="s">
        <v>108</v>
      </c>
      <c r="L189" s="1">
        <v>46143</v>
      </c>
      <c r="M189" s="1">
        <v>46173</v>
      </c>
      <c r="N189">
        <v>2.3210938182</v>
      </c>
      <c r="O189" t="s">
        <v>56</v>
      </c>
      <c r="P189" t="s">
        <v>63</v>
      </c>
      <c r="Q189" t="s">
        <v>136</v>
      </c>
      <c r="R189" t="s">
        <v>151</v>
      </c>
      <c r="S189" t="s">
        <v>67</v>
      </c>
      <c r="T189" t="s">
        <v>288</v>
      </c>
      <c r="U189" t="s">
        <v>443</v>
      </c>
      <c r="V189">
        <v>17</v>
      </c>
      <c r="W189" s="2">
        <v>4859.2555705922996</v>
      </c>
    </row>
    <row r="190" spans="1:23" x14ac:dyDescent="0.25">
      <c r="A190" t="s">
        <v>31</v>
      </c>
      <c r="B190" t="s">
        <v>32</v>
      </c>
      <c r="C190" t="s">
        <v>33</v>
      </c>
      <c r="D190" t="s">
        <v>34</v>
      </c>
      <c r="E190" t="s">
        <v>35</v>
      </c>
      <c r="F190" t="s">
        <v>36</v>
      </c>
      <c r="G190">
        <v>1141685</v>
      </c>
      <c r="H190" t="s">
        <v>81</v>
      </c>
      <c r="I190" t="s">
        <v>97</v>
      </c>
      <c r="J190" t="s">
        <v>102</v>
      </c>
      <c r="K190" t="s">
        <v>117</v>
      </c>
      <c r="L190" s="1">
        <v>46143</v>
      </c>
      <c r="M190" s="1">
        <v>46173</v>
      </c>
      <c r="N190">
        <v>412</v>
      </c>
      <c r="O190" t="s">
        <v>58</v>
      </c>
      <c r="P190" t="s">
        <v>63</v>
      </c>
      <c r="Q190" t="s">
        <v>139</v>
      </c>
      <c r="R190" t="s">
        <v>146</v>
      </c>
      <c r="S190" t="s">
        <v>67</v>
      </c>
      <c r="T190" t="s">
        <v>187</v>
      </c>
      <c r="U190" t="s">
        <v>342</v>
      </c>
      <c r="V190">
        <v>9</v>
      </c>
      <c r="W190" s="2">
        <v>0</v>
      </c>
    </row>
    <row r="191" spans="1:23" x14ac:dyDescent="0.25">
      <c r="A191" t="s">
        <v>31</v>
      </c>
      <c r="B191" t="s">
        <v>32</v>
      </c>
      <c r="C191" t="s">
        <v>33</v>
      </c>
      <c r="D191" t="s">
        <v>34</v>
      </c>
      <c r="E191" t="s">
        <v>35</v>
      </c>
      <c r="F191" t="s">
        <v>36</v>
      </c>
      <c r="G191">
        <v>1141685</v>
      </c>
      <c r="H191" t="s">
        <v>81</v>
      </c>
      <c r="I191" t="s">
        <v>97</v>
      </c>
      <c r="J191" t="s">
        <v>102</v>
      </c>
      <c r="K191" t="s">
        <v>117</v>
      </c>
      <c r="L191" s="1">
        <v>46143</v>
      </c>
      <c r="M191" s="1">
        <v>46173</v>
      </c>
      <c r="N191">
        <v>450</v>
      </c>
      <c r="O191" t="s">
        <v>58</v>
      </c>
      <c r="P191" t="s">
        <v>63</v>
      </c>
      <c r="Q191" t="s">
        <v>139</v>
      </c>
      <c r="R191" t="s">
        <v>146</v>
      </c>
      <c r="S191" t="s">
        <v>67</v>
      </c>
      <c r="T191" t="s">
        <v>187</v>
      </c>
      <c r="U191" t="s">
        <v>342</v>
      </c>
      <c r="V191">
        <v>9</v>
      </c>
      <c r="W191" s="2">
        <v>0</v>
      </c>
    </row>
    <row r="192" spans="1:23" x14ac:dyDescent="0.25">
      <c r="A192" t="s">
        <v>31</v>
      </c>
      <c r="B192" t="s">
        <v>32</v>
      </c>
      <c r="C192" t="s">
        <v>33</v>
      </c>
      <c r="D192" t="s">
        <v>34</v>
      </c>
      <c r="E192" t="s">
        <v>35</v>
      </c>
      <c r="F192" t="s">
        <v>36</v>
      </c>
      <c r="G192">
        <v>1141685</v>
      </c>
      <c r="H192" t="s">
        <v>80</v>
      </c>
      <c r="I192" t="s">
        <v>96</v>
      </c>
      <c r="J192" t="s">
        <v>80</v>
      </c>
      <c r="K192" t="s">
        <v>122</v>
      </c>
      <c r="L192" s="1">
        <v>46143</v>
      </c>
      <c r="M192" s="1">
        <v>46173</v>
      </c>
      <c r="N192">
        <v>0.27474870439999999</v>
      </c>
      <c r="O192" t="s">
        <v>56</v>
      </c>
      <c r="P192" t="s">
        <v>63</v>
      </c>
      <c r="Q192" t="s">
        <v>136</v>
      </c>
      <c r="R192" t="s">
        <v>140</v>
      </c>
      <c r="S192" t="s">
        <v>67</v>
      </c>
      <c r="T192" t="s">
        <v>289</v>
      </c>
      <c r="U192" t="s">
        <v>444</v>
      </c>
      <c r="V192">
        <v>15</v>
      </c>
      <c r="W192" s="2">
        <v>47.930739892200002</v>
      </c>
    </row>
    <row r="193" spans="1:23" x14ac:dyDescent="0.25">
      <c r="A193" t="s">
        <v>31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>
        <v>1141685</v>
      </c>
      <c r="H193" t="s">
        <v>76</v>
      </c>
      <c r="I193" t="s">
        <v>95</v>
      </c>
      <c r="J193" t="s">
        <v>99</v>
      </c>
      <c r="K193" t="s">
        <v>109</v>
      </c>
      <c r="L193" s="1">
        <v>46143</v>
      </c>
      <c r="M193" s="1">
        <v>46173</v>
      </c>
      <c r="N193">
        <v>76</v>
      </c>
      <c r="O193" t="s">
        <v>58</v>
      </c>
      <c r="P193" t="s">
        <v>63</v>
      </c>
      <c r="Q193" t="s">
        <v>137</v>
      </c>
      <c r="R193" t="s">
        <v>151</v>
      </c>
      <c r="S193" t="s">
        <v>67</v>
      </c>
      <c r="T193" t="s">
        <v>218</v>
      </c>
      <c r="U193" t="s">
        <v>373</v>
      </c>
      <c r="V193">
        <v>17</v>
      </c>
      <c r="W193" s="2">
        <v>0</v>
      </c>
    </row>
    <row r="194" spans="1:23" x14ac:dyDescent="0.25">
      <c r="A194" t="s">
        <v>31</v>
      </c>
      <c r="B194" t="s">
        <v>32</v>
      </c>
      <c r="C194" t="s">
        <v>33</v>
      </c>
      <c r="D194" t="s">
        <v>34</v>
      </c>
      <c r="E194" t="s">
        <v>35</v>
      </c>
      <c r="F194" t="s">
        <v>36</v>
      </c>
      <c r="G194">
        <v>1141685</v>
      </c>
      <c r="H194" t="s">
        <v>76</v>
      </c>
      <c r="I194" t="s">
        <v>95</v>
      </c>
      <c r="J194" t="s">
        <v>99</v>
      </c>
      <c r="K194" t="s">
        <v>109</v>
      </c>
      <c r="L194" s="1">
        <v>46143</v>
      </c>
      <c r="M194" s="1">
        <v>46173</v>
      </c>
      <c r="N194">
        <v>356.85014899999999</v>
      </c>
      <c r="O194" t="s">
        <v>58</v>
      </c>
      <c r="P194" t="s">
        <v>63</v>
      </c>
      <c r="Q194" t="s">
        <v>137</v>
      </c>
      <c r="R194" t="s">
        <v>141</v>
      </c>
      <c r="S194" t="s">
        <v>67</v>
      </c>
      <c r="T194" t="s">
        <v>171</v>
      </c>
      <c r="U194" t="s">
        <v>326</v>
      </c>
      <c r="V194">
        <v>16</v>
      </c>
      <c r="W194" s="2">
        <v>0</v>
      </c>
    </row>
    <row r="195" spans="1:23" x14ac:dyDescent="0.25">
      <c r="A195" t="s">
        <v>31</v>
      </c>
      <c r="B195" t="s">
        <v>32</v>
      </c>
      <c r="C195" t="s">
        <v>33</v>
      </c>
      <c r="D195" t="s">
        <v>34</v>
      </c>
      <c r="E195" t="s">
        <v>35</v>
      </c>
      <c r="F195" t="s">
        <v>36</v>
      </c>
      <c r="G195">
        <v>1141685</v>
      </c>
      <c r="H195" t="s">
        <v>76</v>
      </c>
      <c r="I195" t="s">
        <v>95</v>
      </c>
      <c r="J195" t="s">
        <v>99</v>
      </c>
      <c r="K195" t="s">
        <v>109</v>
      </c>
      <c r="L195" s="1">
        <v>46143</v>
      </c>
      <c r="M195" s="1">
        <v>46173</v>
      </c>
      <c r="N195">
        <v>75.933408</v>
      </c>
      <c r="O195" t="s">
        <v>58</v>
      </c>
      <c r="P195" t="s">
        <v>63</v>
      </c>
      <c r="Q195" t="s">
        <v>137</v>
      </c>
      <c r="R195" t="s">
        <v>141</v>
      </c>
      <c r="S195" t="s">
        <v>67</v>
      </c>
      <c r="T195" t="s">
        <v>171</v>
      </c>
      <c r="U195" t="s">
        <v>326</v>
      </c>
      <c r="V195">
        <v>16</v>
      </c>
      <c r="W195" s="2">
        <v>0</v>
      </c>
    </row>
    <row r="196" spans="1:23" x14ac:dyDescent="0.25">
      <c r="A196" t="s">
        <v>31</v>
      </c>
      <c r="B196" t="s">
        <v>32</v>
      </c>
      <c r="C196" t="s">
        <v>33</v>
      </c>
      <c r="D196" t="s">
        <v>34</v>
      </c>
      <c r="E196" t="s">
        <v>35</v>
      </c>
      <c r="F196" t="s">
        <v>36</v>
      </c>
      <c r="G196">
        <v>1141685</v>
      </c>
      <c r="H196" t="s">
        <v>76</v>
      </c>
      <c r="I196" t="s">
        <v>95</v>
      </c>
      <c r="J196" t="s">
        <v>99</v>
      </c>
      <c r="K196" t="s">
        <v>109</v>
      </c>
      <c r="L196" s="1">
        <v>46143</v>
      </c>
      <c r="M196" s="1">
        <v>46173</v>
      </c>
      <c r="N196">
        <v>2.4500890000000002</v>
      </c>
      <c r="O196" t="s">
        <v>58</v>
      </c>
      <c r="P196" t="s">
        <v>63</v>
      </c>
      <c r="Q196" t="s">
        <v>137</v>
      </c>
      <c r="R196" t="s">
        <v>140</v>
      </c>
      <c r="S196" t="s">
        <v>67</v>
      </c>
      <c r="T196" t="s">
        <v>219</v>
      </c>
      <c r="U196" t="s">
        <v>374</v>
      </c>
      <c r="V196">
        <v>15</v>
      </c>
      <c r="W196" s="2">
        <v>0</v>
      </c>
    </row>
    <row r="197" spans="1:23" x14ac:dyDescent="0.25">
      <c r="A197" t="s">
        <v>31</v>
      </c>
      <c r="B197" t="s">
        <v>32</v>
      </c>
      <c r="C197" t="s">
        <v>33</v>
      </c>
      <c r="D197" t="s">
        <v>34</v>
      </c>
      <c r="E197" t="s">
        <v>35</v>
      </c>
      <c r="F197" t="s">
        <v>36</v>
      </c>
      <c r="G197">
        <v>1141685</v>
      </c>
      <c r="H197" t="s">
        <v>76</v>
      </c>
      <c r="I197" t="s">
        <v>95</v>
      </c>
      <c r="J197" t="s">
        <v>99</v>
      </c>
      <c r="K197" t="s">
        <v>109</v>
      </c>
      <c r="L197" s="1">
        <v>46143</v>
      </c>
      <c r="M197" s="1">
        <v>46173</v>
      </c>
      <c r="N197">
        <v>97.451909999999998</v>
      </c>
      <c r="O197" t="s">
        <v>58</v>
      </c>
      <c r="P197" t="s">
        <v>63</v>
      </c>
      <c r="Q197" t="s">
        <v>137</v>
      </c>
      <c r="R197" t="s">
        <v>140</v>
      </c>
      <c r="S197" t="s">
        <v>67</v>
      </c>
      <c r="T197" t="s">
        <v>170</v>
      </c>
      <c r="U197" t="s">
        <v>325</v>
      </c>
      <c r="V197">
        <v>16</v>
      </c>
      <c r="W197" s="2">
        <v>0</v>
      </c>
    </row>
    <row r="198" spans="1:23" x14ac:dyDescent="0.25">
      <c r="A198" t="s">
        <v>31</v>
      </c>
      <c r="B198" t="s">
        <v>32</v>
      </c>
      <c r="C198" t="s">
        <v>33</v>
      </c>
      <c r="D198" t="s">
        <v>34</v>
      </c>
      <c r="E198" t="s">
        <v>35</v>
      </c>
      <c r="F198" t="s">
        <v>36</v>
      </c>
      <c r="G198">
        <v>1141685</v>
      </c>
      <c r="H198" t="s">
        <v>76</v>
      </c>
      <c r="I198" t="s">
        <v>95</v>
      </c>
      <c r="J198" t="s">
        <v>99</v>
      </c>
      <c r="K198" t="s">
        <v>109</v>
      </c>
      <c r="L198" s="1">
        <v>46143</v>
      </c>
      <c r="M198" s="1">
        <v>46173</v>
      </c>
      <c r="N198">
        <v>33.333877999999999</v>
      </c>
      <c r="O198" t="s">
        <v>58</v>
      </c>
      <c r="P198" t="s">
        <v>63</v>
      </c>
      <c r="Q198" t="s">
        <v>137</v>
      </c>
      <c r="R198" t="s">
        <v>140</v>
      </c>
      <c r="S198" t="s">
        <v>67</v>
      </c>
      <c r="T198" t="s">
        <v>219</v>
      </c>
      <c r="U198" t="s">
        <v>374</v>
      </c>
      <c r="V198">
        <v>15</v>
      </c>
      <c r="W198" s="2">
        <v>0</v>
      </c>
    </row>
    <row r="199" spans="1:23" x14ac:dyDescent="0.25">
      <c r="A199" t="s">
        <v>31</v>
      </c>
      <c r="B199" t="s">
        <v>32</v>
      </c>
      <c r="C199" t="s">
        <v>33</v>
      </c>
      <c r="D199" t="s">
        <v>34</v>
      </c>
      <c r="E199" t="s">
        <v>35</v>
      </c>
      <c r="F199" t="s">
        <v>36</v>
      </c>
      <c r="G199">
        <v>1141685</v>
      </c>
      <c r="H199" t="s">
        <v>80</v>
      </c>
      <c r="I199" t="s">
        <v>96</v>
      </c>
      <c r="J199" t="s">
        <v>80</v>
      </c>
      <c r="K199" t="s">
        <v>122</v>
      </c>
      <c r="L199" s="1">
        <v>46143</v>
      </c>
      <c r="M199" s="1">
        <v>46173</v>
      </c>
      <c r="N199">
        <v>0.30486516000000002</v>
      </c>
      <c r="O199" t="s">
        <v>56</v>
      </c>
      <c r="P199" t="s">
        <v>63</v>
      </c>
      <c r="Q199" t="s">
        <v>136</v>
      </c>
      <c r="R199" t="s">
        <v>140</v>
      </c>
      <c r="S199" t="s">
        <v>67</v>
      </c>
      <c r="T199" t="s">
        <v>290</v>
      </c>
      <c r="U199" t="s">
        <v>445</v>
      </c>
      <c r="V199">
        <v>15</v>
      </c>
      <c r="W199" s="2">
        <v>53.184362719399999</v>
      </c>
    </row>
    <row r="200" spans="1:23" x14ac:dyDescent="0.25">
      <c r="A200" t="s">
        <v>31</v>
      </c>
      <c r="B200" t="s">
        <v>32</v>
      </c>
      <c r="C200" t="s">
        <v>33</v>
      </c>
      <c r="D200" t="s">
        <v>34</v>
      </c>
      <c r="E200" t="s">
        <v>35</v>
      </c>
      <c r="F200" t="s">
        <v>36</v>
      </c>
      <c r="G200">
        <v>1141685</v>
      </c>
      <c r="H200" t="s">
        <v>80</v>
      </c>
      <c r="I200" t="s">
        <v>96</v>
      </c>
      <c r="J200" t="s">
        <v>80</v>
      </c>
      <c r="K200" t="s">
        <v>122</v>
      </c>
      <c r="L200" s="1">
        <v>46143</v>
      </c>
      <c r="M200" s="1">
        <v>46173</v>
      </c>
      <c r="N200">
        <v>0.23406282249999999</v>
      </c>
      <c r="O200" t="s">
        <v>56</v>
      </c>
      <c r="P200" t="s">
        <v>63</v>
      </c>
      <c r="Q200" t="s">
        <v>136</v>
      </c>
      <c r="R200" t="s">
        <v>140</v>
      </c>
      <c r="S200" t="s">
        <v>67</v>
      </c>
      <c r="T200" t="s">
        <v>291</v>
      </c>
      <c r="U200" t="s">
        <v>446</v>
      </c>
      <c r="V200">
        <v>15</v>
      </c>
      <c r="W200" s="2">
        <v>40.8344480166</v>
      </c>
    </row>
    <row r="201" spans="1:23" x14ac:dyDescent="0.25">
      <c r="A201" t="s">
        <v>31</v>
      </c>
      <c r="B201" t="s">
        <v>32</v>
      </c>
      <c r="C201" t="s">
        <v>33</v>
      </c>
      <c r="D201" t="s">
        <v>34</v>
      </c>
      <c r="E201" t="s">
        <v>35</v>
      </c>
      <c r="F201" t="s">
        <v>36</v>
      </c>
      <c r="G201">
        <v>1141685</v>
      </c>
      <c r="H201" t="s">
        <v>80</v>
      </c>
      <c r="I201" t="s">
        <v>96</v>
      </c>
      <c r="J201" t="s">
        <v>80</v>
      </c>
      <c r="K201" t="s">
        <v>122</v>
      </c>
      <c r="L201" s="1">
        <v>46143</v>
      </c>
      <c r="M201" s="1">
        <v>46173</v>
      </c>
      <c r="N201">
        <v>1.3699859622999999</v>
      </c>
      <c r="O201" t="s">
        <v>56</v>
      </c>
      <c r="P201" t="s">
        <v>63</v>
      </c>
      <c r="Q201" t="s">
        <v>136</v>
      </c>
      <c r="R201" t="s">
        <v>140</v>
      </c>
      <c r="S201" t="s">
        <v>67</v>
      </c>
      <c r="T201" t="s">
        <v>292</v>
      </c>
      <c r="U201" t="s">
        <v>447</v>
      </c>
      <c r="V201">
        <v>16</v>
      </c>
      <c r="W201" s="2">
        <v>239.0068208603</v>
      </c>
    </row>
    <row r="202" spans="1:23" x14ac:dyDescent="0.25">
      <c r="A202" t="s">
        <v>31</v>
      </c>
      <c r="B202" t="s">
        <v>32</v>
      </c>
      <c r="C202" t="s">
        <v>33</v>
      </c>
      <c r="D202" t="s">
        <v>34</v>
      </c>
      <c r="E202" t="s">
        <v>35</v>
      </c>
      <c r="F202" t="s">
        <v>36</v>
      </c>
      <c r="G202">
        <v>1141685</v>
      </c>
      <c r="H202" t="s">
        <v>80</v>
      </c>
      <c r="I202" t="s">
        <v>96</v>
      </c>
      <c r="J202" t="s">
        <v>80</v>
      </c>
      <c r="K202" t="s">
        <v>122</v>
      </c>
      <c r="L202" s="1">
        <v>46143</v>
      </c>
      <c r="M202" s="1">
        <v>46173</v>
      </c>
      <c r="N202">
        <v>3.0913707000000002E-3</v>
      </c>
      <c r="O202" t="s">
        <v>56</v>
      </c>
      <c r="P202" t="s">
        <v>63</v>
      </c>
      <c r="Q202" t="s">
        <v>136</v>
      </c>
      <c r="R202" t="s">
        <v>140</v>
      </c>
      <c r="S202" t="s">
        <v>67</v>
      </c>
      <c r="T202" t="s">
        <v>293</v>
      </c>
      <c r="U202" t="s">
        <v>448</v>
      </c>
      <c r="V202">
        <v>16</v>
      </c>
      <c r="W202" s="2">
        <v>0.53460206629999996</v>
      </c>
    </row>
    <row r="203" spans="1:23" x14ac:dyDescent="0.25">
      <c r="A203" t="s">
        <v>31</v>
      </c>
      <c r="B203" t="s">
        <v>32</v>
      </c>
      <c r="C203" t="s">
        <v>33</v>
      </c>
      <c r="D203" t="s">
        <v>34</v>
      </c>
      <c r="E203" t="s">
        <v>35</v>
      </c>
      <c r="F203" t="s">
        <v>36</v>
      </c>
      <c r="G203">
        <v>1141685</v>
      </c>
      <c r="H203" t="s">
        <v>76</v>
      </c>
      <c r="I203" t="s">
        <v>95</v>
      </c>
      <c r="J203" t="s">
        <v>99</v>
      </c>
      <c r="K203" t="s">
        <v>109</v>
      </c>
      <c r="L203" s="1">
        <v>46143</v>
      </c>
      <c r="M203" s="1">
        <v>46173</v>
      </c>
      <c r="N203">
        <v>165.648347</v>
      </c>
      <c r="O203" t="s">
        <v>58</v>
      </c>
      <c r="P203" t="s">
        <v>63</v>
      </c>
      <c r="Q203" t="s">
        <v>137</v>
      </c>
      <c r="R203" t="s">
        <v>140</v>
      </c>
      <c r="S203" t="s">
        <v>67</v>
      </c>
      <c r="T203" t="s">
        <v>170</v>
      </c>
      <c r="U203" t="s">
        <v>325</v>
      </c>
      <c r="V203">
        <v>16</v>
      </c>
      <c r="W203" s="2">
        <v>0</v>
      </c>
    </row>
    <row r="204" spans="1:23" x14ac:dyDescent="0.25">
      <c r="A204" t="s">
        <v>31</v>
      </c>
      <c r="B204" t="s">
        <v>32</v>
      </c>
      <c r="C204" t="s">
        <v>33</v>
      </c>
      <c r="D204" t="s">
        <v>34</v>
      </c>
      <c r="E204" t="s">
        <v>35</v>
      </c>
      <c r="F204" t="s">
        <v>36</v>
      </c>
      <c r="G204">
        <v>1141685</v>
      </c>
      <c r="H204" t="s">
        <v>76</v>
      </c>
      <c r="I204" t="s">
        <v>95</v>
      </c>
      <c r="J204" t="s">
        <v>99</v>
      </c>
      <c r="K204" t="s">
        <v>109</v>
      </c>
      <c r="L204" s="1">
        <v>46143</v>
      </c>
      <c r="M204" s="1">
        <v>46173</v>
      </c>
      <c r="N204">
        <v>49.099587999999997</v>
      </c>
      <c r="O204" t="s">
        <v>58</v>
      </c>
      <c r="P204" t="s">
        <v>63</v>
      </c>
      <c r="Q204" t="s">
        <v>137</v>
      </c>
      <c r="R204" t="s">
        <v>140</v>
      </c>
      <c r="S204" t="s">
        <v>67</v>
      </c>
      <c r="T204" t="s">
        <v>170</v>
      </c>
      <c r="U204" t="s">
        <v>325</v>
      </c>
      <c r="V204">
        <v>16</v>
      </c>
      <c r="W204" s="2">
        <v>0</v>
      </c>
    </row>
    <row r="205" spans="1:23" x14ac:dyDescent="0.25">
      <c r="A205" t="s">
        <v>31</v>
      </c>
      <c r="B205" t="s">
        <v>32</v>
      </c>
      <c r="C205" t="s">
        <v>33</v>
      </c>
      <c r="D205" t="s">
        <v>34</v>
      </c>
      <c r="E205" t="s">
        <v>35</v>
      </c>
      <c r="F205" t="s">
        <v>36</v>
      </c>
      <c r="G205">
        <v>1141685</v>
      </c>
      <c r="H205" t="s">
        <v>76</v>
      </c>
      <c r="I205" t="s">
        <v>95</v>
      </c>
      <c r="J205" t="s">
        <v>99</v>
      </c>
      <c r="K205" t="s">
        <v>109</v>
      </c>
      <c r="L205" s="1">
        <v>46143</v>
      </c>
      <c r="M205" s="1">
        <v>46173</v>
      </c>
      <c r="N205">
        <v>1.8334079999999999</v>
      </c>
      <c r="O205" t="s">
        <v>58</v>
      </c>
      <c r="P205" t="s">
        <v>63</v>
      </c>
      <c r="Q205" t="s">
        <v>137</v>
      </c>
      <c r="R205" t="s">
        <v>140</v>
      </c>
      <c r="S205" t="s">
        <v>67</v>
      </c>
      <c r="T205" t="s">
        <v>170</v>
      </c>
      <c r="U205" t="s">
        <v>325</v>
      </c>
      <c r="V205">
        <v>16</v>
      </c>
      <c r="W205" s="2">
        <v>0</v>
      </c>
    </row>
    <row r="206" spans="1:23" x14ac:dyDescent="0.25">
      <c r="A206" t="s">
        <v>31</v>
      </c>
      <c r="B206" t="s">
        <v>32</v>
      </c>
      <c r="C206" t="s">
        <v>33</v>
      </c>
      <c r="D206" t="s">
        <v>34</v>
      </c>
      <c r="E206" t="s">
        <v>35</v>
      </c>
      <c r="F206" t="s">
        <v>36</v>
      </c>
      <c r="G206">
        <v>1141685</v>
      </c>
      <c r="H206" t="s">
        <v>76</v>
      </c>
      <c r="I206" t="s">
        <v>95</v>
      </c>
      <c r="J206" t="s">
        <v>99</v>
      </c>
      <c r="K206" t="s">
        <v>109</v>
      </c>
      <c r="L206" s="1">
        <v>46143</v>
      </c>
      <c r="M206" s="1">
        <v>46173</v>
      </c>
      <c r="N206">
        <v>1.7335069999999999</v>
      </c>
      <c r="O206" t="s">
        <v>58</v>
      </c>
      <c r="P206" t="s">
        <v>63</v>
      </c>
      <c r="Q206" t="s">
        <v>137</v>
      </c>
      <c r="R206" t="s">
        <v>140</v>
      </c>
      <c r="S206" t="s">
        <v>67</v>
      </c>
      <c r="T206" t="s">
        <v>170</v>
      </c>
      <c r="U206" t="s">
        <v>325</v>
      </c>
      <c r="V206">
        <v>16</v>
      </c>
      <c r="W206" s="2">
        <v>0</v>
      </c>
    </row>
    <row r="207" spans="1:23" x14ac:dyDescent="0.25">
      <c r="A207" t="s">
        <v>31</v>
      </c>
      <c r="B207" t="s">
        <v>32</v>
      </c>
      <c r="C207" t="s">
        <v>33</v>
      </c>
      <c r="D207" t="s">
        <v>34</v>
      </c>
      <c r="E207" t="s">
        <v>35</v>
      </c>
      <c r="F207" t="s">
        <v>36</v>
      </c>
      <c r="G207">
        <v>1141685</v>
      </c>
      <c r="H207" t="s">
        <v>76</v>
      </c>
      <c r="I207" t="s">
        <v>95</v>
      </c>
      <c r="J207" t="s">
        <v>99</v>
      </c>
      <c r="K207" t="s">
        <v>109</v>
      </c>
      <c r="L207" s="1">
        <v>46143</v>
      </c>
      <c r="M207" s="1">
        <v>46173</v>
      </c>
      <c r="N207">
        <v>0.16667000000000001</v>
      </c>
      <c r="O207" t="s">
        <v>58</v>
      </c>
      <c r="P207" t="s">
        <v>63</v>
      </c>
      <c r="Q207" t="s">
        <v>137</v>
      </c>
      <c r="R207" t="s">
        <v>151</v>
      </c>
      <c r="S207" t="s">
        <v>67</v>
      </c>
      <c r="T207" t="s">
        <v>218</v>
      </c>
      <c r="U207" t="s">
        <v>373</v>
      </c>
      <c r="V207">
        <v>17</v>
      </c>
      <c r="W207" s="2">
        <v>0</v>
      </c>
    </row>
    <row r="208" spans="1:23" x14ac:dyDescent="0.25">
      <c r="A208" t="s">
        <v>31</v>
      </c>
      <c r="B208" t="s">
        <v>32</v>
      </c>
      <c r="C208" t="s">
        <v>33</v>
      </c>
      <c r="D208" t="s">
        <v>34</v>
      </c>
      <c r="E208" t="s">
        <v>35</v>
      </c>
      <c r="F208" t="s">
        <v>36</v>
      </c>
      <c r="G208">
        <v>1141685</v>
      </c>
      <c r="H208" t="s">
        <v>76</v>
      </c>
      <c r="I208" t="s">
        <v>95</v>
      </c>
      <c r="J208" t="s">
        <v>99</v>
      </c>
      <c r="K208" t="s">
        <v>109</v>
      </c>
      <c r="L208" s="1">
        <v>46143</v>
      </c>
      <c r="M208" s="1">
        <v>46173</v>
      </c>
      <c r="N208">
        <v>134.66666000000001</v>
      </c>
      <c r="O208" t="s">
        <v>58</v>
      </c>
      <c r="P208" t="s">
        <v>63</v>
      </c>
      <c r="Q208" t="s">
        <v>137</v>
      </c>
      <c r="R208" t="s">
        <v>151</v>
      </c>
      <c r="S208" t="s">
        <v>67</v>
      </c>
      <c r="T208" t="s">
        <v>294</v>
      </c>
      <c r="U208" t="s">
        <v>449</v>
      </c>
      <c r="V208">
        <v>16</v>
      </c>
      <c r="W208" s="2">
        <v>0</v>
      </c>
    </row>
    <row r="209" spans="1:23" x14ac:dyDescent="0.25">
      <c r="A209" t="s">
        <v>31</v>
      </c>
      <c r="B209" t="s">
        <v>32</v>
      </c>
      <c r="C209" t="s">
        <v>33</v>
      </c>
      <c r="D209" t="s">
        <v>34</v>
      </c>
      <c r="E209" t="s">
        <v>35</v>
      </c>
      <c r="F209" t="s">
        <v>36</v>
      </c>
      <c r="G209">
        <v>1141685</v>
      </c>
      <c r="H209" t="s">
        <v>76</v>
      </c>
      <c r="I209" t="s">
        <v>95</v>
      </c>
      <c r="J209" t="s">
        <v>99</v>
      </c>
      <c r="K209" t="s">
        <v>109</v>
      </c>
      <c r="L209" s="1">
        <v>46143</v>
      </c>
      <c r="M209" s="1">
        <v>46173</v>
      </c>
      <c r="N209">
        <v>0.55001100000000003</v>
      </c>
      <c r="O209" t="s">
        <v>58</v>
      </c>
      <c r="P209" t="s">
        <v>63</v>
      </c>
      <c r="Q209" t="s">
        <v>137</v>
      </c>
      <c r="R209" t="s">
        <v>151</v>
      </c>
      <c r="S209" t="s">
        <v>67</v>
      </c>
      <c r="T209" t="s">
        <v>218</v>
      </c>
      <c r="U209" t="s">
        <v>373</v>
      </c>
      <c r="V209">
        <v>17</v>
      </c>
      <c r="W209" s="2">
        <v>0</v>
      </c>
    </row>
    <row r="210" spans="1:23" x14ac:dyDescent="0.25">
      <c r="A210" t="s">
        <v>31</v>
      </c>
      <c r="B210" t="s">
        <v>32</v>
      </c>
      <c r="C210" t="s">
        <v>33</v>
      </c>
      <c r="D210" t="s">
        <v>34</v>
      </c>
      <c r="E210" t="s">
        <v>35</v>
      </c>
      <c r="F210" t="s">
        <v>36</v>
      </c>
      <c r="G210">
        <v>1141685</v>
      </c>
      <c r="H210" t="s">
        <v>76</v>
      </c>
      <c r="I210" t="s">
        <v>95</v>
      </c>
      <c r="J210" t="s">
        <v>99</v>
      </c>
      <c r="K210" t="s">
        <v>109</v>
      </c>
      <c r="L210" s="1">
        <v>46143</v>
      </c>
      <c r="M210" s="1">
        <v>46173</v>
      </c>
      <c r="N210">
        <v>37.983494999999998</v>
      </c>
      <c r="O210" t="s">
        <v>58</v>
      </c>
      <c r="P210" t="s">
        <v>63</v>
      </c>
      <c r="Q210" t="s">
        <v>137</v>
      </c>
      <c r="R210" t="s">
        <v>140</v>
      </c>
      <c r="S210" t="s">
        <v>67</v>
      </c>
      <c r="T210" t="s">
        <v>219</v>
      </c>
      <c r="U210" t="s">
        <v>374</v>
      </c>
      <c r="V210">
        <v>15</v>
      </c>
      <c r="W210" s="2">
        <v>0</v>
      </c>
    </row>
    <row r="211" spans="1:23" x14ac:dyDescent="0.25">
      <c r="A211" t="s">
        <v>31</v>
      </c>
      <c r="B211" t="s">
        <v>32</v>
      </c>
      <c r="C211" t="s">
        <v>33</v>
      </c>
      <c r="D211" t="s">
        <v>34</v>
      </c>
      <c r="E211" t="s">
        <v>35</v>
      </c>
      <c r="F211" t="s">
        <v>36</v>
      </c>
      <c r="G211">
        <v>1141685</v>
      </c>
      <c r="H211" t="s">
        <v>76</v>
      </c>
      <c r="I211" t="s">
        <v>95</v>
      </c>
      <c r="J211" t="s">
        <v>99</v>
      </c>
      <c r="K211" t="s">
        <v>109</v>
      </c>
      <c r="L211" s="1">
        <v>46143</v>
      </c>
      <c r="M211" s="1">
        <v>46173</v>
      </c>
      <c r="N211">
        <v>0.26635199999999998</v>
      </c>
      <c r="O211" t="s">
        <v>58</v>
      </c>
      <c r="P211" t="s">
        <v>63</v>
      </c>
      <c r="Q211" t="s">
        <v>137</v>
      </c>
      <c r="R211" t="s">
        <v>140</v>
      </c>
      <c r="S211" t="s">
        <v>67</v>
      </c>
      <c r="T211" t="s">
        <v>219</v>
      </c>
      <c r="U211" t="s">
        <v>374</v>
      </c>
      <c r="V211">
        <v>15</v>
      </c>
      <c r="W211" s="2">
        <v>0</v>
      </c>
    </row>
    <row r="212" spans="1:23" x14ac:dyDescent="0.25">
      <c r="A212" t="s">
        <v>31</v>
      </c>
      <c r="B212" t="s">
        <v>32</v>
      </c>
      <c r="C212" t="s">
        <v>33</v>
      </c>
      <c r="D212" t="s">
        <v>34</v>
      </c>
      <c r="E212" t="s">
        <v>35</v>
      </c>
      <c r="F212" t="s">
        <v>36</v>
      </c>
      <c r="G212">
        <v>1141685</v>
      </c>
      <c r="H212" t="s">
        <v>76</v>
      </c>
      <c r="I212" t="s">
        <v>95</v>
      </c>
      <c r="J212" t="s">
        <v>99</v>
      </c>
      <c r="K212" t="s">
        <v>109</v>
      </c>
      <c r="L212" s="1">
        <v>46143</v>
      </c>
      <c r="M212" s="1">
        <v>46173</v>
      </c>
      <c r="N212">
        <v>168.98207400000001</v>
      </c>
      <c r="O212" t="s">
        <v>58</v>
      </c>
      <c r="P212" t="s">
        <v>63</v>
      </c>
      <c r="Q212" t="s">
        <v>137</v>
      </c>
      <c r="R212" t="s">
        <v>140</v>
      </c>
      <c r="S212" t="s">
        <v>67</v>
      </c>
      <c r="T212" t="s">
        <v>170</v>
      </c>
      <c r="U212" t="s">
        <v>325</v>
      </c>
      <c r="V212">
        <v>16</v>
      </c>
      <c r="W212" s="2">
        <v>0</v>
      </c>
    </row>
    <row r="213" spans="1:23" x14ac:dyDescent="0.25">
      <c r="A213" t="s">
        <v>31</v>
      </c>
      <c r="B213" t="s">
        <v>32</v>
      </c>
      <c r="C213" t="s">
        <v>33</v>
      </c>
      <c r="D213" t="s">
        <v>34</v>
      </c>
      <c r="E213" t="s">
        <v>35</v>
      </c>
      <c r="F213" t="s">
        <v>36</v>
      </c>
      <c r="G213">
        <v>1141685</v>
      </c>
      <c r="H213" t="s">
        <v>76</v>
      </c>
      <c r="I213" t="s">
        <v>95</v>
      </c>
      <c r="J213" t="s">
        <v>99</v>
      </c>
      <c r="K213" t="s">
        <v>109</v>
      </c>
      <c r="L213" s="1">
        <v>46143</v>
      </c>
      <c r="M213" s="1">
        <v>46173</v>
      </c>
      <c r="N213">
        <v>2.7999999999999998E-4</v>
      </c>
      <c r="O213" t="s">
        <v>58</v>
      </c>
      <c r="P213" t="s">
        <v>63</v>
      </c>
      <c r="Q213" t="s">
        <v>137</v>
      </c>
      <c r="R213" t="s">
        <v>140</v>
      </c>
      <c r="S213" t="s">
        <v>67</v>
      </c>
      <c r="T213" t="s">
        <v>170</v>
      </c>
      <c r="U213" t="s">
        <v>325</v>
      </c>
      <c r="V213">
        <v>16</v>
      </c>
      <c r="W213" s="2">
        <v>0</v>
      </c>
    </row>
    <row r="214" spans="1:23" x14ac:dyDescent="0.25">
      <c r="A214" t="s">
        <v>31</v>
      </c>
      <c r="B214" t="s">
        <v>32</v>
      </c>
      <c r="C214" t="s">
        <v>33</v>
      </c>
      <c r="D214" t="s">
        <v>34</v>
      </c>
      <c r="E214" t="s">
        <v>35</v>
      </c>
      <c r="F214" t="s">
        <v>36</v>
      </c>
      <c r="G214">
        <v>1141685</v>
      </c>
      <c r="H214" t="s">
        <v>76</v>
      </c>
      <c r="I214" t="s">
        <v>95</v>
      </c>
      <c r="J214" t="s">
        <v>99</v>
      </c>
      <c r="K214" t="s">
        <v>109</v>
      </c>
      <c r="L214" s="1">
        <v>46143</v>
      </c>
      <c r="M214" s="1">
        <v>46173</v>
      </c>
      <c r="N214">
        <v>0.983352</v>
      </c>
      <c r="O214" t="s">
        <v>58</v>
      </c>
      <c r="P214" t="s">
        <v>63</v>
      </c>
      <c r="Q214" t="s">
        <v>137</v>
      </c>
      <c r="R214" t="s">
        <v>140</v>
      </c>
      <c r="S214" t="s">
        <v>67</v>
      </c>
      <c r="T214" t="s">
        <v>170</v>
      </c>
      <c r="U214" t="s">
        <v>325</v>
      </c>
      <c r="V214">
        <v>16</v>
      </c>
      <c r="W214" s="2">
        <v>0</v>
      </c>
    </row>
    <row r="215" spans="1:23" x14ac:dyDescent="0.25">
      <c r="A215" t="s">
        <v>31</v>
      </c>
      <c r="B215" t="s">
        <v>32</v>
      </c>
      <c r="C215" t="s">
        <v>33</v>
      </c>
      <c r="D215" t="s">
        <v>34</v>
      </c>
      <c r="E215" t="s">
        <v>35</v>
      </c>
      <c r="F215" t="s">
        <v>36</v>
      </c>
      <c r="G215">
        <v>1141685</v>
      </c>
      <c r="H215" t="s">
        <v>76</v>
      </c>
      <c r="I215" t="s">
        <v>95</v>
      </c>
      <c r="J215" t="s">
        <v>99</v>
      </c>
      <c r="K215" t="s">
        <v>109</v>
      </c>
      <c r="L215" s="1">
        <v>46143</v>
      </c>
      <c r="M215" s="1">
        <v>46173</v>
      </c>
      <c r="N215">
        <v>0.983352</v>
      </c>
      <c r="O215" t="s">
        <v>58</v>
      </c>
      <c r="P215" t="s">
        <v>63</v>
      </c>
      <c r="Q215" t="s">
        <v>137</v>
      </c>
      <c r="R215" t="s">
        <v>140</v>
      </c>
      <c r="S215" t="s">
        <v>67</v>
      </c>
      <c r="T215" t="s">
        <v>170</v>
      </c>
      <c r="U215" t="s">
        <v>325</v>
      </c>
      <c r="V215">
        <v>16</v>
      </c>
      <c r="W215" s="2">
        <v>0</v>
      </c>
    </row>
    <row r="216" spans="1:23" x14ac:dyDescent="0.25">
      <c r="A216" t="s">
        <v>31</v>
      </c>
      <c r="B216" t="s">
        <v>32</v>
      </c>
      <c r="C216" t="s">
        <v>33</v>
      </c>
      <c r="D216" t="s">
        <v>34</v>
      </c>
      <c r="E216" t="s">
        <v>35</v>
      </c>
      <c r="F216" t="s">
        <v>36</v>
      </c>
      <c r="G216">
        <v>1141685</v>
      </c>
      <c r="H216" t="s">
        <v>76</v>
      </c>
      <c r="I216" t="s">
        <v>95</v>
      </c>
      <c r="J216" t="s">
        <v>99</v>
      </c>
      <c r="K216" t="s">
        <v>109</v>
      </c>
      <c r="L216" s="1">
        <v>46143</v>
      </c>
      <c r="M216" s="1">
        <v>46173</v>
      </c>
      <c r="N216">
        <v>145.968377</v>
      </c>
      <c r="O216" t="s">
        <v>58</v>
      </c>
      <c r="P216" t="s">
        <v>63</v>
      </c>
      <c r="Q216" t="s">
        <v>137</v>
      </c>
      <c r="R216" t="s">
        <v>140</v>
      </c>
      <c r="S216" t="s">
        <v>67</v>
      </c>
      <c r="T216" t="s">
        <v>170</v>
      </c>
      <c r="U216" t="s">
        <v>325</v>
      </c>
      <c r="V216">
        <v>16</v>
      </c>
      <c r="W216" s="2">
        <v>0</v>
      </c>
    </row>
    <row r="217" spans="1:23" x14ac:dyDescent="0.25">
      <c r="A217" t="s">
        <v>31</v>
      </c>
      <c r="B217" t="s">
        <v>32</v>
      </c>
      <c r="C217" t="s">
        <v>33</v>
      </c>
      <c r="D217" t="s">
        <v>34</v>
      </c>
      <c r="E217" t="s">
        <v>35</v>
      </c>
      <c r="F217" t="s">
        <v>36</v>
      </c>
      <c r="G217">
        <v>1141685</v>
      </c>
      <c r="H217" t="s">
        <v>76</v>
      </c>
      <c r="I217" t="s">
        <v>95</v>
      </c>
      <c r="J217" t="s">
        <v>99</v>
      </c>
      <c r="K217" t="s">
        <v>109</v>
      </c>
      <c r="L217" s="1">
        <v>46143</v>
      </c>
      <c r="M217" s="1">
        <v>46173</v>
      </c>
      <c r="N217">
        <v>1</v>
      </c>
      <c r="O217" t="s">
        <v>58</v>
      </c>
      <c r="P217" t="s">
        <v>63</v>
      </c>
      <c r="Q217" t="s">
        <v>137</v>
      </c>
      <c r="R217" t="s">
        <v>140</v>
      </c>
      <c r="S217" t="s">
        <v>67</v>
      </c>
      <c r="T217" t="s">
        <v>170</v>
      </c>
      <c r="U217" t="s">
        <v>325</v>
      </c>
      <c r="V217">
        <v>16</v>
      </c>
      <c r="W217" s="2">
        <v>0</v>
      </c>
    </row>
    <row r="218" spans="1:23" x14ac:dyDescent="0.25">
      <c r="A218" t="s">
        <v>31</v>
      </c>
      <c r="B218" t="s">
        <v>32</v>
      </c>
      <c r="C218" t="s">
        <v>33</v>
      </c>
      <c r="D218" t="s">
        <v>34</v>
      </c>
      <c r="E218" t="s">
        <v>35</v>
      </c>
      <c r="F218" t="s">
        <v>36</v>
      </c>
      <c r="G218">
        <v>1141685</v>
      </c>
      <c r="H218" t="s">
        <v>76</v>
      </c>
      <c r="I218" t="s">
        <v>95</v>
      </c>
      <c r="J218" t="s">
        <v>99</v>
      </c>
      <c r="K218" t="s">
        <v>109</v>
      </c>
      <c r="L218" s="1">
        <v>46143</v>
      </c>
      <c r="M218" s="1">
        <v>46173</v>
      </c>
      <c r="N218">
        <v>0.35012700000000002</v>
      </c>
      <c r="O218" t="s">
        <v>58</v>
      </c>
      <c r="P218" t="s">
        <v>63</v>
      </c>
      <c r="Q218" t="s">
        <v>137</v>
      </c>
      <c r="R218" t="s">
        <v>140</v>
      </c>
      <c r="S218" t="s">
        <v>67</v>
      </c>
      <c r="T218" t="s">
        <v>170</v>
      </c>
      <c r="U218" t="s">
        <v>325</v>
      </c>
      <c r="V218">
        <v>16</v>
      </c>
      <c r="W218" s="2">
        <v>0</v>
      </c>
    </row>
    <row r="219" spans="1:23" x14ac:dyDescent="0.25">
      <c r="A219" t="s">
        <v>31</v>
      </c>
      <c r="B219" t="s">
        <v>32</v>
      </c>
      <c r="C219" t="s">
        <v>33</v>
      </c>
      <c r="D219" t="s">
        <v>34</v>
      </c>
      <c r="E219" t="s">
        <v>35</v>
      </c>
      <c r="F219" t="s">
        <v>36</v>
      </c>
      <c r="G219">
        <v>1141685</v>
      </c>
      <c r="H219" t="s">
        <v>76</v>
      </c>
      <c r="I219" t="s">
        <v>95</v>
      </c>
      <c r="J219" t="s">
        <v>99</v>
      </c>
      <c r="K219" t="s">
        <v>109</v>
      </c>
      <c r="L219" s="1">
        <v>46143</v>
      </c>
      <c r="M219" s="1">
        <v>46173</v>
      </c>
      <c r="N219">
        <v>2.9669460000000001</v>
      </c>
      <c r="O219" t="s">
        <v>58</v>
      </c>
      <c r="P219" t="s">
        <v>63</v>
      </c>
      <c r="Q219" t="s">
        <v>137</v>
      </c>
      <c r="R219" t="s">
        <v>140</v>
      </c>
      <c r="S219" t="s">
        <v>67</v>
      </c>
      <c r="T219" t="s">
        <v>170</v>
      </c>
      <c r="U219" t="s">
        <v>325</v>
      </c>
      <c r="V219">
        <v>16</v>
      </c>
      <c r="W219" s="2">
        <v>0</v>
      </c>
    </row>
    <row r="220" spans="1:23" x14ac:dyDescent="0.25">
      <c r="A220" t="s">
        <v>31</v>
      </c>
      <c r="B220" t="s">
        <v>32</v>
      </c>
      <c r="C220" t="s">
        <v>33</v>
      </c>
      <c r="D220" t="s">
        <v>34</v>
      </c>
      <c r="E220" t="s">
        <v>35</v>
      </c>
      <c r="F220" t="s">
        <v>36</v>
      </c>
      <c r="G220">
        <v>1141685</v>
      </c>
      <c r="H220" t="s">
        <v>77</v>
      </c>
      <c r="I220" t="s">
        <v>96</v>
      </c>
      <c r="J220" t="s">
        <v>77</v>
      </c>
      <c r="K220" t="s">
        <v>113</v>
      </c>
      <c r="L220" s="1">
        <v>46143</v>
      </c>
      <c r="M220" s="1">
        <v>46173</v>
      </c>
      <c r="N220">
        <v>1.7174957300000002E-2</v>
      </c>
      <c r="O220" t="s">
        <v>56</v>
      </c>
      <c r="P220" t="s">
        <v>63</v>
      </c>
      <c r="Q220" t="s">
        <v>138</v>
      </c>
      <c r="R220" t="s">
        <v>150</v>
      </c>
      <c r="S220" t="s">
        <v>67</v>
      </c>
      <c r="T220" t="s">
        <v>295</v>
      </c>
      <c r="U220" t="s">
        <v>450</v>
      </c>
      <c r="V220">
        <v>7</v>
      </c>
      <c r="W220" s="2">
        <v>2.996781887</v>
      </c>
    </row>
    <row r="221" spans="1:23" x14ac:dyDescent="0.25">
      <c r="A221" t="s">
        <v>31</v>
      </c>
      <c r="B221" t="s">
        <v>32</v>
      </c>
      <c r="C221" t="s">
        <v>33</v>
      </c>
      <c r="D221" t="s">
        <v>34</v>
      </c>
      <c r="E221" t="s">
        <v>35</v>
      </c>
      <c r="F221" t="s">
        <v>36</v>
      </c>
      <c r="G221">
        <v>1141685</v>
      </c>
      <c r="H221" t="s">
        <v>76</v>
      </c>
      <c r="I221" t="s">
        <v>95</v>
      </c>
      <c r="J221" t="s">
        <v>99</v>
      </c>
      <c r="K221" t="s">
        <v>109</v>
      </c>
      <c r="L221" s="1">
        <v>46143</v>
      </c>
      <c r="M221" s="1">
        <v>46173</v>
      </c>
      <c r="N221">
        <v>2</v>
      </c>
      <c r="O221" t="s">
        <v>58</v>
      </c>
      <c r="P221" t="s">
        <v>63</v>
      </c>
      <c r="Q221" t="s">
        <v>137</v>
      </c>
      <c r="R221" t="s">
        <v>140</v>
      </c>
      <c r="S221" t="s">
        <v>67</v>
      </c>
      <c r="T221" t="s">
        <v>170</v>
      </c>
      <c r="U221" t="s">
        <v>325</v>
      </c>
      <c r="V221">
        <v>16</v>
      </c>
      <c r="W221" s="2">
        <v>0</v>
      </c>
    </row>
    <row r="222" spans="1:23" x14ac:dyDescent="0.25">
      <c r="A222" t="s">
        <v>31</v>
      </c>
      <c r="B222" t="s">
        <v>32</v>
      </c>
      <c r="C222" t="s">
        <v>33</v>
      </c>
      <c r="D222" t="s">
        <v>34</v>
      </c>
      <c r="E222" t="s">
        <v>35</v>
      </c>
      <c r="F222" t="s">
        <v>36</v>
      </c>
      <c r="G222">
        <v>1141685</v>
      </c>
      <c r="H222" t="s">
        <v>76</v>
      </c>
      <c r="I222" t="s">
        <v>95</v>
      </c>
      <c r="J222" t="s">
        <v>99</v>
      </c>
      <c r="K222" t="s">
        <v>109</v>
      </c>
      <c r="L222" s="1">
        <v>46143</v>
      </c>
      <c r="M222" s="1">
        <v>46173</v>
      </c>
      <c r="N222">
        <v>0.26667200000000002</v>
      </c>
      <c r="O222" t="s">
        <v>58</v>
      </c>
      <c r="P222" t="s">
        <v>63</v>
      </c>
      <c r="Q222" t="s">
        <v>137</v>
      </c>
      <c r="R222" t="s">
        <v>140</v>
      </c>
      <c r="S222" t="s">
        <v>67</v>
      </c>
      <c r="T222" t="s">
        <v>170</v>
      </c>
      <c r="U222" t="s">
        <v>325</v>
      </c>
      <c r="V222">
        <v>16</v>
      </c>
      <c r="W222" s="2">
        <v>0</v>
      </c>
    </row>
    <row r="223" spans="1:23" x14ac:dyDescent="0.25">
      <c r="A223" t="s">
        <v>31</v>
      </c>
      <c r="B223" t="s">
        <v>32</v>
      </c>
      <c r="C223" t="s">
        <v>33</v>
      </c>
      <c r="D223" t="s">
        <v>34</v>
      </c>
      <c r="E223" t="s">
        <v>35</v>
      </c>
      <c r="F223" t="s">
        <v>36</v>
      </c>
      <c r="G223">
        <v>1141685</v>
      </c>
      <c r="H223" t="s">
        <v>79</v>
      </c>
      <c r="I223" t="s">
        <v>94</v>
      </c>
      <c r="J223" t="s">
        <v>101</v>
      </c>
      <c r="K223" t="s">
        <v>116</v>
      </c>
      <c r="L223" s="1">
        <v>46143</v>
      </c>
      <c r="M223" s="1">
        <v>46173</v>
      </c>
      <c r="N223">
        <v>0.2985210707</v>
      </c>
      <c r="O223" t="s">
        <v>56</v>
      </c>
      <c r="P223" t="s">
        <v>63</v>
      </c>
      <c r="Q223" t="s">
        <v>136</v>
      </c>
      <c r="R223" t="s">
        <v>151</v>
      </c>
      <c r="S223" t="s">
        <v>67</v>
      </c>
      <c r="T223" t="s">
        <v>296</v>
      </c>
      <c r="U223" t="s">
        <v>451</v>
      </c>
      <c r="V223">
        <v>17</v>
      </c>
      <c r="W223" s="2">
        <v>416.6431014483</v>
      </c>
    </row>
    <row r="224" spans="1:23" x14ac:dyDescent="0.25">
      <c r="A224" t="s">
        <v>31</v>
      </c>
      <c r="B224" t="s">
        <v>32</v>
      </c>
      <c r="C224" t="s">
        <v>33</v>
      </c>
      <c r="D224" t="s">
        <v>34</v>
      </c>
      <c r="E224" t="s">
        <v>35</v>
      </c>
      <c r="F224" t="s">
        <v>36</v>
      </c>
      <c r="G224">
        <v>1141685</v>
      </c>
      <c r="H224" t="s">
        <v>79</v>
      </c>
      <c r="I224" t="s">
        <v>94</v>
      </c>
      <c r="J224" t="s">
        <v>101</v>
      </c>
      <c r="K224" t="s">
        <v>116</v>
      </c>
      <c r="L224" s="1">
        <v>46143</v>
      </c>
      <c r="M224" s="1">
        <v>46173</v>
      </c>
      <c r="N224">
        <v>0.99910478199999997</v>
      </c>
      <c r="O224" t="s">
        <v>56</v>
      </c>
      <c r="P224" t="s">
        <v>63</v>
      </c>
      <c r="Q224" t="s">
        <v>136</v>
      </c>
      <c r="R224" t="s">
        <v>140</v>
      </c>
      <c r="S224" t="s">
        <v>67</v>
      </c>
      <c r="T224" t="s">
        <v>297</v>
      </c>
      <c r="U224" t="s">
        <v>452</v>
      </c>
      <c r="V224">
        <v>16</v>
      </c>
      <c r="W224" s="2">
        <v>1394.4288946912</v>
      </c>
    </row>
    <row r="225" spans="1:23" x14ac:dyDescent="0.25">
      <c r="A225" t="s">
        <v>31</v>
      </c>
      <c r="B225" t="s">
        <v>32</v>
      </c>
      <c r="C225" t="s">
        <v>33</v>
      </c>
      <c r="D225" t="s">
        <v>34</v>
      </c>
      <c r="E225" t="s">
        <v>35</v>
      </c>
      <c r="F225" t="s">
        <v>36</v>
      </c>
      <c r="G225">
        <v>1141685</v>
      </c>
      <c r="H225" t="s">
        <v>79</v>
      </c>
      <c r="I225" t="s">
        <v>94</v>
      </c>
      <c r="J225" t="s">
        <v>101</v>
      </c>
      <c r="K225" t="s">
        <v>116</v>
      </c>
      <c r="L225" s="1">
        <v>46143</v>
      </c>
      <c r="M225" s="1">
        <v>46173</v>
      </c>
      <c r="N225">
        <v>0.1759220427</v>
      </c>
      <c r="O225" t="s">
        <v>56</v>
      </c>
      <c r="P225" t="s">
        <v>63</v>
      </c>
      <c r="Q225" t="s">
        <v>136</v>
      </c>
      <c r="R225" t="s">
        <v>140</v>
      </c>
      <c r="S225" t="s">
        <v>67</v>
      </c>
      <c r="T225" t="s">
        <v>298</v>
      </c>
      <c r="U225" t="s">
        <v>453</v>
      </c>
      <c r="V225">
        <v>15</v>
      </c>
      <c r="W225" s="2">
        <v>205.08384453049999</v>
      </c>
    </row>
    <row r="226" spans="1:23" x14ac:dyDescent="0.25">
      <c r="A226" t="s">
        <v>31</v>
      </c>
      <c r="B226" t="s">
        <v>32</v>
      </c>
      <c r="C226" t="s">
        <v>33</v>
      </c>
      <c r="D226" t="s">
        <v>34</v>
      </c>
      <c r="E226" t="s">
        <v>35</v>
      </c>
      <c r="F226" t="s">
        <v>36</v>
      </c>
      <c r="G226">
        <v>1141685</v>
      </c>
      <c r="H226" t="s">
        <v>79</v>
      </c>
      <c r="I226" t="s">
        <v>94</v>
      </c>
      <c r="J226" t="s">
        <v>101</v>
      </c>
      <c r="K226" t="s">
        <v>116</v>
      </c>
      <c r="L226" s="1">
        <v>46143</v>
      </c>
      <c r="M226" s="1">
        <v>46173</v>
      </c>
      <c r="N226">
        <v>1.1035405081</v>
      </c>
      <c r="O226" t="s">
        <v>56</v>
      </c>
      <c r="P226" t="s">
        <v>63</v>
      </c>
      <c r="Q226" t="s">
        <v>136</v>
      </c>
      <c r="R226" t="s">
        <v>140</v>
      </c>
      <c r="S226" t="s">
        <v>67</v>
      </c>
      <c r="T226" t="s">
        <v>299</v>
      </c>
      <c r="U226" t="s">
        <v>454</v>
      </c>
      <c r="V226">
        <v>16</v>
      </c>
      <c r="W226" s="2">
        <v>1540.1866863524999</v>
      </c>
    </row>
    <row r="227" spans="1:23" x14ac:dyDescent="0.25">
      <c r="A227" t="s">
        <v>31</v>
      </c>
      <c r="B227" t="s">
        <v>32</v>
      </c>
      <c r="C227" t="s">
        <v>33</v>
      </c>
      <c r="D227" t="s">
        <v>34</v>
      </c>
      <c r="E227" t="s">
        <v>35</v>
      </c>
      <c r="F227" t="s">
        <v>36</v>
      </c>
      <c r="G227">
        <v>1141685</v>
      </c>
      <c r="H227" t="s">
        <v>79</v>
      </c>
      <c r="I227" t="s">
        <v>94</v>
      </c>
      <c r="J227" t="s">
        <v>101</v>
      </c>
      <c r="K227" t="s">
        <v>116</v>
      </c>
      <c r="L227" s="1">
        <v>46143</v>
      </c>
      <c r="M227" s="1">
        <v>46173</v>
      </c>
      <c r="N227">
        <v>1.0120028052000001</v>
      </c>
      <c r="O227" t="s">
        <v>56</v>
      </c>
      <c r="P227" t="s">
        <v>63</v>
      </c>
      <c r="Q227" t="s">
        <v>136</v>
      </c>
      <c r="R227" t="s">
        <v>140</v>
      </c>
      <c r="S227" t="s">
        <v>67</v>
      </c>
      <c r="T227" t="s">
        <v>300</v>
      </c>
      <c r="U227" t="s">
        <v>455</v>
      </c>
      <c r="V227">
        <v>16</v>
      </c>
      <c r="W227" s="2">
        <v>1412.4302261984999</v>
      </c>
    </row>
    <row r="228" spans="1:23" x14ac:dyDescent="0.25">
      <c r="A228" t="s">
        <v>31</v>
      </c>
      <c r="B228" t="s">
        <v>32</v>
      </c>
      <c r="C228" t="s">
        <v>33</v>
      </c>
      <c r="D228" t="s">
        <v>34</v>
      </c>
      <c r="E228" t="s">
        <v>35</v>
      </c>
      <c r="F228" t="s">
        <v>36</v>
      </c>
      <c r="G228">
        <v>1141685</v>
      </c>
      <c r="H228" t="s">
        <v>79</v>
      </c>
      <c r="I228" t="s">
        <v>94</v>
      </c>
      <c r="J228" t="s">
        <v>101</v>
      </c>
      <c r="K228" t="s">
        <v>114</v>
      </c>
      <c r="L228" s="1">
        <v>46143</v>
      </c>
      <c r="M228" s="1">
        <v>46173</v>
      </c>
      <c r="N228">
        <v>4.9765735016999999</v>
      </c>
      <c r="O228" t="s">
        <v>56</v>
      </c>
      <c r="P228" t="s">
        <v>63</v>
      </c>
      <c r="Q228" t="s">
        <v>136</v>
      </c>
      <c r="R228" t="s">
        <v>140</v>
      </c>
      <c r="S228" t="s">
        <v>67</v>
      </c>
      <c r="T228" t="s">
        <v>301</v>
      </c>
      <c r="U228" t="s">
        <v>456</v>
      </c>
      <c r="V228">
        <v>16</v>
      </c>
      <c r="W228" s="2">
        <v>6945.6996122839992</v>
      </c>
    </row>
    <row r="229" spans="1:23" x14ac:dyDescent="0.25">
      <c r="A229" t="s">
        <v>31</v>
      </c>
      <c r="B229" t="s">
        <v>32</v>
      </c>
      <c r="C229" t="s">
        <v>33</v>
      </c>
      <c r="D229" t="s">
        <v>34</v>
      </c>
      <c r="E229" t="s">
        <v>35</v>
      </c>
      <c r="F229" t="s">
        <v>36</v>
      </c>
      <c r="G229">
        <v>1141685</v>
      </c>
      <c r="H229" t="s">
        <v>79</v>
      </c>
      <c r="I229" t="s">
        <v>94</v>
      </c>
      <c r="J229" t="s">
        <v>101</v>
      </c>
      <c r="K229" t="s">
        <v>114</v>
      </c>
      <c r="L229" s="1">
        <v>46143</v>
      </c>
      <c r="M229" s="1">
        <v>46173</v>
      </c>
      <c r="N229">
        <v>6.4116879216999996</v>
      </c>
      <c r="O229" t="s">
        <v>56</v>
      </c>
      <c r="P229" t="s">
        <v>63</v>
      </c>
      <c r="Q229" t="s">
        <v>136</v>
      </c>
      <c r="R229" t="s">
        <v>140</v>
      </c>
      <c r="S229" t="s">
        <v>67</v>
      </c>
      <c r="T229" t="s">
        <v>302</v>
      </c>
      <c r="U229" t="s">
        <v>457</v>
      </c>
      <c r="V229">
        <v>16</v>
      </c>
      <c r="W229" s="2">
        <v>8948.6648467694995</v>
      </c>
    </row>
    <row r="230" spans="1:23" x14ac:dyDescent="0.25">
      <c r="A230" t="s">
        <v>31</v>
      </c>
      <c r="B230" t="s">
        <v>32</v>
      </c>
      <c r="C230" t="s">
        <v>33</v>
      </c>
      <c r="D230" t="s">
        <v>34</v>
      </c>
      <c r="E230" t="s">
        <v>35</v>
      </c>
      <c r="F230" t="s">
        <v>36</v>
      </c>
      <c r="G230">
        <v>1141685</v>
      </c>
      <c r="H230" t="s">
        <v>79</v>
      </c>
      <c r="I230" t="s">
        <v>94</v>
      </c>
      <c r="J230" t="s">
        <v>101</v>
      </c>
      <c r="K230" t="s">
        <v>114</v>
      </c>
      <c r="L230" s="1">
        <v>46143</v>
      </c>
      <c r="M230" s="1">
        <v>46173</v>
      </c>
      <c r="N230">
        <v>0.75667801410000002</v>
      </c>
      <c r="O230" t="s">
        <v>56</v>
      </c>
      <c r="P230" t="s">
        <v>63</v>
      </c>
      <c r="Q230" t="s">
        <v>136</v>
      </c>
      <c r="R230" t="s">
        <v>140</v>
      </c>
      <c r="S230" t="s">
        <v>67</v>
      </c>
      <c r="T230" t="s">
        <v>303</v>
      </c>
      <c r="U230" t="s">
        <v>458</v>
      </c>
      <c r="V230">
        <v>15</v>
      </c>
      <c r="W230" s="2">
        <v>1056.080726186</v>
      </c>
    </row>
    <row r="231" spans="1:23" x14ac:dyDescent="0.25">
      <c r="A231" t="s">
        <v>31</v>
      </c>
      <c r="B231" t="s">
        <v>32</v>
      </c>
      <c r="C231" t="s">
        <v>33</v>
      </c>
      <c r="D231" t="s">
        <v>34</v>
      </c>
      <c r="E231" t="s">
        <v>35</v>
      </c>
      <c r="F231" t="s">
        <v>36</v>
      </c>
      <c r="G231">
        <v>1141685</v>
      </c>
      <c r="H231" t="s">
        <v>79</v>
      </c>
      <c r="I231" t="s">
        <v>94</v>
      </c>
      <c r="J231" t="s">
        <v>101</v>
      </c>
      <c r="K231" t="s">
        <v>114</v>
      </c>
      <c r="L231" s="1">
        <v>46143</v>
      </c>
      <c r="M231" s="1">
        <v>46173</v>
      </c>
      <c r="N231">
        <v>3.7616000000000001E-6</v>
      </c>
      <c r="O231" t="s">
        <v>56</v>
      </c>
      <c r="P231" t="s">
        <v>63</v>
      </c>
      <c r="Q231" t="s">
        <v>136</v>
      </c>
      <c r="R231" t="s">
        <v>140</v>
      </c>
      <c r="S231" t="s">
        <v>67</v>
      </c>
      <c r="T231" t="s">
        <v>304</v>
      </c>
      <c r="U231" t="s">
        <v>459</v>
      </c>
      <c r="V231">
        <v>16</v>
      </c>
      <c r="W231" s="2">
        <v>4.6200056000000001E-3</v>
      </c>
    </row>
    <row r="232" spans="1:23" x14ac:dyDescent="0.25">
      <c r="A232" t="s">
        <v>31</v>
      </c>
      <c r="B232" t="s">
        <v>32</v>
      </c>
      <c r="C232" t="s">
        <v>33</v>
      </c>
      <c r="D232" t="s">
        <v>34</v>
      </c>
      <c r="E232" t="s">
        <v>35</v>
      </c>
      <c r="F232" t="s">
        <v>36</v>
      </c>
      <c r="G232">
        <v>1141685</v>
      </c>
      <c r="H232" t="s">
        <v>77</v>
      </c>
      <c r="I232" t="s">
        <v>96</v>
      </c>
      <c r="J232" t="s">
        <v>77</v>
      </c>
      <c r="K232" t="s">
        <v>111</v>
      </c>
      <c r="L232" s="1">
        <v>46143</v>
      </c>
      <c r="M232" s="1">
        <v>46173</v>
      </c>
      <c r="N232">
        <v>1.3843460000000001E-4</v>
      </c>
      <c r="O232" t="s">
        <v>56</v>
      </c>
      <c r="P232" t="s">
        <v>63</v>
      </c>
      <c r="Q232" t="s">
        <v>136</v>
      </c>
      <c r="R232" t="s">
        <v>140</v>
      </c>
      <c r="S232" t="s">
        <v>67</v>
      </c>
      <c r="T232" t="s">
        <v>305</v>
      </c>
      <c r="U232" t="s">
        <v>460</v>
      </c>
      <c r="V232">
        <v>16</v>
      </c>
      <c r="W232" s="2">
        <v>2.1253141400000002E-2</v>
      </c>
    </row>
    <row r="233" spans="1:23" x14ac:dyDescent="0.25">
      <c r="A233" t="s">
        <v>31</v>
      </c>
      <c r="B233" t="s">
        <v>32</v>
      </c>
      <c r="C233" t="s">
        <v>33</v>
      </c>
      <c r="D233" t="s">
        <v>34</v>
      </c>
      <c r="E233" t="s">
        <v>35</v>
      </c>
      <c r="F233" t="s">
        <v>36</v>
      </c>
      <c r="G233">
        <v>1141685</v>
      </c>
      <c r="H233" t="s">
        <v>77</v>
      </c>
      <c r="I233" t="s">
        <v>96</v>
      </c>
      <c r="J233" t="s">
        <v>77</v>
      </c>
      <c r="K233" t="s">
        <v>111</v>
      </c>
      <c r="L233" s="1">
        <v>46143</v>
      </c>
      <c r="M233" s="1">
        <v>46173</v>
      </c>
      <c r="N233">
        <v>95.951796946100004</v>
      </c>
      <c r="O233" t="s">
        <v>56</v>
      </c>
      <c r="P233" t="s">
        <v>63</v>
      </c>
      <c r="Q233" t="s">
        <v>136</v>
      </c>
      <c r="R233" t="s">
        <v>140</v>
      </c>
      <c r="S233" t="s">
        <v>67</v>
      </c>
      <c r="T233" t="s">
        <v>306</v>
      </c>
      <c r="U233" t="s">
        <v>461</v>
      </c>
      <c r="V233">
        <v>16</v>
      </c>
      <c r="W233" s="2">
        <v>16739.750435793001</v>
      </c>
    </row>
    <row r="234" spans="1:23" x14ac:dyDescent="0.25">
      <c r="A234" t="s">
        <v>31</v>
      </c>
      <c r="B234" t="s">
        <v>32</v>
      </c>
      <c r="C234" t="s">
        <v>33</v>
      </c>
      <c r="D234" t="s">
        <v>34</v>
      </c>
      <c r="E234" t="s">
        <v>35</v>
      </c>
      <c r="F234" t="s">
        <v>36</v>
      </c>
      <c r="G234">
        <v>1141685</v>
      </c>
      <c r="H234" t="s">
        <v>77</v>
      </c>
      <c r="I234" t="s">
        <v>96</v>
      </c>
      <c r="J234" t="s">
        <v>77</v>
      </c>
      <c r="K234" t="s">
        <v>111</v>
      </c>
      <c r="L234" s="1">
        <v>46143</v>
      </c>
      <c r="M234" s="1">
        <v>46173</v>
      </c>
      <c r="N234">
        <v>9.6688946262000002</v>
      </c>
      <c r="O234" t="s">
        <v>56</v>
      </c>
      <c r="P234" t="s">
        <v>63</v>
      </c>
      <c r="Q234" t="s">
        <v>136</v>
      </c>
      <c r="R234" t="s">
        <v>140</v>
      </c>
      <c r="S234" t="s">
        <v>67</v>
      </c>
      <c r="T234" t="s">
        <v>307</v>
      </c>
      <c r="U234" t="s">
        <v>462</v>
      </c>
      <c r="V234">
        <v>16</v>
      </c>
      <c r="W234" s="2">
        <v>1686.8351137075001</v>
      </c>
    </row>
    <row r="235" spans="1:23" x14ac:dyDescent="0.25">
      <c r="A235" t="s">
        <v>31</v>
      </c>
      <c r="B235" t="s">
        <v>32</v>
      </c>
      <c r="C235" t="s">
        <v>33</v>
      </c>
      <c r="D235" t="s">
        <v>34</v>
      </c>
      <c r="E235" t="s">
        <v>35</v>
      </c>
      <c r="F235" t="s">
        <v>36</v>
      </c>
      <c r="G235">
        <v>1141685</v>
      </c>
      <c r="H235" t="s">
        <v>79</v>
      </c>
      <c r="I235" t="s">
        <v>94</v>
      </c>
      <c r="J235" t="s">
        <v>101</v>
      </c>
      <c r="K235" t="s">
        <v>114</v>
      </c>
      <c r="L235" s="1">
        <v>46143</v>
      </c>
      <c r="M235" s="1">
        <v>46173</v>
      </c>
      <c r="N235">
        <v>2.6074945999999999E-3</v>
      </c>
      <c r="O235" t="s">
        <v>56</v>
      </c>
      <c r="P235" t="s">
        <v>63</v>
      </c>
      <c r="Q235" t="s">
        <v>136</v>
      </c>
      <c r="R235" t="s">
        <v>151</v>
      </c>
      <c r="S235" t="s">
        <v>67</v>
      </c>
      <c r="T235" t="s">
        <v>308</v>
      </c>
      <c r="U235" t="s">
        <v>463</v>
      </c>
      <c r="V235">
        <v>17</v>
      </c>
      <c r="W235" s="2">
        <v>3.6425206842</v>
      </c>
    </row>
    <row r="236" spans="1:23" x14ac:dyDescent="0.25">
      <c r="A236" t="s">
        <v>31</v>
      </c>
      <c r="B236" t="s">
        <v>32</v>
      </c>
      <c r="C236" t="s">
        <v>33</v>
      </c>
      <c r="D236" t="s">
        <v>34</v>
      </c>
      <c r="E236" t="s">
        <v>35</v>
      </c>
      <c r="F236" t="s">
        <v>36</v>
      </c>
      <c r="G236">
        <v>1141685</v>
      </c>
      <c r="H236" t="s">
        <v>79</v>
      </c>
      <c r="I236" t="s">
        <v>94</v>
      </c>
      <c r="J236" t="s">
        <v>101</v>
      </c>
      <c r="K236" t="s">
        <v>114</v>
      </c>
      <c r="L236" s="1">
        <v>46143</v>
      </c>
      <c r="M236" s="1">
        <v>46173</v>
      </c>
      <c r="N236">
        <v>0.75703312830000002</v>
      </c>
      <c r="O236" t="s">
        <v>56</v>
      </c>
      <c r="P236" t="s">
        <v>63</v>
      </c>
      <c r="Q236" t="s">
        <v>136</v>
      </c>
      <c r="R236" t="s">
        <v>141</v>
      </c>
      <c r="S236" t="s">
        <v>67</v>
      </c>
      <c r="T236" t="s">
        <v>309</v>
      </c>
      <c r="U236" t="s">
        <v>464</v>
      </c>
      <c r="V236">
        <v>16</v>
      </c>
      <c r="W236" s="2">
        <v>1056.5768769115</v>
      </c>
    </row>
    <row r="237" spans="1:23" x14ac:dyDescent="0.25">
      <c r="A237" t="s">
        <v>31</v>
      </c>
      <c r="B237" t="s">
        <v>32</v>
      </c>
      <c r="C237" t="s">
        <v>33</v>
      </c>
      <c r="D237" t="s">
        <v>34</v>
      </c>
      <c r="E237" t="s">
        <v>35</v>
      </c>
      <c r="F237" t="s">
        <v>36</v>
      </c>
      <c r="G237">
        <v>1141685</v>
      </c>
      <c r="H237" t="s">
        <v>76</v>
      </c>
      <c r="I237" t="s">
        <v>95</v>
      </c>
      <c r="J237" t="s">
        <v>99</v>
      </c>
      <c r="K237" t="s">
        <v>109</v>
      </c>
      <c r="L237" s="1">
        <v>46143</v>
      </c>
      <c r="M237" s="1">
        <v>46173</v>
      </c>
      <c r="N237">
        <v>18.799488</v>
      </c>
      <c r="O237" t="s">
        <v>58</v>
      </c>
      <c r="P237" t="s">
        <v>63</v>
      </c>
      <c r="Q237" t="s">
        <v>137</v>
      </c>
      <c r="R237" t="s">
        <v>140</v>
      </c>
      <c r="S237" t="s">
        <v>67</v>
      </c>
      <c r="T237" t="s">
        <v>219</v>
      </c>
      <c r="U237" t="s">
        <v>374</v>
      </c>
      <c r="V237">
        <v>15</v>
      </c>
      <c r="W237" s="2">
        <v>0</v>
      </c>
    </row>
    <row r="238" spans="1:23" x14ac:dyDescent="0.25">
      <c r="A238" t="s">
        <v>31</v>
      </c>
      <c r="B238" t="s">
        <v>32</v>
      </c>
      <c r="C238" t="s">
        <v>33</v>
      </c>
      <c r="D238" t="s">
        <v>34</v>
      </c>
      <c r="E238" t="s">
        <v>35</v>
      </c>
      <c r="F238" t="s">
        <v>36</v>
      </c>
      <c r="G238">
        <v>1141685</v>
      </c>
      <c r="H238" t="s">
        <v>76</v>
      </c>
      <c r="I238" t="s">
        <v>95</v>
      </c>
      <c r="J238" t="s">
        <v>99</v>
      </c>
      <c r="K238" t="s">
        <v>109</v>
      </c>
      <c r="L238" s="1">
        <v>46143</v>
      </c>
      <c r="M238" s="1">
        <v>46173</v>
      </c>
      <c r="N238">
        <v>1</v>
      </c>
      <c r="O238" t="s">
        <v>58</v>
      </c>
      <c r="P238" t="s">
        <v>63</v>
      </c>
      <c r="Q238" t="s">
        <v>137</v>
      </c>
      <c r="R238" t="s">
        <v>151</v>
      </c>
      <c r="S238" t="s">
        <v>67</v>
      </c>
      <c r="T238" t="s">
        <v>218</v>
      </c>
      <c r="U238" t="s">
        <v>373</v>
      </c>
      <c r="V238">
        <v>17</v>
      </c>
      <c r="W238" s="2">
        <v>0</v>
      </c>
    </row>
    <row r="239" spans="1:23" x14ac:dyDescent="0.25">
      <c r="A239" t="s">
        <v>31</v>
      </c>
      <c r="B239" t="s">
        <v>32</v>
      </c>
      <c r="C239" t="s">
        <v>33</v>
      </c>
      <c r="D239" t="s">
        <v>34</v>
      </c>
      <c r="E239" t="s">
        <v>35</v>
      </c>
      <c r="F239" t="s">
        <v>36</v>
      </c>
      <c r="G239">
        <v>1141685</v>
      </c>
      <c r="H239" t="s">
        <v>76</v>
      </c>
      <c r="I239" t="s">
        <v>95</v>
      </c>
      <c r="J239" t="s">
        <v>99</v>
      </c>
      <c r="K239" t="s">
        <v>109</v>
      </c>
      <c r="L239" s="1">
        <v>46143</v>
      </c>
      <c r="M239" s="1">
        <v>46173</v>
      </c>
      <c r="N239">
        <v>17.450109999999999</v>
      </c>
      <c r="O239" t="s">
        <v>58</v>
      </c>
      <c r="P239" t="s">
        <v>63</v>
      </c>
      <c r="Q239" t="s">
        <v>137</v>
      </c>
      <c r="R239" t="s">
        <v>140</v>
      </c>
      <c r="S239" t="s">
        <v>67</v>
      </c>
      <c r="T239" t="s">
        <v>170</v>
      </c>
      <c r="U239" t="s">
        <v>325</v>
      </c>
      <c r="V239">
        <v>16</v>
      </c>
      <c r="W239" s="2">
        <v>0</v>
      </c>
    </row>
    <row r="240" spans="1:23" x14ac:dyDescent="0.25">
      <c r="A240" t="s">
        <v>31</v>
      </c>
      <c r="B240" t="s">
        <v>32</v>
      </c>
      <c r="C240" t="s">
        <v>33</v>
      </c>
      <c r="D240" t="s">
        <v>34</v>
      </c>
      <c r="E240" t="s">
        <v>35</v>
      </c>
      <c r="F240" t="s">
        <v>36</v>
      </c>
      <c r="G240">
        <v>1141685</v>
      </c>
      <c r="H240" t="s">
        <v>76</v>
      </c>
      <c r="I240" t="s">
        <v>95</v>
      </c>
      <c r="J240" t="s">
        <v>99</v>
      </c>
      <c r="K240" t="s">
        <v>109</v>
      </c>
      <c r="L240" s="1">
        <v>46143</v>
      </c>
      <c r="M240" s="1">
        <v>46173</v>
      </c>
      <c r="N240">
        <v>0.983352</v>
      </c>
      <c r="O240" t="s">
        <v>58</v>
      </c>
      <c r="P240" t="s">
        <v>63</v>
      </c>
      <c r="Q240" t="s">
        <v>137</v>
      </c>
      <c r="R240" t="s">
        <v>140</v>
      </c>
      <c r="S240" t="s">
        <v>67</v>
      </c>
      <c r="T240" t="s">
        <v>170</v>
      </c>
      <c r="U240" t="s">
        <v>325</v>
      </c>
      <c r="V240">
        <v>16</v>
      </c>
      <c r="W240" s="2">
        <v>0</v>
      </c>
    </row>
    <row r="241" spans="1:23" x14ac:dyDescent="0.25">
      <c r="A241" t="s">
        <v>31</v>
      </c>
      <c r="B241" t="s">
        <v>32</v>
      </c>
      <c r="C241" t="s">
        <v>33</v>
      </c>
      <c r="D241" t="s">
        <v>34</v>
      </c>
      <c r="E241" t="s">
        <v>35</v>
      </c>
      <c r="F241" t="s">
        <v>36</v>
      </c>
      <c r="G241">
        <v>1141685</v>
      </c>
      <c r="H241" t="s">
        <v>78</v>
      </c>
      <c r="I241" t="s">
        <v>96</v>
      </c>
      <c r="J241" t="s">
        <v>100</v>
      </c>
      <c r="K241" t="s">
        <v>112</v>
      </c>
      <c r="L241" s="1">
        <v>46143</v>
      </c>
      <c r="M241" s="1">
        <v>46173</v>
      </c>
      <c r="N241">
        <v>744</v>
      </c>
      <c r="O241" t="s">
        <v>58</v>
      </c>
      <c r="P241" t="s">
        <v>63</v>
      </c>
      <c r="Q241" t="s">
        <v>136</v>
      </c>
      <c r="R241" t="s">
        <v>165</v>
      </c>
      <c r="S241" t="s">
        <v>67</v>
      </c>
      <c r="T241" t="s">
        <v>310</v>
      </c>
      <c r="U241" t="s">
        <v>465</v>
      </c>
      <c r="V241">
        <v>14</v>
      </c>
      <c r="W241" s="2">
        <v>64899.115599999997</v>
      </c>
    </row>
    <row r="242" spans="1:23" x14ac:dyDescent="0.25">
      <c r="A242" t="s">
        <v>31</v>
      </c>
      <c r="B242" t="s">
        <v>32</v>
      </c>
      <c r="C242" t="s">
        <v>33</v>
      </c>
      <c r="D242" t="s">
        <v>34</v>
      </c>
      <c r="E242" t="s">
        <v>35</v>
      </c>
      <c r="F242" t="s">
        <v>36</v>
      </c>
      <c r="G242">
        <v>1141685</v>
      </c>
      <c r="H242" t="s">
        <v>76</v>
      </c>
      <c r="I242" t="s">
        <v>95</v>
      </c>
      <c r="J242" t="s">
        <v>99</v>
      </c>
      <c r="K242" t="s">
        <v>109</v>
      </c>
      <c r="L242" s="1">
        <v>46143</v>
      </c>
      <c r="M242" s="1">
        <v>46173</v>
      </c>
      <c r="N242">
        <v>0.33334000000000003</v>
      </c>
      <c r="O242" t="s">
        <v>58</v>
      </c>
      <c r="P242" t="s">
        <v>63</v>
      </c>
      <c r="Q242" t="s">
        <v>137</v>
      </c>
      <c r="R242" t="s">
        <v>151</v>
      </c>
      <c r="S242" t="s">
        <v>67</v>
      </c>
      <c r="T242" t="s">
        <v>294</v>
      </c>
      <c r="U242" t="s">
        <v>449</v>
      </c>
      <c r="V242">
        <v>16</v>
      </c>
      <c r="W242" s="2">
        <v>0</v>
      </c>
    </row>
    <row r="243" spans="1:23" x14ac:dyDescent="0.25">
      <c r="A243" t="s">
        <v>31</v>
      </c>
      <c r="B243" t="s">
        <v>32</v>
      </c>
      <c r="C243" t="s">
        <v>33</v>
      </c>
      <c r="D243" t="s">
        <v>34</v>
      </c>
      <c r="E243" t="s">
        <v>35</v>
      </c>
      <c r="F243" t="s">
        <v>36</v>
      </c>
      <c r="G243">
        <v>1141685</v>
      </c>
      <c r="H243" t="s">
        <v>76</v>
      </c>
      <c r="I243" t="s">
        <v>95</v>
      </c>
      <c r="J243" t="s">
        <v>99</v>
      </c>
      <c r="K243" t="s">
        <v>109</v>
      </c>
      <c r="L243" s="1">
        <v>46143</v>
      </c>
      <c r="M243" s="1">
        <v>46173</v>
      </c>
      <c r="N243">
        <v>67.899208999999999</v>
      </c>
      <c r="O243" t="s">
        <v>58</v>
      </c>
      <c r="P243" t="s">
        <v>63</v>
      </c>
      <c r="Q243" t="s">
        <v>137</v>
      </c>
      <c r="R243" t="s">
        <v>140</v>
      </c>
      <c r="S243" t="s">
        <v>67</v>
      </c>
      <c r="T243" t="s">
        <v>170</v>
      </c>
      <c r="U243" t="s">
        <v>325</v>
      </c>
      <c r="V243">
        <v>16</v>
      </c>
      <c r="W243" s="2">
        <v>0</v>
      </c>
    </row>
    <row r="244" spans="1:23" x14ac:dyDescent="0.25">
      <c r="A244" t="s">
        <v>31</v>
      </c>
      <c r="B244" t="s">
        <v>32</v>
      </c>
      <c r="C244" t="s">
        <v>33</v>
      </c>
      <c r="D244" t="s">
        <v>34</v>
      </c>
      <c r="E244" t="s">
        <v>35</v>
      </c>
      <c r="F244" t="s">
        <v>36</v>
      </c>
      <c r="G244">
        <v>1141685</v>
      </c>
      <c r="H244" t="s">
        <v>76</v>
      </c>
      <c r="I244" t="s">
        <v>95</v>
      </c>
      <c r="J244" t="s">
        <v>99</v>
      </c>
      <c r="K244" t="s">
        <v>109</v>
      </c>
      <c r="L244" s="1">
        <v>46143</v>
      </c>
      <c r="M244" s="1">
        <v>46173</v>
      </c>
      <c r="N244">
        <v>97.783051</v>
      </c>
      <c r="O244" t="s">
        <v>58</v>
      </c>
      <c r="P244" t="s">
        <v>63</v>
      </c>
      <c r="Q244" t="s">
        <v>137</v>
      </c>
      <c r="R244" t="s">
        <v>140</v>
      </c>
      <c r="S244" t="s">
        <v>67</v>
      </c>
      <c r="T244" t="s">
        <v>170</v>
      </c>
      <c r="U244" t="s">
        <v>325</v>
      </c>
      <c r="V244">
        <v>16</v>
      </c>
      <c r="W244" s="2">
        <v>0</v>
      </c>
    </row>
    <row r="245" spans="1:23" x14ac:dyDescent="0.25">
      <c r="A245" t="s">
        <v>31</v>
      </c>
      <c r="B245" t="s">
        <v>32</v>
      </c>
      <c r="C245" t="s">
        <v>33</v>
      </c>
      <c r="D245" t="s">
        <v>34</v>
      </c>
      <c r="E245" t="s">
        <v>35</v>
      </c>
      <c r="F245" t="s">
        <v>36</v>
      </c>
      <c r="G245">
        <v>1141685</v>
      </c>
      <c r="H245" t="s">
        <v>76</v>
      </c>
      <c r="I245" t="s">
        <v>95</v>
      </c>
      <c r="J245" t="s">
        <v>99</v>
      </c>
      <c r="K245" t="s">
        <v>109</v>
      </c>
      <c r="L245" s="1">
        <v>46143</v>
      </c>
      <c r="M245" s="1">
        <v>46173</v>
      </c>
      <c r="N245">
        <v>6.1997</v>
      </c>
      <c r="O245" t="s">
        <v>58</v>
      </c>
      <c r="P245" t="s">
        <v>63</v>
      </c>
      <c r="Q245" t="s">
        <v>137</v>
      </c>
      <c r="R245" t="s">
        <v>140</v>
      </c>
      <c r="S245" t="s">
        <v>67</v>
      </c>
      <c r="T245" t="s">
        <v>170</v>
      </c>
      <c r="U245" t="s">
        <v>325</v>
      </c>
      <c r="V245">
        <v>16</v>
      </c>
      <c r="W245" s="2">
        <v>0</v>
      </c>
    </row>
    <row r="246" spans="1:23" x14ac:dyDescent="0.25">
      <c r="A246" t="s">
        <v>31</v>
      </c>
      <c r="B246" t="s">
        <v>32</v>
      </c>
      <c r="C246" t="s">
        <v>33</v>
      </c>
      <c r="D246" t="s">
        <v>34</v>
      </c>
      <c r="E246" t="s">
        <v>35</v>
      </c>
      <c r="F246" t="s">
        <v>36</v>
      </c>
      <c r="G246">
        <v>1141685</v>
      </c>
      <c r="H246" t="s">
        <v>76</v>
      </c>
      <c r="I246" t="s">
        <v>95</v>
      </c>
      <c r="J246" t="s">
        <v>99</v>
      </c>
      <c r="K246" t="s">
        <v>109</v>
      </c>
      <c r="L246" s="1">
        <v>46143</v>
      </c>
      <c r="M246" s="1">
        <v>46173</v>
      </c>
      <c r="N246">
        <v>2.8176760000000001</v>
      </c>
      <c r="O246" t="s">
        <v>58</v>
      </c>
      <c r="P246" t="s">
        <v>63</v>
      </c>
      <c r="Q246" t="s">
        <v>137</v>
      </c>
      <c r="R246" t="s">
        <v>140</v>
      </c>
      <c r="S246" t="s">
        <v>67</v>
      </c>
      <c r="T246" t="s">
        <v>170</v>
      </c>
      <c r="U246" t="s">
        <v>325</v>
      </c>
      <c r="V246">
        <v>16</v>
      </c>
      <c r="W246" s="2">
        <v>0</v>
      </c>
    </row>
    <row r="247" spans="1:23" x14ac:dyDescent="0.25">
      <c r="A247" t="s">
        <v>31</v>
      </c>
      <c r="B247" t="s">
        <v>32</v>
      </c>
      <c r="C247" t="s">
        <v>33</v>
      </c>
      <c r="D247" t="s">
        <v>34</v>
      </c>
      <c r="E247" t="s">
        <v>35</v>
      </c>
      <c r="F247" t="s">
        <v>36</v>
      </c>
      <c r="G247">
        <v>1141685</v>
      </c>
      <c r="H247" t="s">
        <v>76</v>
      </c>
      <c r="I247" t="s">
        <v>95</v>
      </c>
      <c r="J247" t="s">
        <v>99</v>
      </c>
      <c r="K247" t="s">
        <v>109</v>
      </c>
      <c r="L247" s="1">
        <v>46143</v>
      </c>
      <c r="M247" s="1">
        <v>46173</v>
      </c>
      <c r="N247">
        <v>199.19753399999999</v>
      </c>
      <c r="O247" t="s">
        <v>58</v>
      </c>
      <c r="P247" t="s">
        <v>63</v>
      </c>
      <c r="Q247" t="s">
        <v>137</v>
      </c>
      <c r="R247" t="s">
        <v>140</v>
      </c>
      <c r="S247" t="s">
        <v>67</v>
      </c>
      <c r="T247" t="s">
        <v>170</v>
      </c>
      <c r="U247" t="s">
        <v>325</v>
      </c>
      <c r="V247">
        <v>16</v>
      </c>
      <c r="W247" s="2">
        <v>0</v>
      </c>
    </row>
    <row r="248" spans="1:23" x14ac:dyDescent="0.25">
      <c r="A248" t="s">
        <v>31</v>
      </c>
      <c r="B248" t="s">
        <v>32</v>
      </c>
      <c r="C248" t="s">
        <v>33</v>
      </c>
      <c r="D248" t="s">
        <v>34</v>
      </c>
      <c r="E248" t="s">
        <v>35</v>
      </c>
      <c r="F248" t="s">
        <v>36</v>
      </c>
      <c r="G248">
        <v>1141685</v>
      </c>
      <c r="H248" t="s">
        <v>76</v>
      </c>
      <c r="I248" t="s">
        <v>95</v>
      </c>
      <c r="J248" t="s">
        <v>99</v>
      </c>
      <c r="K248" t="s">
        <v>109</v>
      </c>
      <c r="L248" s="1">
        <v>46143</v>
      </c>
      <c r="M248" s="1">
        <v>46173</v>
      </c>
      <c r="N248">
        <v>107.316199</v>
      </c>
      <c r="O248" t="s">
        <v>58</v>
      </c>
      <c r="P248" t="s">
        <v>63</v>
      </c>
      <c r="Q248" t="s">
        <v>137</v>
      </c>
      <c r="R248" t="s">
        <v>140</v>
      </c>
      <c r="S248" t="s">
        <v>67</v>
      </c>
      <c r="T248" t="s">
        <v>170</v>
      </c>
      <c r="U248" t="s">
        <v>325</v>
      </c>
      <c r="V248">
        <v>16</v>
      </c>
      <c r="W248" s="2">
        <v>0</v>
      </c>
    </row>
    <row r="249" spans="1:23" x14ac:dyDescent="0.25">
      <c r="A249" t="s">
        <v>31</v>
      </c>
      <c r="B249" t="s">
        <v>32</v>
      </c>
      <c r="C249" t="s">
        <v>33</v>
      </c>
      <c r="D249" t="s">
        <v>34</v>
      </c>
      <c r="E249" t="s">
        <v>35</v>
      </c>
      <c r="F249" t="s">
        <v>36</v>
      </c>
      <c r="G249">
        <v>1141685</v>
      </c>
      <c r="H249" t="s">
        <v>76</v>
      </c>
      <c r="I249" t="s">
        <v>95</v>
      </c>
      <c r="J249" t="s">
        <v>99</v>
      </c>
      <c r="K249" t="s">
        <v>109</v>
      </c>
      <c r="L249" s="1">
        <v>46143</v>
      </c>
      <c r="M249" s="1">
        <v>46173</v>
      </c>
      <c r="N249">
        <v>42.583663000000001</v>
      </c>
      <c r="O249" t="s">
        <v>58</v>
      </c>
      <c r="P249" t="s">
        <v>63</v>
      </c>
      <c r="Q249" t="s">
        <v>137</v>
      </c>
      <c r="R249" t="s">
        <v>140</v>
      </c>
      <c r="S249" t="s">
        <v>67</v>
      </c>
      <c r="T249" t="s">
        <v>170</v>
      </c>
      <c r="U249" t="s">
        <v>325</v>
      </c>
      <c r="V249">
        <v>16</v>
      </c>
      <c r="W249" s="2">
        <v>0</v>
      </c>
    </row>
    <row r="250" spans="1:23" x14ac:dyDescent="0.25">
      <c r="A250" t="s">
        <v>31</v>
      </c>
      <c r="B250" t="s">
        <v>32</v>
      </c>
      <c r="C250" t="s">
        <v>33</v>
      </c>
      <c r="D250" t="s">
        <v>34</v>
      </c>
      <c r="E250" t="s">
        <v>35</v>
      </c>
      <c r="F250" t="s">
        <v>36</v>
      </c>
      <c r="G250">
        <v>1141685</v>
      </c>
      <c r="H250" t="s">
        <v>76</v>
      </c>
      <c r="I250" t="s">
        <v>95</v>
      </c>
      <c r="J250" t="s">
        <v>99</v>
      </c>
      <c r="K250" t="s">
        <v>109</v>
      </c>
      <c r="L250" s="1">
        <v>46143</v>
      </c>
      <c r="M250" s="1">
        <v>46173</v>
      </c>
      <c r="N250">
        <v>1</v>
      </c>
      <c r="O250" t="s">
        <v>58</v>
      </c>
      <c r="P250" t="s">
        <v>63</v>
      </c>
      <c r="Q250" t="s">
        <v>137</v>
      </c>
      <c r="R250" t="s">
        <v>140</v>
      </c>
      <c r="S250" t="s">
        <v>67</v>
      </c>
      <c r="T250" t="s">
        <v>170</v>
      </c>
      <c r="U250" t="s">
        <v>325</v>
      </c>
      <c r="V250">
        <v>16</v>
      </c>
      <c r="W250" s="2">
        <v>0</v>
      </c>
    </row>
    <row r="251" spans="1:23" x14ac:dyDescent="0.25">
      <c r="A251" t="s">
        <v>31</v>
      </c>
      <c r="B251" t="s">
        <v>32</v>
      </c>
      <c r="C251" t="s">
        <v>33</v>
      </c>
      <c r="D251" t="s">
        <v>34</v>
      </c>
      <c r="E251" t="s">
        <v>35</v>
      </c>
      <c r="F251" t="s">
        <v>36</v>
      </c>
      <c r="G251">
        <v>1141685</v>
      </c>
      <c r="H251" t="s">
        <v>76</v>
      </c>
      <c r="I251" t="s">
        <v>95</v>
      </c>
      <c r="J251" t="s">
        <v>99</v>
      </c>
      <c r="K251" t="s">
        <v>109</v>
      </c>
      <c r="L251" s="1">
        <v>46143</v>
      </c>
      <c r="M251" s="1">
        <v>46173</v>
      </c>
      <c r="N251">
        <v>13.617665000000001</v>
      </c>
      <c r="O251" t="s">
        <v>58</v>
      </c>
      <c r="P251" t="s">
        <v>63</v>
      </c>
      <c r="Q251" t="s">
        <v>137</v>
      </c>
      <c r="R251" t="s">
        <v>140</v>
      </c>
      <c r="S251" t="s">
        <v>67</v>
      </c>
      <c r="T251" t="s">
        <v>170</v>
      </c>
      <c r="U251" t="s">
        <v>325</v>
      </c>
      <c r="V251">
        <v>16</v>
      </c>
      <c r="W251" s="2">
        <v>0</v>
      </c>
    </row>
    <row r="252" spans="1:23" x14ac:dyDescent="0.25">
      <c r="A252" t="s">
        <v>31</v>
      </c>
      <c r="B252" t="s">
        <v>32</v>
      </c>
      <c r="C252" t="s">
        <v>33</v>
      </c>
      <c r="D252" t="s">
        <v>34</v>
      </c>
      <c r="E252" t="s">
        <v>35</v>
      </c>
      <c r="F252" t="s">
        <v>36</v>
      </c>
      <c r="G252">
        <v>1141685</v>
      </c>
      <c r="H252" t="s">
        <v>76</v>
      </c>
      <c r="I252" t="s">
        <v>95</v>
      </c>
      <c r="J252" t="s">
        <v>99</v>
      </c>
      <c r="K252" t="s">
        <v>109</v>
      </c>
      <c r="L252" s="1">
        <v>46143</v>
      </c>
      <c r="M252" s="1">
        <v>46173</v>
      </c>
      <c r="N252">
        <v>7.516597</v>
      </c>
      <c r="O252" t="s">
        <v>58</v>
      </c>
      <c r="P252" t="s">
        <v>63</v>
      </c>
      <c r="Q252" t="s">
        <v>137</v>
      </c>
      <c r="R252" t="s">
        <v>140</v>
      </c>
      <c r="S252" t="s">
        <v>67</v>
      </c>
      <c r="T252" t="s">
        <v>170</v>
      </c>
      <c r="U252" t="s">
        <v>325</v>
      </c>
      <c r="V252">
        <v>16</v>
      </c>
      <c r="W252" s="2">
        <v>0</v>
      </c>
    </row>
    <row r="253" spans="1:23" x14ac:dyDescent="0.25">
      <c r="A253" t="s">
        <v>31</v>
      </c>
      <c r="B253" t="s">
        <v>32</v>
      </c>
      <c r="C253" t="s">
        <v>33</v>
      </c>
      <c r="D253" t="s">
        <v>34</v>
      </c>
      <c r="E253" t="s">
        <v>35</v>
      </c>
      <c r="F253" t="s">
        <v>36</v>
      </c>
      <c r="G253">
        <v>1141685</v>
      </c>
      <c r="H253" t="s">
        <v>76</v>
      </c>
      <c r="I253" t="s">
        <v>95</v>
      </c>
      <c r="J253" t="s">
        <v>99</v>
      </c>
      <c r="K253" t="s">
        <v>109</v>
      </c>
      <c r="L253" s="1">
        <v>46143</v>
      </c>
      <c r="M253" s="1">
        <v>46173</v>
      </c>
      <c r="N253">
        <v>1.1335379999999999</v>
      </c>
      <c r="O253" t="s">
        <v>58</v>
      </c>
      <c r="P253" t="s">
        <v>63</v>
      </c>
      <c r="Q253" t="s">
        <v>137</v>
      </c>
      <c r="R253" t="s">
        <v>140</v>
      </c>
      <c r="S253" t="s">
        <v>67</v>
      </c>
      <c r="T253" t="s">
        <v>170</v>
      </c>
      <c r="U253" t="s">
        <v>325</v>
      </c>
      <c r="V253">
        <v>16</v>
      </c>
      <c r="W253" s="2">
        <v>0</v>
      </c>
    </row>
    <row r="254" spans="1:23" x14ac:dyDescent="0.25">
      <c r="A254" t="s">
        <v>31</v>
      </c>
      <c r="B254" t="s">
        <v>32</v>
      </c>
      <c r="C254" t="s">
        <v>33</v>
      </c>
      <c r="D254" t="s">
        <v>34</v>
      </c>
      <c r="E254" t="s">
        <v>35</v>
      </c>
      <c r="F254" t="s">
        <v>36</v>
      </c>
      <c r="G254">
        <v>1141685</v>
      </c>
      <c r="H254" t="s">
        <v>76</v>
      </c>
      <c r="I254" t="s">
        <v>95</v>
      </c>
      <c r="J254" t="s">
        <v>99</v>
      </c>
      <c r="K254" t="s">
        <v>109</v>
      </c>
      <c r="L254" s="1">
        <v>46143</v>
      </c>
      <c r="M254" s="1">
        <v>46173</v>
      </c>
      <c r="N254">
        <v>32.567295000000001</v>
      </c>
      <c r="O254" t="s">
        <v>58</v>
      </c>
      <c r="P254" t="s">
        <v>63</v>
      </c>
      <c r="Q254" t="s">
        <v>137</v>
      </c>
      <c r="R254" t="s">
        <v>140</v>
      </c>
      <c r="S254" t="s">
        <v>67</v>
      </c>
      <c r="T254" t="s">
        <v>170</v>
      </c>
      <c r="U254" t="s">
        <v>325</v>
      </c>
      <c r="V254">
        <v>16</v>
      </c>
      <c r="W254" s="2">
        <v>0</v>
      </c>
    </row>
    <row r="255" spans="1:23" x14ac:dyDescent="0.25">
      <c r="A255" t="s">
        <v>31</v>
      </c>
      <c r="B255" t="s">
        <v>32</v>
      </c>
      <c r="C255" t="s">
        <v>33</v>
      </c>
      <c r="D255" t="s">
        <v>34</v>
      </c>
      <c r="E255" t="s">
        <v>35</v>
      </c>
      <c r="F255" t="s">
        <v>36</v>
      </c>
      <c r="G255">
        <v>1141685</v>
      </c>
      <c r="H255" t="s">
        <v>76</v>
      </c>
      <c r="I255" t="s">
        <v>95</v>
      </c>
      <c r="J255" t="s">
        <v>99</v>
      </c>
      <c r="K255" t="s">
        <v>109</v>
      </c>
      <c r="L255" s="1">
        <v>46143</v>
      </c>
      <c r="M255" s="1">
        <v>46173</v>
      </c>
      <c r="N255">
        <v>0.983352</v>
      </c>
      <c r="O255" t="s">
        <v>58</v>
      </c>
      <c r="P255" t="s">
        <v>63</v>
      </c>
      <c r="Q255" t="s">
        <v>137</v>
      </c>
      <c r="R255" t="s">
        <v>140</v>
      </c>
      <c r="S255" t="s">
        <v>67</v>
      </c>
      <c r="T255" t="s">
        <v>170</v>
      </c>
      <c r="U255" t="s">
        <v>325</v>
      </c>
      <c r="V255">
        <v>16</v>
      </c>
      <c r="W255" s="2">
        <v>0</v>
      </c>
    </row>
    <row r="256" spans="1:23" x14ac:dyDescent="0.25">
      <c r="A256" t="s">
        <v>31</v>
      </c>
      <c r="B256" t="s">
        <v>32</v>
      </c>
      <c r="C256" t="s">
        <v>33</v>
      </c>
      <c r="D256" t="s">
        <v>34</v>
      </c>
      <c r="E256" t="s">
        <v>35</v>
      </c>
      <c r="F256" t="s">
        <v>36</v>
      </c>
      <c r="G256">
        <v>1141685</v>
      </c>
      <c r="H256" t="s">
        <v>76</v>
      </c>
      <c r="I256" t="s">
        <v>95</v>
      </c>
      <c r="J256" t="s">
        <v>99</v>
      </c>
      <c r="K256" t="s">
        <v>109</v>
      </c>
      <c r="L256" s="1">
        <v>46143</v>
      </c>
      <c r="M256" s="1">
        <v>46173</v>
      </c>
      <c r="N256">
        <v>20.916264999999999</v>
      </c>
      <c r="O256" t="s">
        <v>58</v>
      </c>
      <c r="P256" t="s">
        <v>63</v>
      </c>
      <c r="Q256" t="s">
        <v>137</v>
      </c>
      <c r="R256" t="s">
        <v>140</v>
      </c>
      <c r="S256" t="s">
        <v>67</v>
      </c>
      <c r="T256" t="s">
        <v>170</v>
      </c>
      <c r="U256" t="s">
        <v>325</v>
      </c>
      <c r="V256">
        <v>16</v>
      </c>
      <c r="W256" s="2">
        <v>0</v>
      </c>
    </row>
    <row r="257" spans="1:23" x14ac:dyDescent="0.25">
      <c r="A257" t="s">
        <v>31</v>
      </c>
      <c r="B257" t="s">
        <v>32</v>
      </c>
      <c r="C257" t="s">
        <v>33</v>
      </c>
      <c r="D257" t="s">
        <v>34</v>
      </c>
      <c r="E257" t="s">
        <v>35</v>
      </c>
      <c r="F257" t="s">
        <v>36</v>
      </c>
      <c r="G257">
        <v>1141685</v>
      </c>
      <c r="H257" t="s">
        <v>76</v>
      </c>
      <c r="I257" t="s">
        <v>95</v>
      </c>
      <c r="J257" t="s">
        <v>99</v>
      </c>
      <c r="K257" t="s">
        <v>109</v>
      </c>
      <c r="L257" s="1">
        <v>46143</v>
      </c>
      <c r="M257" s="1">
        <v>46173</v>
      </c>
      <c r="N257">
        <v>2.6832159999999998</v>
      </c>
      <c r="O257" t="s">
        <v>58</v>
      </c>
      <c r="P257" t="s">
        <v>63</v>
      </c>
      <c r="Q257" t="s">
        <v>137</v>
      </c>
      <c r="R257" t="s">
        <v>140</v>
      </c>
      <c r="S257" t="s">
        <v>67</v>
      </c>
      <c r="T257" t="s">
        <v>170</v>
      </c>
      <c r="U257" t="s">
        <v>325</v>
      </c>
      <c r="V257">
        <v>16</v>
      </c>
      <c r="W257" s="2">
        <v>0</v>
      </c>
    </row>
    <row r="258" spans="1:23" x14ac:dyDescent="0.25">
      <c r="A258" t="s">
        <v>31</v>
      </c>
      <c r="B258" t="s">
        <v>32</v>
      </c>
      <c r="C258" t="s">
        <v>33</v>
      </c>
      <c r="D258" t="s">
        <v>34</v>
      </c>
      <c r="E258" t="s">
        <v>35</v>
      </c>
      <c r="F258" t="s">
        <v>36</v>
      </c>
      <c r="G258">
        <v>1141685</v>
      </c>
      <c r="H258" t="s">
        <v>76</v>
      </c>
      <c r="I258" t="s">
        <v>95</v>
      </c>
      <c r="J258" t="s">
        <v>99</v>
      </c>
      <c r="K258" t="s">
        <v>109</v>
      </c>
      <c r="L258" s="1">
        <v>46143</v>
      </c>
      <c r="M258" s="1">
        <v>46173</v>
      </c>
      <c r="N258">
        <v>2.3671129999999998</v>
      </c>
      <c r="O258" t="s">
        <v>58</v>
      </c>
      <c r="P258" t="s">
        <v>63</v>
      </c>
      <c r="Q258" t="s">
        <v>137</v>
      </c>
      <c r="R258" t="s">
        <v>140</v>
      </c>
      <c r="S258" t="s">
        <v>67</v>
      </c>
      <c r="T258" t="s">
        <v>170</v>
      </c>
      <c r="U258" t="s">
        <v>325</v>
      </c>
      <c r="V258">
        <v>16</v>
      </c>
      <c r="W258" s="2">
        <v>0</v>
      </c>
    </row>
    <row r="259" spans="1:23" x14ac:dyDescent="0.25">
      <c r="A259" t="s">
        <v>31</v>
      </c>
      <c r="B259" t="s">
        <v>32</v>
      </c>
      <c r="C259" t="s">
        <v>33</v>
      </c>
      <c r="D259" t="s">
        <v>34</v>
      </c>
      <c r="E259" t="s">
        <v>35</v>
      </c>
      <c r="F259" t="s">
        <v>36</v>
      </c>
      <c r="G259">
        <v>1141685</v>
      </c>
      <c r="H259" t="s">
        <v>86</v>
      </c>
      <c r="I259" t="s">
        <v>42</v>
      </c>
      <c r="J259" t="s">
        <v>86</v>
      </c>
      <c r="K259" t="s">
        <v>132</v>
      </c>
      <c r="L259" s="1">
        <v>46143</v>
      </c>
      <c r="M259" s="1">
        <v>46173</v>
      </c>
      <c r="N259">
        <v>0.99872300000000003</v>
      </c>
      <c r="O259" t="s">
        <v>135</v>
      </c>
      <c r="P259" t="s">
        <v>63</v>
      </c>
      <c r="Q259" t="s">
        <v>137</v>
      </c>
      <c r="R259" t="s">
        <v>166</v>
      </c>
      <c r="S259" t="s">
        <v>67</v>
      </c>
      <c r="T259" t="s">
        <v>311</v>
      </c>
      <c r="U259" t="s">
        <v>466</v>
      </c>
      <c r="V259">
        <v>10</v>
      </c>
      <c r="W259" s="2">
        <v>177843.9239311892</v>
      </c>
    </row>
    <row r="260" spans="1:23" x14ac:dyDescent="0.25">
      <c r="A260" t="s">
        <v>31</v>
      </c>
      <c r="B260" t="s">
        <v>32</v>
      </c>
      <c r="C260" t="s">
        <v>33</v>
      </c>
      <c r="D260" t="s">
        <v>34</v>
      </c>
      <c r="E260" t="s">
        <v>35</v>
      </c>
      <c r="F260" t="s">
        <v>36</v>
      </c>
      <c r="G260">
        <v>1141685</v>
      </c>
      <c r="H260" t="s">
        <v>81</v>
      </c>
      <c r="I260" t="s">
        <v>97</v>
      </c>
      <c r="J260" t="s">
        <v>102</v>
      </c>
      <c r="K260" t="s">
        <v>117</v>
      </c>
      <c r="L260" s="1">
        <v>46143</v>
      </c>
      <c r="M260" s="1">
        <v>46173</v>
      </c>
      <c r="N260">
        <v>6</v>
      </c>
      <c r="O260" t="s">
        <v>58</v>
      </c>
      <c r="P260" t="s">
        <v>63</v>
      </c>
      <c r="Q260" t="s">
        <v>139</v>
      </c>
      <c r="R260" t="s">
        <v>146</v>
      </c>
      <c r="S260" t="s">
        <v>67</v>
      </c>
      <c r="T260" t="s">
        <v>187</v>
      </c>
      <c r="U260" t="s">
        <v>342</v>
      </c>
      <c r="V260">
        <v>9</v>
      </c>
      <c r="W260" s="2">
        <v>0</v>
      </c>
    </row>
    <row r="261" spans="1:23" x14ac:dyDescent="0.25">
      <c r="A261" t="s">
        <v>31</v>
      </c>
      <c r="B261" t="s">
        <v>32</v>
      </c>
      <c r="C261" t="s">
        <v>33</v>
      </c>
      <c r="D261" t="s">
        <v>34</v>
      </c>
      <c r="E261" t="s">
        <v>35</v>
      </c>
      <c r="F261" t="s">
        <v>36</v>
      </c>
      <c r="G261">
        <v>1141685</v>
      </c>
      <c r="H261" t="s">
        <v>82</v>
      </c>
      <c r="I261" t="s">
        <v>82</v>
      </c>
      <c r="J261" t="s">
        <v>82</v>
      </c>
      <c r="K261" t="s">
        <v>120</v>
      </c>
      <c r="L261" s="1">
        <v>46143</v>
      </c>
      <c r="M261" s="1">
        <v>46173</v>
      </c>
      <c r="N261">
        <v>1</v>
      </c>
      <c r="O261" t="s">
        <v>61</v>
      </c>
      <c r="P261" t="s">
        <v>63</v>
      </c>
      <c r="Q261" t="s">
        <v>138</v>
      </c>
      <c r="R261" t="s">
        <v>147</v>
      </c>
      <c r="S261" t="s">
        <v>68</v>
      </c>
      <c r="T261" t="s">
        <v>283</v>
      </c>
      <c r="U261" t="s">
        <v>438</v>
      </c>
      <c r="V261">
        <v>7</v>
      </c>
      <c r="W261" s="2">
        <v>2691.9341720419998</v>
      </c>
    </row>
    <row r="262" spans="1:23" x14ac:dyDescent="0.25">
      <c r="A262" t="s">
        <v>31</v>
      </c>
      <c r="B262" t="s">
        <v>32</v>
      </c>
      <c r="C262" t="s">
        <v>33</v>
      </c>
      <c r="D262" t="s">
        <v>34</v>
      </c>
      <c r="E262" t="s">
        <v>35</v>
      </c>
      <c r="F262" t="s">
        <v>36</v>
      </c>
      <c r="G262">
        <v>1141685</v>
      </c>
      <c r="H262" t="s">
        <v>76</v>
      </c>
      <c r="I262" t="s">
        <v>95</v>
      </c>
      <c r="J262" t="s">
        <v>99</v>
      </c>
      <c r="K262" t="s">
        <v>109</v>
      </c>
      <c r="L262" s="1">
        <v>46143</v>
      </c>
      <c r="M262" s="1">
        <v>46173</v>
      </c>
      <c r="N262">
        <v>1.1335759999999999</v>
      </c>
      <c r="O262" t="s">
        <v>58</v>
      </c>
      <c r="P262" t="s">
        <v>63</v>
      </c>
      <c r="Q262" t="s">
        <v>137</v>
      </c>
      <c r="R262" t="s">
        <v>140</v>
      </c>
      <c r="S262" t="s">
        <v>67</v>
      </c>
      <c r="T262" t="s">
        <v>219</v>
      </c>
      <c r="U262" t="s">
        <v>374</v>
      </c>
      <c r="V262">
        <v>15</v>
      </c>
      <c r="W262" s="2">
        <v>0</v>
      </c>
    </row>
    <row r="263" spans="1:23" x14ac:dyDescent="0.25">
      <c r="A263" t="s">
        <v>31</v>
      </c>
      <c r="B263" t="s">
        <v>32</v>
      </c>
      <c r="C263" t="s">
        <v>33</v>
      </c>
      <c r="D263" t="s">
        <v>34</v>
      </c>
      <c r="E263" t="s">
        <v>35</v>
      </c>
      <c r="F263" t="s">
        <v>36</v>
      </c>
      <c r="G263">
        <v>1141685</v>
      </c>
      <c r="H263" t="s">
        <v>76</v>
      </c>
      <c r="I263" t="s">
        <v>95</v>
      </c>
      <c r="J263" t="s">
        <v>99</v>
      </c>
      <c r="K263" t="s">
        <v>109</v>
      </c>
      <c r="L263" s="1">
        <v>46143</v>
      </c>
      <c r="M263" s="1">
        <v>46173</v>
      </c>
      <c r="N263">
        <v>6.6591999999999998E-2</v>
      </c>
      <c r="O263" t="s">
        <v>58</v>
      </c>
      <c r="P263" t="s">
        <v>63</v>
      </c>
      <c r="Q263" t="s">
        <v>137</v>
      </c>
      <c r="R263" t="s">
        <v>141</v>
      </c>
      <c r="S263" t="s">
        <v>67</v>
      </c>
      <c r="T263" t="s">
        <v>171</v>
      </c>
      <c r="U263" t="s">
        <v>326</v>
      </c>
      <c r="V263">
        <v>16</v>
      </c>
      <c r="W263" s="2">
        <v>0</v>
      </c>
    </row>
    <row r="264" spans="1:23" x14ac:dyDescent="0.25">
      <c r="A264" t="s">
        <v>31</v>
      </c>
      <c r="B264" t="s">
        <v>32</v>
      </c>
      <c r="C264" t="s">
        <v>33</v>
      </c>
      <c r="D264" t="s">
        <v>34</v>
      </c>
      <c r="E264" t="s">
        <v>35</v>
      </c>
      <c r="F264" t="s">
        <v>36</v>
      </c>
      <c r="G264">
        <v>1141685</v>
      </c>
      <c r="H264" t="s">
        <v>76</v>
      </c>
      <c r="I264" t="s">
        <v>95</v>
      </c>
      <c r="J264" t="s">
        <v>99</v>
      </c>
      <c r="K264" t="s">
        <v>109</v>
      </c>
      <c r="L264" s="1">
        <v>46143</v>
      </c>
      <c r="M264" s="1">
        <v>46173</v>
      </c>
      <c r="N264">
        <v>0.83333100000000004</v>
      </c>
      <c r="O264" t="s">
        <v>58</v>
      </c>
      <c r="P264" t="s">
        <v>63</v>
      </c>
      <c r="Q264" t="s">
        <v>137</v>
      </c>
      <c r="R264" t="s">
        <v>151</v>
      </c>
      <c r="S264" t="s">
        <v>67</v>
      </c>
      <c r="T264" t="s">
        <v>218</v>
      </c>
      <c r="U264" t="s">
        <v>373</v>
      </c>
      <c r="V264">
        <v>17</v>
      </c>
      <c r="W264" s="2">
        <v>0</v>
      </c>
    </row>
    <row r="265" spans="1:23" x14ac:dyDescent="0.25">
      <c r="A265" t="s">
        <v>31</v>
      </c>
      <c r="B265" t="s">
        <v>32</v>
      </c>
      <c r="C265" t="s">
        <v>33</v>
      </c>
      <c r="D265" t="s">
        <v>34</v>
      </c>
      <c r="E265" t="s">
        <v>35</v>
      </c>
      <c r="F265" t="s">
        <v>36</v>
      </c>
      <c r="G265">
        <v>1141685</v>
      </c>
      <c r="H265" t="s">
        <v>76</v>
      </c>
      <c r="I265" t="s">
        <v>95</v>
      </c>
      <c r="J265" t="s">
        <v>99</v>
      </c>
      <c r="K265" t="s">
        <v>109</v>
      </c>
      <c r="L265" s="1">
        <v>46143</v>
      </c>
      <c r="M265" s="1">
        <v>46173</v>
      </c>
      <c r="N265">
        <v>117.435068</v>
      </c>
      <c r="O265" t="s">
        <v>58</v>
      </c>
      <c r="P265" t="s">
        <v>63</v>
      </c>
      <c r="Q265" t="s">
        <v>137</v>
      </c>
      <c r="R265" t="s">
        <v>140</v>
      </c>
      <c r="S265" t="s">
        <v>67</v>
      </c>
      <c r="T265" t="s">
        <v>170</v>
      </c>
      <c r="U265" t="s">
        <v>325</v>
      </c>
      <c r="V265">
        <v>16</v>
      </c>
      <c r="W265" s="2">
        <v>0</v>
      </c>
    </row>
    <row r="266" spans="1:23" x14ac:dyDescent="0.25">
      <c r="A266" t="s">
        <v>31</v>
      </c>
      <c r="B266" t="s">
        <v>32</v>
      </c>
      <c r="C266" t="s">
        <v>33</v>
      </c>
      <c r="D266" t="s">
        <v>34</v>
      </c>
      <c r="E266" t="s">
        <v>35</v>
      </c>
      <c r="F266" t="s">
        <v>36</v>
      </c>
      <c r="G266">
        <v>1141685</v>
      </c>
      <c r="H266" t="s">
        <v>76</v>
      </c>
      <c r="I266" t="s">
        <v>95</v>
      </c>
      <c r="J266" t="s">
        <v>99</v>
      </c>
      <c r="K266" t="s">
        <v>109</v>
      </c>
      <c r="L266" s="1">
        <v>46143</v>
      </c>
      <c r="M266" s="1">
        <v>46173</v>
      </c>
      <c r="N266">
        <v>28.648782000000001</v>
      </c>
      <c r="O266" t="s">
        <v>58</v>
      </c>
      <c r="P266" t="s">
        <v>63</v>
      </c>
      <c r="Q266" t="s">
        <v>137</v>
      </c>
      <c r="R266" t="s">
        <v>140</v>
      </c>
      <c r="S266" t="s">
        <v>67</v>
      </c>
      <c r="T266" t="s">
        <v>170</v>
      </c>
      <c r="U266" t="s">
        <v>325</v>
      </c>
      <c r="V266">
        <v>16</v>
      </c>
      <c r="W266" s="2">
        <v>0</v>
      </c>
    </row>
    <row r="267" spans="1:23" x14ac:dyDescent="0.25">
      <c r="A267" t="s">
        <v>31</v>
      </c>
      <c r="B267" t="s">
        <v>32</v>
      </c>
      <c r="C267" t="s">
        <v>33</v>
      </c>
      <c r="D267" t="s">
        <v>34</v>
      </c>
      <c r="E267" t="s">
        <v>35</v>
      </c>
      <c r="F267" t="s">
        <v>36</v>
      </c>
      <c r="G267">
        <v>1141685</v>
      </c>
      <c r="H267" t="s">
        <v>80</v>
      </c>
      <c r="I267" t="s">
        <v>96</v>
      </c>
      <c r="J267" t="s">
        <v>80</v>
      </c>
      <c r="K267" t="s">
        <v>122</v>
      </c>
      <c r="L267" s="1">
        <v>46143</v>
      </c>
      <c r="M267" s="1">
        <v>46173</v>
      </c>
      <c r="N267">
        <v>1.3343331181</v>
      </c>
      <c r="O267" t="s">
        <v>56</v>
      </c>
      <c r="P267" t="s">
        <v>63</v>
      </c>
      <c r="Q267" t="s">
        <v>136</v>
      </c>
      <c r="R267" t="s">
        <v>140</v>
      </c>
      <c r="S267" t="s">
        <v>67</v>
      </c>
      <c r="T267" t="s">
        <v>312</v>
      </c>
      <c r="U267" t="s">
        <v>467</v>
      </c>
      <c r="V267">
        <v>16</v>
      </c>
      <c r="W267" s="2">
        <v>232.78322508010001</v>
      </c>
    </row>
    <row r="268" spans="1:23" x14ac:dyDescent="0.25">
      <c r="A268" t="s">
        <v>31</v>
      </c>
      <c r="B268" t="s">
        <v>32</v>
      </c>
      <c r="C268" t="s">
        <v>33</v>
      </c>
      <c r="D268" t="s">
        <v>34</v>
      </c>
      <c r="E268" t="s">
        <v>35</v>
      </c>
      <c r="F268" t="s">
        <v>36</v>
      </c>
      <c r="G268">
        <v>1141685</v>
      </c>
      <c r="H268" t="s">
        <v>77</v>
      </c>
      <c r="I268" t="s">
        <v>96</v>
      </c>
      <c r="J268" t="s">
        <v>77</v>
      </c>
      <c r="K268" t="s">
        <v>113</v>
      </c>
      <c r="L268" s="1">
        <v>46143</v>
      </c>
      <c r="M268" s="1">
        <v>46173</v>
      </c>
      <c r="N268">
        <v>789.55393466910004</v>
      </c>
      <c r="O268" t="s">
        <v>56</v>
      </c>
      <c r="P268" t="s">
        <v>63</v>
      </c>
      <c r="Q268" t="s">
        <v>136</v>
      </c>
      <c r="R268" t="s">
        <v>140</v>
      </c>
      <c r="S268" t="s">
        <v>67</v>
      </c>
      <c r="T268" t="s">
        <v>313</v>
      </c>
      <c r="U268" t="s">
        <v>468</v>
      </c>
      <c r="V268">
        <v>16</v>
      </c>
      <c r="W268" s="2">
        <v>137745.57990929001</v>
      </c>
    </row>
    <row r="269" spans="1:23" x14ac:dyDescent="0.25">
      <c r="A269" t="s">
        <v>31</v>
      </c>
      <c r="B269" t="s">
        <v>32</v>
      </c>
      <c r="C269" t="s">
        <v>33</v>
      </c>
      <c r="D269" t="s">
        <v>34</v>
      </c>
      <c r="E269" t="s">
        <v>35</v>
      </c>
      <c r="F269" t="s">
        <v>36</v>
      </c>
      <c r="G269">
        <v>1141685</v>
      </c>
      <c r="H269" t="s">
        <v>79</v>
      </c>
      <c r="I269" t="s">
        <v>94</v>
      </c>
      <c r="J269" t="s">
        <v>101</v>
      </c>
      <c r="K269" t="s">
        <v>114</v>
      </c>
      <c r="L269" s="1">
        <v>46143</v>
      </c>
      <c r="M269" s="1">
        <v>46173</v>
      </c>
      <c r="N269">
        <v>5.9061751699999998E-2</v>
      </c>
      <c r="O269" t="s">
        <v>56</v>
      </c>
      <c r="P269" t="s">
        <v>63</v>
      </c>
      <c r="Q269" t="s">
        <v>136</v>
      </c>
      <c r="R269" t="s">
        <v>140</v>
      </c>
      <c r="S269" t="s">
        <v>67</v>
      </c>
      <c r="T269" t="s">
        <v>314</v>
      </c>
      <c r="U269" t="s">
        <v>469</v>
      </c>
      <c r="V269">
        <v>15</v>
      </c>
      <c r="W269" s="2">
        <v>82.429548939699998</v>
      </c>
    </row>
    <row r="270" spans="1:23" x14ac:dyDescent="0.25">
      <c r="A270" t="s">
        <v>31</v>
      </c>
      <c r="B270" t="s">
        <v>32</v>
      </c>
      <c r="C270" t="s">
        <v>33</v>
      </c>
      <c r="D270" t="s">
        <v>34</v>
      </c>
      <c r="E270" t="s">
        <v>35</v>
      </c>
      <c r="F270" t="s">
        <v>36</v>
      </c>
      <c r="G270">
        <v>1141685</v>
      </c>
      <c r="H270" t="s">
        <v>93</v>
      </c>
      <c r="I270" t="s">
        <v>93</v>
      </c>
      <c r="J270" t="s">
        <v>93</v>
      </c>
      <c r="K270" t="s">
        <v>133</v>
      </c>
      <c r="L270" s="1">
        <v>46143</v>
      </c>
      <c r="M270" s="1">
        <v>46173</v>
      </c>
      <c r="N270">
        <v>743.97283662919995</v>
      </c>
      <c r="O270" t="s">
        <v>58</v>
      </c>
      <c r="P270" t="s">
        <v>63</v>
      </c>
      <c r="Q270" t="s">
        <v>139</v>
      </c>
      <c r="R270" t="s">
        <v>167</v>
      </c>
      <c r="S270" t="s">
        <v>67</v>
      </c>
      <c r="T270" t="s">
        <v>315</v>
      </c>
      <c r="U270" t="s">
        <v>470</v>
      </c>
      <c r="V270">
        <v>10</v>
      </c>
      <c r="W270" s="2">
        <v>1297935.009489377</v>
      </c>
    </row>
    <row r="271" spans="1:23" x14ac:dyDescent="0.25">
      <c r="A271" t="s">
        <v>31</v>
      </c>
      <c r="B271" t="s">
        <v>32</v>
      </c>
      <c r="C271" t="s">
        <v>33</v>
      </c>
      <c r="D271" t="s">
        <v>34</v>
      </c>
      <c r="E271" t="s">
        <v>35</v>
      </c>
      <c r="F271" t="s">
        <v>36</v>
      </c>
      <c r="G271">
        <v>1141685</v>
      </c>
      <c r="H271" t="s">
        <v>77</v>
      </c>
      <c r="I271" t="s">
        <v>96</v>
      </c>
      <c r="J271" t="s">
        <v>77</v>
      </c>
      <c r="K271" t="s">
        <v>113</v>
      </c>
      <c r="L271" s="1">
        <v>46143</v>
      </c>
      <c r="M271" s="1">
        <v>46173</v>
      </c>
      <c r="N271">
        <v>197.2740493547</v>
      </c>
      <c r="O271" t="s">
        <v>56</v>
      </c>
      <c r="P271" t="s">
        <v>63</v>
      </c>
      <c r="Q271" t="s">
        <v>136</v>
      </c>
      <c r="R271" t="s">
        <v>140</v>
      </c>
      <c r="S271" t="s">
        <v>67</v>
      </c>
      <c r="T271" t="s">
        <v>316</v>
      </c>
      <c r="U271" t="s">
        <v>471</v>
      </c>
      <c r="V271">
        <v>15</v>
      </c>
      <c r="W271" s="2">
        <v>34416.428972373098</v>
      </c>
    </row>
    <row r="272" spans="1:23" x14ac:dyDescent="0.25">
      <c r="A272" t="s">
        <v>31</v>
      </c>
      <c r="B272" t="s">
        <v>32</v>
      </c>
      <c r="C272" t="s">
        <v>33</v>
      </c>
      <c r="D272" t="s">
        <v>34</v>
      </c>
      <c r="E272" t="s">
        <v>35</v>
      </c>
      <c r="F272" t="s">
        <v>36</v>
      </c>
      <c r="G272">
        <v>1141685</v>
      </c>
      <c r="H272" t="s">
        <v>79</v>
      </c>
      <c r="I272" t="s">
        <v>94</v>
      </c>
      <c r="J272" t="s">
        <v>101</v>
      </c>
      <c r="K272" t="s">
        <v>114</v>
      </c>
      <c r="L272" s="1">
        <v>46143</v>
      </c>
      <c r="M272" s="1">
        <v>46173</v>
      </c>
      <c r="N272">
        <v>0.75286353009999996</v>
      </c>
      <c r="O272" t="s">
        <v>56</v>
      </c>
      <c r="P272" t="s">
        <v>63</v>
      </c>
      <c r="Q272" t="s">
        <v>136</v>
      </c>
      <c r="R272" t="s">
        <v>140</v>
      </c>
      <c r="S272" t="s">
        <v>67</v>
      </c>
      <c r="T272" t="s">
        <v>317</v>
      </c>
      <c r="U272" t="s">
        <v>472</v>
      </c>
      <c r="V272">
        <v>15</v>
      </c>
      <c r="W272" s="2">
        <v>1050.7557830494</v>
      </c>
    </row>
    <row r="273" spans="1:23" x14ac:dyDescent="0.25">
      <c r="A273" t="s">
        <v>31</v>
      </c>
      <c r="B273" t="s">
        <v>32</v>
      </c>
      <c r="C273" t="s">
        <v>33</v>
      </c>
      <c r="D273" t="s">
        <v>34</v>
      </c>
      <c r="E273" t="s">
        <v>35</v>
      </c>
      <c r="F273" t="s">
        <v>36</v>
      </c>
      <c r="G273">
        <v>1141685</v>
      </c>
      <c r="H273" t="s">
        <v>77</v>
      </c>
      <c r="I273" t="s">
        <v>96</v>
      </c>
      <c r="J273" t="s">
        <v>77</v>
      </c>
      <c r="K273" t="s">
        <v>111</v>
      </c>
      <c r="L273" s="1">
        <v>46143</v>
      </c>
      <c r="M273" s="1">
        <v>46173</v>
      </c>
      <c r="N273">
        <v>3.1837074999999999E-2</v>
      </c>
      <c r="O273" t="s">
        <v>56</v>
      </c>
      <c r="P273" t="s">
        <v>63</v>
      </c>
      <c r="Q273" t="s">
        <v>138</v>
      </c>
      <c r="R273" t="s">
        <v>150</v>
      </c>
      <c r="S273" t="s">
        <v>67</v>
      </c>
      <c r="T273" t="s">
        <v>318</v>
      </c>
      <c r="U273" t="s">
        <v>473</v>
      </c>
      <c r="V273">
        <v>7</v>
      </c>
      <c r="W273" s="2">
        <v>5.5577805733999996</v>
      </c>
    </row>
    <row r="274" spans="1:23" x14ac:dyDescent="0.25">
      <c r="A274" t="s">
        <v>31</v>
      </c>
      <c r="B274" t="s">
        <v>32</v>
      </c>
      <c r="C274" t="s">
        <v>33</v>
      </c>
      <c r="D274" t="s">
        <v>34</v>
      </c>
      <c r="E274" t="s">
        <v>35</v>
      </c>
      <c r="F274" t="s">
        <v>36</v>
      </c>
      <c r="G274">
        <v>1141685</v>
      </c>
      <c r="H274" t="s">
        <v>86</v>
      </c>
      <c r="I274" t="s">
        <v>42</v>
      </c>
      <c r="J274" t="s">
        <v>86</v>
      </c>
      <c r="K274" t="s">
        <v>124</v>
      </c>
      <c r="L274" s="1">
        <v>46143</v>
      </c>
      <c r="M274" s="1">
        <v>46173</v>
      </c>
      <c r="N274">
        <v>1.4999999999999999E-4</v>
      </c>
      <c r="O274" t="s">
        <v>135</v>
      </c>
      <c r="P274" t="s">
        <v>63</v>
      </c>
      <c r="Q274" t="s">
        <v>137</v>
      </c>
      <c r="R274" t="s">
        <v>168</v>
      </c>
      <c r="S274" t="s">
        <v>67</v>
      </c>
      <c r="T274" t="s">
        <v>319</v>
      </c>
      <c r="U274" t="s">
        <v>474</v>
      </c>
      <c r="V274">
        <v>17</v>
      </c>
      <c r="W274" s="2">
        <v>51.579607119999999</v>
      </c>
    </row>
    <row r="275" spans="1:23" x14ac:dyDescent="0.25">
      <c r="A275" t="s">
        <v>31</v>
      </c>
      <c r="B275" t="s">
        <v>32</v>
      </c>
      <c r="C275" t="s">
        <v>33</v>
      </c>
      <c r="D275" t="s">
        <v>34</v>
      </c>
      <c r="E275" t="s">
        <v>35</v>
      </c>
      <c r="F275" t="s">
        <v>36</v>
      </c>
      <c r="G275">
        <v>1141685</v>
      </c>
      <c r="H275" t="s">
        <v>87</v>
      </c>
      <c r="I275" t="s">
        <v>87</v>
      </c>
      <c r="J275" t="s">
        <v>87</v>
      </c>
      <c r="K275" t="s">
        <v>125</v>
      </c>
      <c r="L275" s="1">
        <v>46143</v>
      </c>
      <c r="M275" s="1">
        <v>46173</v>
      </c>
      <c r="N275">
        <v>744</v>
      </c>
      <c r="O275" t="s">
        <v>58</v>
      </c>
      <c r="P275" t="s">
        <v>63</v>
      </c>
      <c r="Q275" t="s">
        <v>136</v>
      </c>
      <c r="R275" t="s">
        <v>164</v>
      </c>
      <c r="S275" t="s">
        <v>67</v>
      </c>
      <c r="T275" t="s">
        <v>320</v>
      </c>
      <c r="U275" t="s">
        <v>475</v>
      </c>
      <c r="V275">
        <v>12</v>
      </c>
      <c r="W275" s="2">
        <v>324495.598</v>
      </c>
    </row>
    <row r="276" spans="1:23" x14ac:dyDescent="0.25">
      <c r="A276" t="s">
        <v>31</v>
      </c>
      <c r="B276" t="s">
        <v>32</v>
      </c>
      <c r="C276" t="s">
        <v>33</v>
      </c>
      <c r="D276" t="s">
        <v>34</v>
      </c>
      <c r="E276" t="s">
        <v>35</v>
      </c>
      <c r="F276" t="s">
        <v>36</v>
      </c>
      <c r="G276">
        <v>1141685</v>
      </c>
      <c r="H276" t="s">
        <v>88</v>
      </c>
      <c r="I276" t="s">
        <v>88</v>
      </c>
      <c r="J276" t="s">
        <v>88</v>
      </c>
      <c r="K276" t="s">
        <v>134</v>
      </c>
      <c r="L276" s="1">
        <v>46143</v>
      </c>
      <c r="M276" s="1">
        <v>46173</v>
      </c>
      <c r="N276">
        <v>5.5067370000000002</v>
      </c>
      <c r="O276" t="s">
        <v>60</v>
      </c>
      <c r="P276" t="s">
        <v>63</v>
      </c>
      <c r="Q276" t="s">
        <v>139</v>
      </c>
      <c r="R276" t="s">
        <v>159</v>
      </c>
      <c r="S276" t="s">
        <v>67</v>
      </c>
      <c r="T276" t="s">
        <v>321</v>
      </c>
      <c r="U276" t="s">
        <v>476</v>
      </c>
      <c r="V276">
        <v>8</v>
      </c>
      <c r="W276" s="2">
        <v>2689.9779504162002</v>
      </c>
    </row>
    <row r="277" spans="1:23" x14ac:dyDescent="0.25">
      <c r="A277" t="s">
        <v>31</v>
      </c>
      <c r="B277" t="s">
        <v>32</v>
      </c>
      <c r="C277" t="s">
        <v>33</v>
      </c>
      <c r="D277" t="s">
        <v>34</v>
      </c>
      <c r="E277" t="s">
        <v>35</v>
      </c>
      <c r="F277" t="s">
        <v>36</v>
      </c>
      <c r="G277">
        <v>1141685</v>
      </c>
      <c r="H277" t="s">
        <v>76</v>
      </c>
      <c r="I277" t="s">
        <v>95</v>
      </c>
      <c r="J277" t="s">
        <v>99</v>
      </c>
      <c r="K277" t="s">
        <v>109</v>
      </c>
      <c r="L277" s="1">
        <v>46143</v>
      </c>
      <c r="M277" s="1">
        <v>46173</v>
      </c>
      <c r="N277">
        <v>263.46546000000001</v>
      </c>
      <c r="O277" t="s">
        <v>58</v>
      </c>
      <c r="P277" t="s">
        <v>63</v>
      </c>
      <c r="Q277" t="s">
        <v>137</v>
      </c>
      <c r="R277" t="s">
        <v>140</v>
      </c>
      <c r="S277" t="s">
        <v>67</v>
      </c>
      <c r="T277" t="s">
        <v>170</v>
      </c>
      <c r="U277" t="s">
        <v>325</v>
      </c>
      <c r="V277">
        <v>16</v>
      </c>
      <c r="W277" s="2">
        <v>0</v>
      </c>
    </row>
    <row r="278" spans="1:23" x14ac:dyDescent="0.25">
      <c r="A278" t="s">
        <v>31</v>
      </c>
      <c r="B278" t="s">
        <v>32</v>
      </c>
      <c r="C278" t="s">
        <v>33</v>
      </c>
      <c r="D278" t="s">
        <v>34</v>
      </c>
      <c r="E278" t="s">
        <v>35</v>
      </c>
      <c r="F278" t="s">
        <v>36</v>
      </c>
      <c r="G278">
        <v>1141685</v>
      </c>
      <c r="H278" t="s">
        <v>76</v>
      </c>
      <c r="I278" t="s">
        <v>95</v>
      </c>
      <c r="J278" t="s">
        <v>99</v>
      </c>
      <c r="K278" t="s">
        <v>109</v>
      </c>
      <c r="L278" s="1">
        <v>46143</v>
      </c>
      <c r="M278" s="1">
        <v>46173</v>
      </c>
      <c r="N278">
        <v>24.483242000000001</v>
      </c>
      <c r="O278" t="s">
        <v>58</v>
      </c>
      <c r="P278" t="s">
        <v>63</v>
      </c>
      <c r="Q278" t="s">
        <v>137</v>
      </c>
      <c r="R278" t="s">
        <v>140</v>
      </c>
      <c r="S278" t="s">
        <v>67</v>
      </c>
      <c r="T278" t="s">
        <v>170</v>
      </c>
      <c r="U278" t="s">
        <v>325</v>
      </c>
      <c r="V278">
        <v>16</v>
      </c>
      <c r="W278" s="2">
        <v>0</v>
      </c>
    </row>
    <row r="279" spans="1:23" x14ac:dyDescent="0.25">
      <c r="A279" t="s">
        <v>31</v>
      </c>
      <c r="B279" t="s">
        <v>32</v>
      </c>
      <c r="C279" t="s">
        <v>33</v>
      </c>
      <c r="D279" t="s">
        <v>34</v>
      </c>
      <c r="E279" t="s">
        <v>35</v>
      </c>
      <c r="F279" t="s">
        <v>36</v>
      </c>
      <c r="G279">
        <v>1141685</v>
      </c>
      <c r="H279" t="s">
        <v>76</v>
      </c>
      <c r="I279" t="s">
        <v>95</v>
      </c>
      <c r="J279" t="s">
        <v>99</v>
      </c>
      <c r="K279" t="s">
        <v>109</v>
      </c>
      <c r="L279" s="1">
        <v>46143</v>
      </c>
      <c r="M279" s="1">
        <v>46173</v>
      </c>
      <c r="N279">
        <v>2.1501519999999998</v>
      </c>
      <c r="O279" t="s">
        <v>58</v>
      </c>
      <c r="P279" t="s">
        <v>63</v>
      </c>
      <c r="Q279" t="s">
        <v>137</v>
      </c>
      <c r="R279" t="s">
        <v>140</v>
      </c>
      <c r="S279" t="s">
        <v>67</v>
      </c>
      <c r="T279" t="s">
        <v>170</v>
      </c>
      <c r="U279" t="s">
        <v>325</v>
      </c>
      <c r="V279">
        <v>16</v>
      </c>
      <c r="W279" s="2">
        <v>0</v>
      </c>
    </row>
    <row r="280" spans="1:23" x14ac:dyDescent="0.25">
      <c r="A280" t="s">
        <v>31</v>
      </c>
      <c r="B280" t="s">
        <v>32</v>
      </c>
      <c r="C280" t="s">
        <v>33</v>
      </c>
      <c r="D280" t="s">
        <v>34</v>
      </c>
      <c r="E280" t="s">
        <v>35</v>
      </c>
      <c r="F280" t="s">
        <v>36</v>
      </c>
      <c r="G280">
        <v>1141685</v>
      </c>
      <c r="H280" t="s">
        <v>76</v>
      </c>
      <c r="I280" t="s">
        <v>95</v>
      </c>
      <c r="J280" t="s">
        <v>99</v>
      </c>
      <c r="K280" t="s">
        <v>109</v>
      </c>
      <c r="L280" s="1">
        <v>46143</v>
      </c>
      <c r="M280" s="1">
        <v>46173</v>
      </c>
      <c r="N280">
        <v>172.88366400000001</v>
      </c>
      <c r="O280" t="s">
        <v>58</v>
      </c>
      <c r="P280" t="s">
        <v>63</v>
      </c>
      <c r="Q280" t="s">
        <v>137</v>
      </c>
      <c r="R280" t="s">
        <v>140</v>
      </c>
      <c r="S280" t="s">
        <v>67</v>
      </c>
      <c r="T280" t="s">
        <v>170</v>
      </c>
      <c r="U280" t="s">
        <v>325</v>
      </c>
      <c r="V280">
        <v>16</v>
      </c>
      <c r="W280" s="2">
        <v>0</v>
      </c>
    </row>
    <row r="281" spans="1:23" x14ac:dyDescent="0.25">
      <c r="A281" t="s">
        <v>31</v>
      </c>
      <c r="B281" t="s">
        <v>32</v>
      </c>
      <c r="C281" t="s">
        <v>33</v>
      </c>
      <c r="D281" t="s">
        <v>34</v>
      </c>
      <c r="E281" t="s">
        <v>35</v>
      </c>
      <c r="F281" t="s">
        <v>36</v>
      </c>
      <c r="G281">
        <v>1141685</v>
      </c>
      <c r="H281" t="s">
        <v>76</v>
      </c>
      <c r="I281" t="s">
        <v>95</v>
      </c>
      <c r="J281" t="s">
        <v>99</v>
      </c>
      <c r="K281" t="s">
        <v>109</v>
      </c>
      <c r="L281" s="1">
        <v>46143</v>
      </c>
      <c r="M281" s="1">
        <v>46173</v>
      </c>
      <c r="N281">
        <v>0.366674</v>
      </c>
      <c r="O281" t="s">
        <v>58</v>
      </c>
      <c r="P281" t="s">
        <v>63</v>
      </c>
      <c r="Q281" t="s">
        <v>137</v>
      </c>
      <c r="R281" t="s">
        <v>140</v>
      </c>
      <c r="S281" t="s">
        <v>67</v>
      </c>
      <c r="T281" t="s">
        <v>170</v>
      </c>
      <c r="U281" t="s">
        <v>325</v>
      </c>
      <c r="V281">
        <v>16</v>
      </c>
      <c r="W281" s="2">
        <v>0</v>
      </c>
    </row>
    <row r="282" spans="1:23" x14ac:dyDescent="0.25">
      <c r="A282" t="s">
        <v>31</v>
      </c>
      <c r="B282" t="s">
        <v>32</v>
      </c>
      <c r="C282" t="s">
        <v>33</v>
      </c>
      <c r="D282" t="s">
        <v>34</v>
      </c>
      <c r="E282" t="s">
        <v>35</v>
      </c>
      <c r="F282" t="s">
        <v>36</v>
      </c>
      <c r="G282">
        <v>1141685</v>
      </c>
      <c r="H282" t="s">
        <v>75</v>
      </c>
      <c r="I282" t="s">
        <v>94</v>
      </c>
      <c r="J282" t="s">
        <v>98</v>
      </c>
      <c r="K282" t="s">
        <v>108</v>
      </c>
      <c r="L282" s="1">
        <v>46143</v>
      </c>
      <c r="M282" s="1">
        <v>46173</v>
      </c>
      <c r="N282">
        <v>0.5284519419</v>
      </c>
      <c r="O282" t="s">
        <v>56</v>
      </c>
      <c r="P282" t="s">
        <v>63</v>
      </c>
      <c r="Q282" t="s">
        <v>136</v>
      </c>
      <c r="R282" t="s">
        <v>151</v>
      </c>
      <c r="S282" t="s">
        <v>67</v>
      </c>
      <c r="T282" t="s">
        <v>322</v>
      </c>
      <c r="U282" t="s">
        <v>477</v>
      </c>
      <c r="V282">
        <v>16</v>
      </c>
      <c r="W282" s="2">
        <v>1008.8960898701999</v>
      </c>
    </row>
    <row r="283" spans="1:23" x14ac:dyDescent="0.25">
      <c r="A283" t="s">
        <v>31</v>
      </c>
      <c r="B283" t="s">
        <v>32</v>
      </c>
      <c r="C283" t="s">
        <v>33</v>
      </c>
      <c r="D283" t="s">
        <v>34</v>
      </c>
      <c r="E283" t="s">
        <v>35</v>
      </c>
      <c r="F283" t="s">
        <v>36</v>
      </c>
      <c r="G283">
        <v>1141685</v>
      </c>
      <c r="H283" t="s">
        <v>82</v>
      </c>
      <c r="I283" t="s">
        <v>82</v>
      </c>
      <c r="J283" t="s">
        <v>82</v>
      </c>
      <c r="K283" t="s">
        <v>118</v>
      </c>
      <c r="L283" s="1">
        <v>46143</v>
      </c>
      <c r="M283" s="1">
        <v>46173</v>
      </c>
      <c r="N283">
        <v>0.31586900000000001</v>
      </c>
      <c r="O283" t="s">
        <v>60</v>
      </c>
      <c r="P283" t="s">
        <v>63</v>
      </c>
      <c r="Q283" t="s">
        <v>138</v>
      </c>
      <c r="R283" t="s">
        <v>149</v>
      </c>
      <c r="S283" t="s">
        <v>68</v>
      </c>
      <c r="T283" t="s">
        <v>323</v>
      </c>
      <c r="U283" t="s">
        <v>478</v>
      </c>
      <c r="V283">
        <v>7</v>
      </c>
      <c r="W283" s="2">
        <v>2204.2590020472999</v>
      </c>
    </row>
    <row r="284" spans="1:23" x14ac:dyDescent="0.25">
      <c r="A284" t="s">
        <v>31</v>
      </c>
      <c r="B284" t="s">
        <v>32</v>
      </c>
      <c r="C284" t="s">
        <v>33</v>
      </c>
      <c r="D284" t="s">
        <v>34</v>
      </c>
      <c r="E284" t="s">
        <v>35</v>
      </c>
      <c r="F284" t="s">
        <v>36</v>
      </c>
      <c r="G284">
        <v>1141685</v>
      </c>
      <c r="H284" t="s">
        <v>3065</v>
      </c>
      <c r="I284" t="s">
        <v>42</v>
      </c>
      <c r="J284" t="s">
        <v>3065</v>
      </c>
      <c r="K284" t="s">
        <v>3066</v>
      </c>
      <c r="L284" s="4">
        <v>46173</v>
      </c>
      <c r="M284" s="4">
        <v>46173</v>
      </c>
      <c r="N284">
        <v>1143.22</v>
      </c>
      <c r="O284" t="s">
        <v>59</v>
      </c>
      <c r="P284" t="s">
        <v>63</v>
      </c>
      <c r="Q284" t="s">
        <v>3876</v>
      </c>
      <c r="R284" t="s">
        <v>3877</v>
      </c>
      <c r="S284" t="s">
        <v>66</v>
      </c>
      <c r="T284" t="s">
        <v>3878</v>
      </c>
      <c r="U284" t="s">
        <v>3879</v>
      </c>
      <c r="V284">
        <v>7</v>
      </c>
      <c r="W284" s="2">
        <v>29016</v>
      </c>
    </row>
    <row r="285" spans="1:23" x14ac:dyDescent="0.25">
      <c r="A285" t="s">
        <v>31</v>
      </c>
      <c r="B285" t="s">
        <v>32</v>
      </c>
      <c r="C285" t="s">
        <v>33</v>
      </c>
      <c r="D285" t="s">
        <v>34</v>
      </c>
      <c r="E285" t="s">
        <v>35</v>
      </c>
      <c r="F285" t="s">
        <v>36</v>
      </c>
      <c r="G285">
        <v>1141685</v>
      </c>
      <c r="H285" t="s">
        <v>3065</v>
      </c>
      <c r="I285" t="s">
        <v>42</v>
      </c>
      <c r="J285" t="s">
        <v>3065</v>
      </c>
      <c r="K285" t="s">
        <v>3066</v>
      </c>
      <c r="L285" s="4">
        <v>46173</v>
      </c>
      <c r="M285" s="4">
        <v>46173</v>
      </c>
      <c r="N285">
        <v>1143.22</v>
      </c>
      <c r="O285" t="s">
        <v>59</v>
      </c>
      <c r="P285" t="s">
        <v>63</v>
      </c>
      <c r="Q285" t="s">
        <v>3876</v>
      </c>
      <c r="R285" t="s">
        <v>3877</v>
      </c>
      <c r="S285" t="s">
        <v>66</v>
      </c>
      <c r="T285" t="s">
        <v>3878</v>
      </c>
      <c r="U285" t="s">
        <v>3879</v>
      </c>
      <c r="V285">
        <v>7</v>
      </c>
      <c r="W285" s="2">
        <v>29016</v>
      </c>
    </row>
    <row r="286" spans="1:23" x14ac:dyDescent="0.25">
      <c r="A286" t="s">
        <v>31</v>
      </c>
      <c r="B286" t="s">
        <v>32</v>
      </c>
      <c r="C286" t="s">
        <v>33</v>
      </c>
      <c r="D286" t="s">
        <v>34</v>
      </c>
      <c r="E286" t="s">
        <v>35</v>
      </c>
      <c r="F286" t="s">
        <v>36</v>
      </c>
      <c r="G286">
        <v>1141685</v>
      </c>
      <c r="H286" t="s">
        <v>3065</v>
      </c>
      <c r="I286" t="s">
        <v>42</v>
      </c>
      <c r="J286" t="s">
        <v>3065</v>
      </c>
      <c r="K286" t="s">
        <v>3066</v>
      </c>
      <c r="L286" s="4">
        <v>46173</v>
      </c>
      <c r="M286" s="4">
        <v>46173</v>
      </c>
      <c r="N286">
        <v>1143.22</v>
      </c>
      <c r="O286" t="s">
        <v>59</v>
      </c>
      <c r="P286" t="s">
        <v>63</v>
      </c>
      <c r="Q286" t="s">
        <v>3876</v>
      </c>
      <c r="R286" t="s">
        <v>3877</v>
      </c>
      <c r="S286" t="s">
        <v>66</v>
      </c>
      <c r="T286" t="s">
        <v>3878</v>
      </c>
      <c r="U286" t="s">
        <v>3879</v>
      </c>
      <c r="V286">
        <v>7</v>
      </c>
      <c r="W286" s="2">
        <v>29016</v>
      </c>
    </row>
    <row r="287" spans="1:23" x14ac:dyDescent="0.25">
      <c r="A287" t="s">
        <v>31</v>
      </c>
      <c r="B287" t="s">
        <v>32</v>
      </c>
      <c r="C287" t="s">
        <v>33</v>
      </c>
      <c r="D287" t="s">
        <v>34</v>
      </c>
      <c r="E287" t="s">
        <v>35</v>
      </c>
      <c r="F287" t="s">
        <v>36</v>
      </c>
      <c r="G287">
        <v>1141685</v>
      </c>
      <c r="H287" t="s">
        <v>3065</v>
      </c>
      <c r="I287" t="s">
        <v>42</v>
      </c>
      <c r="J287" t="s">
        <v>3065</v>
      </c>
      <c r="K287" t="s">
        <v>3066</v>
      </c>
      <c r="L287" s="4">
        <v>46173</v>
      </c>
      <c r="M287" s="4">
        <v>46173</v>
      </c>
      <c r="N287">
        <v>1143.22</v>
      </c>
      <c r="O287" t="s">
        <v>59</v>
      </c>
      <c r="P287" t="s">
        <v>63</v>
      </c>
      <c r="Q287" t="s">
        <v>3876</v>
      </c>
      <c r="R287" t="s">
        <v>3877</v>
      </c>
      <c r="S287" t="s">
        <v>66</v>
      </c>
      <c r="T287" t="s">
        <v>3878</v>
      </c>
      <c r="U287" t="s">
        <v>3879</v>
      </c>
      <c r="V287">
        <v>7</v>
      </c>
      <c r="W287" s="2">
        <v>29016</v>
      </c>
    </row>
    <row r="288" spans="1:23" x14ac:dyDescent="0.25">
      <c r="A288" t="s">
        <v>31</v>
      </c>
      <c r="B288" t="s">
        <v>32</v>
      </c>
      <c r="C288" t="s">
        <v>33</v>
      </c>
      <c r="D288" t="s">
        <v>34</v>
      </c>
      <c r="E288" t="s">
        <v>35</v>
      </c>
      <c r="F288" t="s">
        <v>36</v>
      </c>
      <c r="G288">
        <v>1141685</v>
      </c>
      <c r="H288" t="s">
        <v>3065</v>
      </c>
      <c r="I288" t="s">
        <v>42</v>
      </c>
      <c r="J288" t="s">
        <v>3065</v>
      </c>
      <c r="K288" t="s">
        <v>3066</v>
      </c>
      <c r="L288" s="4">
        <v>46173</v>
      </c>
      <c r="M288" s="4">
        <v>46173</v>
      </c>
      <c r="N288">
        <v>1143.22</v>
      </c>
      <c r="O288" t="s">
        <v>59</v>
      </c>
      <c r="P288" t="s">
        <v>63</v>
      </c>
      <c r="Q288" t="s">
        <v>3876</v>
      </c>
      <c r="R288" t="s">
        <v>3877</v>
      </c>
      <c r="S288" t="s">
        <v>66</v>
      </c>
      <c r="T288" t="s">
        <v>3878</v>
      </c>
      <c r="U288" t="s">
        <v>3879</v>
      </c>
      <c r="V288">
        <v>7</v>
      </c>
      <c r="W288" s="2">
        <v>29016</v>
      </c>
    </row>
    <row r="289" spans="1:23" x14ac:dyDescent="0.25">
      <c r="A289" t="s">
        <v>31</v>
      </c>
      <c r="B289" t="s">
        <v>32</v>
      </c>
      <c r="C289" t="s">
        <v>33</v>
      </c>
      <c r="D289" t="s">
        <v>34</v>
      </c>
      <c r="E289" t="s">
        <v>35</v>
      </c>
      <c r="F289" t="s">
        <v>36</v>
      </c>
      <c r="G289">
        <v>1141685</v>
      </c>
      <c r="H289" t="s">
        <v>3065</v>
      </c>
      <c r="I289" t="s">
        <v>42</v>
      </c>
      <c r="J289" t="s">
        <v>3065</v>
      </c>
      <c r="K289" t="s">
        <v>3066</v>
      </c>
      <c r="L289" s="4">
        <v>46173</v>
      </c>
      <c r="M289" s="4">
        <v>46173</v>
      </c>
      <c r="N289">
        <v>1143.22</v>
      </c>
      <c r="O289" t="s">
        <v>59</v>
      </c>
      <c r="P289" t="s">
        <v>63</v>
      </c>
      <c r="Q289" t="s">
        <v>3876</v>
      </c>
      <c r="R289" t="s">
        <v>3877</v>
      </c>
      <c r="S289" t="s">
        <v>66</v>
      </c>
      <c r="T289" t="s">
        <v>3878</v>
      </c>
      <c r="U289" t="s">
        <v>3879</v>
      </c>
      <c r="V289">
        <v>7</v>
      </c>
      <c r="W289" s="2">
        <v>29016</v>
      </c>
    </row>
    <row r="290" spans="1:23" x14ac:dyDescent="0.25">
      <c r="A290" t="s">
        <v>31</v>
      </c>
      <c r="B290" t="s">
        <v>32</v>
      </c>
      <c r="C290" t="s">
        <v>33</v>
      </c>
      <c r="D290" t="s">
        <v>34</v>
      </c>
      <c r="E290" t="s">
        <v>35</v>
      </c>
      <c r="F290" t="s">
        <v>36</v>
      </c>
      <c r="G290">
        <v>1141685</v>
      </c>
      <c r="H290" t="s">
        <v>3065</v>
      </c>
      <c r="I290" t="s">
        <v>42</v>
      </c>
      <c r="J290" t="s">
        <v>3065</v>
      </c>
      <c r="K290" t="s">
        <v>3066</v>
      </c>
      <c r="L290" s="4">
        <v>46173</v>
      </c>
      <c r="M290" s="4">
        <v>46173</v>
      </c>
      <c r="N290">
        <v>1143.22</v>
      </c>
      <c r="O290" t="s">
        <v>59</v>
      </c>
      <c r="P290" t="s">
        <v>63</v>
      </c>
      <c r="Q290" t="s">
        <v>3876</v>
      </c>
      <c r="R290" t="s">
        <v>3877</v>
      </c>
      <c r="S290" t="s">
        <v>66</v>
      </c>
      <c r="T290" t="s">
        <v>3878</v>
      </c>
      <c r="U290" t="s">
        <v>3879</v>
      </c>
      <c r="V290">
        <v>7</v>
      </c>
      <c r="W290" s="2">
        <v>29016</v>
      </c>
    </row>
    <row r="291" spans="1:23" x14ac:dyDescent="0.25">
      <c r="A291" t="s">
        <v>31</v>
      </c>
      <c r="B291" t="s">
        <v>32</v>
      </c>
      <c r="C291" t="s">
        <v>33</v>
      </c>
      <c r="D291" t="s">
        <v>34</v>
      </c>
      <c r="E291" t="s">
        <v>35</v>
      </c>
      <c r="F291" t="s">
        <v>36</v>
      </c>
      <c r="G291">
        <v>1141685</v>
      </c>
      <c r="H291" t="s">
        <v>3065</v>
      </c>
      <c r="I291" t="s">
        <v>42</v>
      </c>
      <c r="J291" t="s">
        <v>3065</v>
      </c>
      <c r="K291" t="s">
        <v>3066</v>
      </c>
      <c r="L291" s="4">
        <v>46173</v>
      </c>
      <c r="M291" s="4">
        <v>46173</v>
      </c>
      <c r="N291">
        <v>1143.22</v>
      </c>
      <c r="O291" t="s">
        <v>59</v>
      </c>
      <c r="P291" t="s">
        <v>63</v>
      </c>
      <c r="Q291" t="s">
        <v>3876</v>
      </c>
      <c r="R291" t="s">
        <v>3877</v>
      </c>
      <c r="S291" t="s">
        <v>66</v>
      </c>
      <c r="T291" t="s">
        <v>3878</v>
      </c>
      <c r="U291" t="s">
        <v>3879</v>
      </c>
      <c r="V291">
        <v>7</v>
      </c>
      <c r="W291" s="2">
        <v>29016</v>
      </c>
    </row>
    <row r="292" spans="1:23" x14ac:dyDescent="0.25">
      <c r="A292" t="s">
        <v>31</v>
      </c>
      <c r="B292" t="s">
        <v>32</v>
      </c>
      <c r="C292" t="s">
        <v>33</v>
      </c>
      <c r="D292" t="s">
        <v>34</v>
      </c>
      <c r="E292" t="s">
        <v>35</v>
      </c>
      <c r="F292" t="s">
        <v>36</v>
      </c>
      <c r="G292">
        <v>1141685</v>
      </c>
      <c r="H292" t="s">
        <v>3065</v>
      </c>
      <c r="I292" t="s">
        <v>42</v>
      </c>
      <c r="J292" t="s">
        <v>3065</v>
      </c>
      <c r="K292" t="s">
        <v>3066</v>
      </c>
      <c r="L292" s="4">
        <v>46173</v>
      </c>
      <c r="M292" s="4">
        <v>46173</v>
      </c>
      <c r="N292">
        <v>1143.22</v>
      </c>
      <c r="O292" t="s">
        <v>59</v>
      </c>
      <c r="P292" t="s">
        <v>63</v>
      </c>
      <c r="Q292" t="s">
        <v>3876</v>
      </c>
      <c r="R292" t="s">
        <v>3877</v>
      </c>
      <c r="S292" t="s">
        <v>66</v>
      </c>
      <c r="T292" t="s">
        <v>3878</v>
      </c>
      <c r="U292" t="s">
        <v>3879</v>
      </c>
      <c r="V292">
        <v>7</v>
      </c>
      <c r="W292" s="2">
        <v>29016</v>
      </c>
    </row>
    <row r="293" spans="1:23" x14ac:dyDescent="0.25">
      <c r="A293" t="s">
        <v>31</v>
      </c>
      <c r="B293" t="s">
        <v>32</v>
      </c>
      <c r="C293" t="s">
        <v>33</v>
      </c>
      <c r="D293" t="s">
        <v>34</v>
      </c>
      <c r="E293" t="s">
        <v>35</v>
      </c>
      <c r="F293" t="s">
        <v>36</v>
      </c>
      <c r="G293">
        <v>1141685</v>
      </c>
      <c r="H293" t="s">
        <v>3065</v>
      </c>
      <c r="I293" t="s">
        <v>42</v>
      </c>
      <c r="J293" t="s">
        <v>3065</v>
      </c>
      <c r="K293" t="s">
        <v>3066</v>
      </c>
      <c r="L293" s="4">
        <v>46173</v>
      </c>
      <c r="M293" s="4">
        <v>46173</v>
      </c>
      <c r="N293">
        <v>1143.22</v>
      </c>
      <c r="O293" t="s">
        <v>59</v>
      </c>
      <c r="P293" t="s">
        <v>63</v>
      </c>
      <c r="Q293" t="s">
        <v>3876</v>
      </c>
      <c r="R293" t="s">
        <v>3877</v>
      </c>
      <c r="S293" t="s">
        <v>66</v>
      </c>
      <c r="T293" t="s">
        <v>3878</v>
      </c>
      <c r="U293" t="s">
        <v>3879</v>
      </c>
      <c r="V293">
        <v>7</v>
      </c>
      <c r="W293" s="2">
        <v>29016</v>
      </c>
    </row>
    <row r="294" spans="1:23" x14ac:dyDescent="0.25">
      <c r="A294" t="s">
        <v>31</v>
      </c>
      <c r="B294" t="s">
        <v>32</v>
      </c>
      <c r="C294" t="s">
        <v>33</v>
      </c>
      <c r="D294" t="s">
        <v>34</v>
      </c>
      <c r="E294" t="s">
        <v>35</v>
      </c>
      <c r="F294" t="s">
        <v>36</v>
      </c>
      <c r="G294">
        <v>1141685</v>
      </c>
      <c r="H294" t="s">
        <v>3065</v>
      </c>
      <c r="I294" t="s">
        <v>42</v>
      </c>
      <c r="J294" t="s">
        <v>3065</v>
      </c>
      <c r="K294" t="s">
        <v>3066</v>
      </c>
      <c r="L294" s="4">
        <v>46173</v>
      </c>
      <c r="M294" s="4">
        <v>46173</v>
      </c>
      <c r="N294">
        <v>1143.22</v>
      </c>
      <c r="O294" t="s">
        <v>59</v>
      </c>
      <c r="P294" t="s">
        <v>63</v>
      </c>
      <c r="Q294" t="s">
        <v>3876</v>
      </c>
      <c r="R294" t="s">
        <v>3877</v>
      </c>
      <c r="S294" t="s">
        <v>66</v>
      </c>
      <c r="T294" t="s">
        <v>3878</v>
      </c>
      <c r="U294" t="s">
        <v>3879</v>
      </c>
      <c r="V294">
        <v>7</v>
      </c>
      <c r="W294" s="2">
        <v>29016</v>
      </c>
    </row>
    <row r="295" spans="1:23" x14ac:dyDescent="0.25">
      <c r="A295" t="s">
        <v>31</v>
      </c>
      <c r="B295" t="s">
        <v>32</v>
      </c>
      <c r="C295" t="s">
        <v>33</v>
      </c>
      <c r="D295" t="s">
        <v>34</v>
      </c>
      <c r="E295" t="s">
        <v>35</v>
      </c>
      <c r="F295" t="s">
        <v>36</v>
      </c>
      <c r="G295">
        <v>1141685</v>
      </c>
      <c r="H295" t="s">
        <v>3065</v>
      </c>
      <c r="I295" t="s">
        <v>42</v>
      </c>
      <c r="J295" t="s">
        <v>3065</v>
      </c>
      <c r="K295" t="s">
        <v>3066</v>
      </c>
      <c r="L295" s="4">
        <v>46173</v>
      </c>
      <c r="M295" s="4">
        <v>46173</v>
      </c>
      <c r="N295">
        <v>1143.22</v>
      </c>
      <c r="O295" t="s">
        <v>59</v>
      </c>
      <c r="P295" t="s">
        <v>63</v>
      </c>
      <c r="Q295" t="s">
        <v>3876</v>
      </c>
      <c r="R295" t="s">
        <v>3877</v>
      </c>
      <c r="S295" t="s">
        <v>66</v>
      </c>
      <c r="T295" t="s">
        <v>3878</v>
      </c>
      <c r="U295" t="s">
        <v>3879</v>
      </c>
      <c r="V295">
        <v>7</v>
      </c>
      <c r="W295" s="2">
        <v>29016</v>
      </c>
    </row>
    <row r="296" spans="1:23" x14ac:dyDescent="0.25">
      <c r="A296" t="s">
        <v>31</v>
      </c>
      <c r="B296" t="s">
        <v>32</v>
      </c>
      <c r="C296" t="s">
        <v>33</v>
      </c>
      <c r="D296" t="s">
        <v>34</v>
      </c>
      <c r="E296" t="s">
        <v>35</v>
      </c>
      <c r="F296" t="s">
        <v>36</v>
      </c>
      <c r="G296">
        <v>1141685</v>
      </c>
      <c r="H296" t="s">
        <v>3065</v>
      </c>
      <c r="I296" t="s">
        <v>42</v>
      </c>
      <c r="J296" t="s">
        <v>3065</v>
      </c>
      <c r="K296" t="s">
        <v>3066</v>
      </c>
      <c r="L296" s="4">
        <v>46173</v>
      </c>
      <c r="M296" s="4">
        <v>46173</v>
      </c>
      <c r="N296">
        <v>1143.22</v>
      </c>
      <c r="O296" t="s">
        <v>59</v>
      </c>
      <c r="P296" t="s">
        <v>63</v>
      </c>
      <c r="Q296" t="s">
        <v>3876</v>
      </c>
      <c r="R296" t="s">
        <v>3877</v>
      </c>
      <c r="S296" t="s">
        <v>66</v>
      </c>
      <c r="T296" t="s">
        <v>3878</v>
      </c>
      <c r="U296" t="s">
        <v>3879</v>
      </c>
      <c r="V296">
        <v>7</v>
      </c>
      <c r="W296" s="2">
        <v>29016</v>
      </c>
    </row>
    <row r="297" spans="1:23" x14ac:dyDescent="0.25">
      <c r="A297" t="s">
        <v>31</v>
      </c>
      <c r="B297" t="s">
        <v>32</v>
      </c>
      <c r="C297" t="s">
        <v>33</v>
      </c>
      <c r="D297" t="s">
        <v>34</v>
      </c>
      <c r="E297" t="s">
        <v>35</v>
      </c>
      <c r="F297" t="s">
        <v>36</v>
      </c>
      <c r="G297">
        <v>1141685</v>
      </c>
      <c r="H297" t="s">
        <v>3065</v>
      </c>
      <c r="I297" t="s">
        <v>42</v>
      </c>
      <c r="J297" t="s">
        <v>3065</v>
      </c>
      <c r="K297" t="s">
        <v>3066</v>
      </c>
      <c r="L297" s="4">
        <v>46173</v>
      </c>
      <c r="M297" s="4">
        <v>46173</v>
      </c>
      <c r="N297">
        <v>1143.22</v>
      </c>
      <c r="O297" t="s">
        <v>59</v>
      </c>
      <c r="P297" t="s">
        <v>63</v>
      </c>
      <c r="Q297" t="s">
        <v>3876</v>
      </c>
      <c r="R297" t="s">
        <v>3877</v>
      </c>
      <c r="S297" t="s">
        <v>66</v>
      </c>
      <c r="T297" t="s">
        <v>3878</v>
      </c>
      <c r="U297" t="s">
        <v>3879</v>
      </c>
      <c r="V297">
        <v>7</v>
      </c>
      <c r="W297" s="2">
        <v>29016</v>
      </c>
    </row>
    <row r="298" spans="1:23" x14ac:dyDescent="0.25">
      <c r="A298" t="s">
        <v>31</v>
      </c>
      <c r="B298" t="s">
        <v>32</v>
      </c>
      <c r="C298" t="s">
        <v>33</v>
      </c>
      <c r="D298" t="s">
        <v>34</v>
      </c>
      <c r="E298" t="s">
        <v>35</v>
      </c>
      <c r="F298" t="s">
        <v>36</v>
      </c>
      <c r="G298">
        <v>1141685</v>
      </c>
      <c r="H298" t="s">
        <v>3065</v>
      </c>
      <c r="I298" t="s">
        <v>42</v>
      </c>
      <c r="J298" t="s">
        <v>3065</v>
      </c>
      <c r="K298" t="s">
        <v>3066</v>
      </c>
      <c r="L298" s="4">
        <v>46173</v>
      </c>
      <c r="M298" s="4">
        <v>46173</v>
      </c>
      <c r="N298">
        <v>1143.22</v>
      </c>
      <c r="O298" t="s">
        <v>59</v>
      </c>
      <c r="P298" t="s">
        <v>63</v>
      </c>
      <c r="Q298" t="s">
        <v>3876</v>
      </c>
      <c r="R298" t="s">
        <v>3877</v>
      </c>
      <c r="S298" t="s">
        <v>66</v>
      </c>
      <c r="T298" t="s">
        <v>3878</v>
      </c>
      <c r="U298" t="s">
        <v>3879</v>
      </c>
      <c r="V298">
        <v>7</v>
      </c>
      <c r="W298" s="2">
        <v>29016</v>
      </c>
    </row>
    <row r="299" spans="1:23" x14ac:dyDescent="0.25">
      <c r="A299" t="s">
        <v>31</v>
      </c>
      <c r="B299" t="s">
        <v>32</v>
      </c>
      <c r="C299" t="s">
        <v>33</v>
      </c>
      <c r="D299" t="s">
        <v>34</v>
      </c>
      <c r="E299" t="s">
        <v>35</v>
      </c>
      <c r="F299" t="s">
        <v>36</v>
      </c>
      <c r="G299">
        <v>1141685</v>
      </c>
      <c r="H299" t="s">
        <v>3065</v>
      </c>
      <c r="I299" t="s">
        <v>42</v>
      </c>
      <c r="J299" t="s">
        <v>3065</v>
      </c>
      <c r="K299" t="s">
        <v>3066</v>
      </c>
      <c r="L299" s="4">
        <v>46173</v>
      </c>
      <c r="M299" s="4">
        <v>46173</v>
      </c>
      <c r="N299">
        <v>1143.22</v>
      </c>
      <c r="O299" t="s">
        <v>59</v>
      </c>
      <c r="P299" t="s">
        <v>63</v>
      </c>
      <c r="Q299" t="s">
        <v>3876</v>
      </c>
      <c r="R299" t="s">
        <v>3877</v>
      </c>
      <c r="S299" t="s">
        <v>66</v>
      </c>
      <c r="T299" t="s">
        <v>3878</v>
      </c>
      <c r="U299" t="s">
        <v>3879</v>
      </c>
      <c r="V299">
        <v>7</v>
      </c>
      <c r="W299" s="2">
        <v>29016</v>
      </c>
    </row>
    <row r="300" spans="1:23" x14ac:dyDescent="0.25">
      <c r="A300" t="s">
        <v>31</v>
      </c>
      <c r="B300" t="s">
        <v>32</v>
      </c>
      <c r="C300" t="s">
        <v>33</v>
      </c>
      <c r="D300" t="s">
        <v>34</v>
      </c>
      <c r="E300" t="s">
        <v>35</v>
      </c>
      <c r="F300" t="s">
        <v>36</v>
      </c>
      <c r="G300">
        <v>1141685</v>
      </c>
      <c r="H300" t="s">
        <v>3065</v>
      </c>
      <c r="I300" t="s">
        <v>42</v>
      </c>
      <c r="J300" t="s">
        <v>3065</v>
      </c>
      <c r="K300" t="s">
        <v>3066</v>
      </c>
      <c r="L300" s="4">
        <v>46173</v>
      </c>
      <c r="M300" s="4">
        <v>46173</v>
      </c>
      <c r="N300">
        <v>1143.22</v>
      </c>
      <c r="O300" t="s">
        <v>59</v>
      </c>
      <c r="P300" t="s">
        <v>63</v>
      </c>
      <c r="Q300" t="s">
        <v>3876</v>
      </c>
      <c r="R300" t="s">
        <v>3877</v>
      </c>
      <c r="S300" t="s">
        <v>66</v>
      </c>
      <c r="T300" t="s">
        <v>3878</v>
      </c>
      <c r="U300" t="s">
        <v>3879</v>
      </c>
      <c r="V300">
        <v>7</v>
      </c>
      <c r="W300" s="2">
        <v>29016</v>
      </c>
    </row>
    <row r="301" spans="1:23" x14ac:dyDescent="0.25">
      <c r="A301" t="s">
        <v>31</v>
      </c>
      <c r="B301" t="s">
        <v>32</v>
      </c>
      <c r="C301" t="s">
        <v>33</v>
      </c>
      <c r="D301" t="s">
        <v>34</v>
      </c>
      <c r="E301" t="s">
        <v>35</v>
      </c>
      <c r="F301" t="s">
        <v>36</v>
      </c>
      <c r="G301">
        <v>1141685</v>
      </c>
      <c r="H301" t="s">
        <v>3065</v>
      </c>
      <c r="I301" t="s">
        <v>42</v>
      </c>
      <c r="J301" t="s">
        <v>3065</v>
      </c>
      <c r="K301" t="s">
        <v>3066</v>
      </c>
      <c r="L301" s="4">
        <v>46173</v>
      </c>
      <c r="M301" s="4">
        <v>46173</v>
      </c>
      <c r="N301">
        <v>1143.22</v>
      </c>
      <c r="O301" t="s">
        <v>59</v>
      </c>
      <c r="P301" t="s">
        <v>63</v>
      </c>
      <c r="Q301" t="s">
        <v>3876</v>
      </c>
      <c r="R301" t="s">
        <v>3877</v>
      </c>
      <c r="S301" t="s">
        <v>66</v>
      </c>
      <c r="T301" t="s">
        <v>3878</v>
      </c>
      <c r="U301" t="s">
        <v>3879</v>
      </c>
      <c r="V301">
        <v>7</v>
      </c>
      <c r="W301" s="2">
        <v>29016</v>
      </c>
    </row>
    <row r="302" spans="1:23" x14ac:dyDescent="0.25">
      <c r="A302" t="s">
        <v>31</v>
      </c>
      <c r="B302" t="s">
        <v>32</v>
      </c>
      <c r="C302" t="s">
        <v>33</v>
      </c>
      <c r="D302" t="s">
        <v>34</v>
      </c>
      <c r="E302" t="s">
        <v>35</v>
      </c>
      <c r="F302" t="s">
        <v>36</v>
      </c>
      <c r="G302">
        <v>1141685</v>
      </c>
      <c r="H302" t="s">
        <v>3065</v>
      </c>
      <c r="I302" t="s">
        <v>42</v>
      </c>
      <c r="J302" t="s">
        <v>3065</v>
      </c>
      <c r="K302" t="s">
        <v>3066</v>
      </c>
      <c r="L302" s="4">
        <v>46173</v>
      </c>
      <c r="M302" s="4">
        <v>46173</v>
      </c>
      <c r="N302">
        <v>1143.22</v>
      </c>
      <c r="O302" t="s">
        <v>59</v>
      </c>
      <c r="P302" t="s">
        <v>63</v>
      </c>
      <c r="Q302" t="s">
        <v>3876</v>
      </c>
      <c r="R302" t="s">
        <v>3877</v>
      </c>
      <c r="S302" t="s">
        <v>66</v>
      </c>
      <c r="T302" t="s">
        <v>3878</v>
      </c>
      <c r="U302" t="s">
        <v>3879</v>
      </c>
      <c r="V302">
        <v>7</v>
      </c>
      <c r="W302" s="2">
        <v>29016</v>
      </c>
    </row>
    <row r="303" spans="1:23" x14ac:dyDescent="0.25">
      <c r="A303" t="s">
        <v>31</v>
      </c>
      <c r="B303" t="s">
        <v>32</v>
      </c>
      <c r="C303" t="s">
        <v>33</v>
      </c>
      <c r="D303" t="s">
        <v>34</v>
      </c>
      <c r="E303" t="s">
        <v>35</v>
      </c>
      <c r="F303" t="s">
        <v>36</v>
      </c>
      <c r="G303">
        <v>1141685</v>
      </c>
      <c r="H303" t="s">
        <v>3065</v>
      </c>
      <c r="I303" t="s">
        <v>42</v>
      </c>
      <c r="J303" t="s">
        <v>3065</v>
      </c>
      <c r="K303" t="s">
        <v>3066</v>
      </c>
      <c r="L303" s="4">
        <v>46173</v>
      </c>
      <c r="M303" s="4">
        <v>46173</v>
      </c>
      <c r="N303">
        <v>1143.22</v>
      </c>
      <c r="O303" t="s">
        <v>59</v>
      </c>
      <c r="P303" t="s">
        <v>63</v>
      </c>
      <c r="Q303" t="s">
        <v>3876</v>
      </c>
      <c r="R303" t="s">
        <v>3877</v>
      </c>
      <c r="S303" t="s">
        <v>66</v>
      </c>
      <c r="T303" t="s">
        <v>3878</v>
      </c>
      <c r="U303" t="s">
        <v>3879</v>
      </c>
      <c r="V303">
        <v>7</v>
      </c>
      <c r="W303" s="2">
        <v>29016</v>
      </c>
    </row>
    <row r="304" spans="1:23" x14ac:dyDescent="0.25">
      <c r="A304" t="s">
        <v>31</v>
      </c>
      <c r="B304" t="s">
        <v>32</v>
      </c>
      <c r="C304" t="s">
        <v>33</v>
      </c>
      <c r="D304" t="s">
        <v>34</v>
      </c>
      <c r="E304" t="s">
        <v>35</v>
      </c>
      <c r="F304" t="s">
        <v>36</v>
      </c>
      <c r="G304">
        <v>1141685</v>
      </c>
      <c r="H304" t="s">
        <v>3065</v>
      </c>
      <c r="I304" t="s">
        <v>42</v>
      </c>
      <c r="J304" t="s">
        <v>3065</v>
      </c>
      <c r="K304" t="s">
        <v>3066</v>
      </c>
      <c r="L304" s="4">
        <v>46173</v>
      </c>
      <c r="M304" s="4">
        <v>46173</v>
      </c>
      <c r="N304">
        <v>1143.22</v>
      </c>
      <c r="O304" t="s">
        <v>59</v>
      </c>
      <c r="P304" t="s">
        <v>63</v>
      </c>
      <c r="Q304" t="s">
        <v>3876</v>
      </c>
      <c r="R304" t="s">
        <v>3877</v>
      </c>
      <c r="S304" t="s">
        <v>66</v>
      </c>
      <c r="T304" t="s">
        <v>3878</v>
      </c>
      <c r="U304" t="s">
        <v>3879</v>
      </c>
      <c r="V304">
        <v>7</v>
      </c>
      <c r="W304" s="2">
        <v>29016</v>
      </c>
    </row>
    <row r="305" spans="1:24" x14ac:dyDescent="0.25">
      <c r="A305" t="s">
        <v>31</v>
      </c>
      <c r="B305" t="s">
        <v>32</v>
      </c>
      <c r="C305" t="s">
        <v>33</v>
      </c>
      <c r="D305" t="s">
        <v>34</v>
      </c>
      <c r="E305" t="s">
        <v>35</v>
      </c>
      <c r="F305" t="s">
        <v>36</v>
      </c>
      <c r="G305">
        <v>1141685</v>
      </c>
      <c r="H305" t="s">
        <v>3065</v>
      </c>
      <c r="I305" t="s">
        <v>42</v>
      </c>
      <c r="J305" t="s">
        <v>3065</v>
      </c>
      <c r="K305" t="s">
        <v>3066</v>
      </c>
      <c r="L305" s="4">
        <v>46173</v>
      </c>
      <c r="M305" s="4">
        <v>46173</v>
      </c>
      <c r="N305">
        <v>1143.22</v>
      </c>
      <c r="O305" t="s">
        <v>59</v>
      </c>
      <c r="P305" t="s">
        <v>63</v>
      </c>
      <c r="Q305" t="s">
        <v>3876</v>
      </c>
      <c r="R305" t="s">
        <v>3877</v>
      </c>
      <c r="S305" t="s">
        <v>66</v>
      </c>
      <c r="T305" t="s">
        <v>3878</v>
      </c>
      <c r="U305" t="s">
        <v>3879</v>
      </c>
      <c r="V305">
        <v>7</v>
      </c>
      <c r="W305" s="2">
        <v>29016</v>
      </c>
    </row>
    <row r="306" spans="1:24" x14ac:dyDescent="0.25">
      <c r="A306" t="s">
        <v>31</v>
      </c>
      <c r="B306" t="s">
        <v>32</v>
      </c>
      <c r="C306" t="s">
        <v>33</v>
      </c>
      <c r="D306" t="s">
        <v>34</v>
      </c>
      <c r="E306" t="s">
        <v>35</v>
      </c>
      <c r="F306" t="s">
        <v>36</v>
      </c>
      <c r="G306">
        <v>1141685</v>
      </c>
      <c r="H306" t="s">
        <v>3065</v>
      </c>
      <c r="I306" t="s">
        <v>42</v>
      </c>
      <c r="J306" t="s">
        <v>3065</v>
      </c>
      <c r="K306" t="s">
        <v>3066</v>
      </c>
      <c r="L306" s="4">
        <v>46173</v>
      </c>
      <c r="M306" s="4">
        <v>46173</v>
      </c>
      <c r="N306">
        <v>1143.22</v>
      </c>
      <c r="O306" t="s">
        <v>59</v>
      </c>
      <c r="P306" t="s">
        <v>63</v>
      </c>
      <c r="Q306" t="s">
        <v>3876</v>
      </c>
      <c r="R306" t="s">
        <v>3877</v>
      </c>
      <c r="S306" t="s">
        <v>66</v>
      </c>
      <c r="T306" t="s">
        <v>3878</v>
      </c>
      <c r="U306" t="s">
        <v>3879</v>
      </c>
      <c r="V306">
        <v>7</v>
      </c>
      <c r="W306" s="2">
        <v>29016</v>
      </c>
    </row>
    <row r="307" spans="1:24" x14ac:dyDescent="0.25">
      <c r="A307" t="s">
        <v>31</v>
      </c>
      <c r="B307" t="s">
        <v>32</v>
      </c>
      <c r="C307" t="s">
        <v>33</v>
      </c>
      <c r="D307" t="s">
        <v>34</v>
      </c>
      <c r="E307" t="s">
        <v>35</v>
      </c>
      <c r="F307" t="s">
        <v>36</v>
      </c>
      <c r="G307">
        <v>1141685</v>
      </c>
      <c r="H307" t="s">
        <v>3065</v>
      </c>
      <c r="I307" t="s">
        <v>42</v>
      </c>
      <c r="J307" t="s">
        <v>3065</v>
      </c>
      <c r="K307" t="s">
        <v>3066</v>
      </c>
      <c r="L307" s="4">
        <v>46173</v>
      </c>
      <c r="M307" s="4">
        <v>46173</v>
      </c>
      <c r="N307">
        <v>1143.22</v>
      </c>
      <c r="O307" t="s">
        <v>59</v>
      </c>
      <c r="P307" t="s">
        <v>63</v>
      </c>
      <c r="Q307" t="s">
        <v>3876</v>
      </c>
      <c r="R307" t="s">
        <v>3877</v>
      </c>
      <c r="S307" t="s">
        <v>66</v>
      </c>
      <c r="T307" t="s">
        <v>3878</v>
      </c>
      <c r="U307" t="s">
        <v>3879</v>
      </c>
      <c r="V307">
        <v>7</v>
      </c>
      <c r="W307" s="2">
        <v>29016</v>
      </c>
    </row>
    <row r="308" spans="1:24" x14ac:dyDescent="0.25">
      <c r="A308" t="s">
        <v>31</v>
      </c>
      <c r="B308" t="s">
        <v>32</v>
      </c>
      <c r="C308" t="s">
        <v>33</v>
      </c>
      <c r="D308" t="s">
        <v>34</v>
      </c>
      <c r="E308" t="s">
        <v>35</v>
      </c>
      <c r="F308" t="s">
        <v>36</v>
      </c>
      <c r="G308">
        <v>1141685</v>
      </c>
      <c r="H308" t="s">
        <v>3065</v>
      </c>
      <c r="I308" t="s">
        <v>42</v>
      </c>
      <c r="J308" t="s">
        <v>3065</v>
      </c>
      <c r="K308" t="s">
        <v>3066</v>
      </c>
      <c r="L308" s="4">
        <v>46173</v>
      </c>
      <c r="M308" s="4">
        <v>46173</v>
      </c>
      <c r="N308">
        <v>1143.22</v>
      </c>
      <c r="O308" t="s">
        <v>59</v>
      </c>
      <c r="P308" t="s">
        <v>63</v>
      </c>
      <c r="Q308" t="s">
        <v>3876</v>
      </c>
      <c r="R308" t="s">
        <v>3877</v>
      </c>
      <c r="S308" t="s">
        <v>66</v>
      </c>
      <c r="T308" t="s">
        <v>3878</v>
      </c>
      <c r="U308" t="s">
        <v>3879</v>
      </c>
      <c r="V308">
        <v>7</v>
      </c>
      <c r="W308" s="2">
        <v>29016</v>
      </c>
    </row>
    <row r="309" spans="1:24" x14ac:dyDescent="0.25">
      <c r="A309" t="s">
        <v>31</v>
      </c>
      <c r="B309" t="s">
        <v>32</v>
      </c>
      <c r="C309" t="s">
        <v>33</v>
      </c>
      <c r="D309" t="s">
        <v>34</v>
      </c>
      <c r="E309" t="s">
        <v>35</v>
      </c>
      <c r="F309" t="s">
        <v>36</v>
      </c>
      <c r="G309">
        <v>1141685</v>
      </c>
      <c r="H309" t="s">
        <v>3065</v>
      </c>
      <c r="I309" t="s">
        <v>42</v>
      </c>
      <c r="J309" t="s">
        <v>3065</v>
      </c>
      <c r="K309" t="s">
        <v>3066</v>
      </c>
      <c r="L309" s="4">
        <v>46173</v>
      </c>
      <c r="M309" s="4">
        <v>46173</v>
      </c>
      <c r="N309">
        <v>1143.22</v>
      </c>
      <c r="O309" t="s">
        <v>59</v>
      </c>
      <c r="P309" t="s">
        <v>63</v>
      </c>
      <c r="Q309" t="s">
        <v>3876</v>
      </c>
      <c r="R309" t="s">
        <v>3877</v>
      </c>
      <c r="S309" t="s">
        <v>66</v>
      </c>
      <c r="T309" t="s">
        <v>3878</v>
      </c>
      <c r="U309" t="s">
        <v>3879</v>
      </c>
      <c r="V309">
        <v>7</v>
      </c>
      <c r="W309" s="2">
        <v>29016</v>
      </c>
    </row>
    <row r="310" spans="1:24" x14ac:dyDescent="0.25">
      <c r="A310" t="s">
        <v>31</v>
      </c>
      <c r="B310" t="s">
        <v>32</v>
      </c>
      <c r="C310" t="s">
        <v>33</v>
      </c>
      <c r="D310" t="s">
        <v>34</v>
      </c>
      <c r="E310" t="s">
        <v>35</v>
      </c>
      <c r="F310" t="s">
        <v>36</v>
      </c>
      <c r="G310">
        <v>1141685</v>
      </c>
      <c r="H310" t="s">
        <v>3065</v>
      </c>
      <c r="I310" t="s">
        <v>42</v>
      </c>
      <c r="J310" t="s">
        <v>3065</v>
      </c>
      <c r="K310" t="s">
        <v>3066</v>
      </c>
      <c r="L310" s="4">
        <v>46173</v>
      </c>
      <c r="M310" s="4">
        <v>46173</v>
      </c>
      <c r="N310">
        <v>1143.22</v>
      </c>
      <c r="O310" t="s">
        <v>59</v>
      </c>
      <c r="P310" t="s">
        <v>63</v>
      </c>
      <c r="Q310" t="s">
        <v>3876</v>
      </c>
      <c r="R310" t="s">
        <v>3877</v>
      </c>
      <c r="S310" t="s">
        <v>66</v>
      </c>
      <c r="T310" t="s">
        <v>3878</v>
      </c>
      <c r="U310" t="s">
        <v>3879</v>
      </c>
      <c r="V310">
        <v>7</v>
      </c>
      <c r="W310" s="2">
        <v>29016</v>
      </c>
    </row>
    <row r="311" spans="1:24" x14ac:dyDescent="0.25">
      <c r="A311" t="s">
        <v>31</v>
      </c>
      <c r="B311" t="s">
        <v>32</v>
      </c>
      <c r="C311" t="s">
        <v>33</v>
      </c>
      <c r="D311" t="s">
        <v>34</v>
      </c>
      <c r="E311" t="s">
        <v>35</v>
      </c>
      <c r="F311" t="s">
        <v>36</v>
      </c>
      <c r="G311">
        <v>1141685</v>
      </c>
      <c r="H311" t="s">
        <v>3065</v>
      </c>
      <c r="I311" t="s">
        <v>42</v>
      </c>
      <c r="J311" t="s">
        <v>3065</v>
      </c>
      <c r="K311" t="s">
        <v>3066</v>
      </c>
      <c r="L311" s="4">
        <v>46173</v>
      </c>
      <c r="M311" s="4">
        <v>46173</v>
      </c>
      <c r="N311">
        <v>1143.22</v>
      </c>
      <c r="O311" t="s">
        <v>59</v>
      </c>
      <c r="P311" t="s">
        <v>63</v>
      </c>
      <c r="Q311" t="s">
        <v>3876</v>
      </c>
      <c r="R311" t="s">
        <v>3877</v>
      </c>
      <c r="S311" t="s">
        <v>66</v>
      </c>
      <c r="T311" t="s">
        <v>3878</v>
      </c>
      <c r="U311" t="s">
        <v>3879</v>
      </c>
      <c r="V311">
        <v>7</v>
      </c>
      <c r="W311" s="2">
        <v>29016</v>
      </c>
    </row>
    <row r="312" spans="1:24" x14ac:dyDescent="0.25">
      <c r="A312" t="s">
        <v>31</v>
      </c>
      <c r="B312" t="s">
        <v>32</v>
      </c>
      <c r="C312" t="s">
        <v>33</v>
      </c>
      <c r="D312" t="s">
        <v>34</v>
      </c>
      <c r="E312" t="s">
        <v>35</v>
      </c>
      <c r="F312" t="s">
        <v>36</v>
      </c>
      <c r="G312">
        <v>1141685</v>
      </c>
      <c r="H312" t="s">
        <v>3065</v>
      </c>
      <c r="I312" t="s">
        <v>42</v>
      </c>
      <c r="J312" t="s">
        <v>3065</v>
      </c>
      <c r="K312" t="s">
        <v>3066</v>
      </c>
      <c r="L312" s="4">
        <v>46173</v>
      </c>
      <c r="M312" s="4">
        <v>46173</v>
      </c>
      <c r="N312">
        <v>1143.22</v>
      </c>
      <c r="O312" t="s">
        <v>59</v>
      </c>
      <c r="P312" t="s">
        <v>63</v>
      </c>
      <c r="Q312" t="s">
        <v>3876</v>
      </c>
      <c r="R312" t="s">
        <v>3877</v>
      </c>
      <c r="S312" t="s">
        <v>66</v>
      </c>
      <c r="T312" t="s">
        <v>3878</v>
      </c>
      <c r="U312" t="s">
        <v>3879</v>
      </c>
      <c r="V312">
        <v>7</v>
      </c>
      <c r="W312" s="2">
        <v>29016</v>
      </c>
    </row>
    <row r="313" spans="1:24" x14ac:dyDescent="0.25">
      <c r="A313" t="s">
        <v>31</v>
      </c>
      <c r="B313" t="s">
        <v>32</v>
      </c>
      <c r="C313" t="s">
        <v>33</v>
      </c>
      <c r="D313" t="s">
        <v>34</v>
      </c>
      <c r="E313" t="s">
        <v>35</v>
      </c>
      <c r="F313" t="s">
        <v>36</v>
      </c>
      <c r="G313">
        <v>1141685</v>
      </c>
      <c r="H313" t="s">
        <v>3065</v>
      </c>
      <c r="I313" t="s">
        <v>42</v>
      </c>
      <c r="J313" t="s">
        <v>3065</v>
      </c>
      <c r="K313" t="s">
        <v>3066</v>
      </c>
      <c r="L313" s="4">
        <v>46173</v>
      </c>
      <c r="M313" s="4">
        <v>46173</v>
      </c>
      <c r="N313">
        <v>1143.22</v>
      </c>
      <c r="O313" t="s">
        <v>59</v>
      </c>
      <c r="P313" t="s">
        <v>63</v>
      </c>
      <c r="Q313" t="s">
        <v>3876</v>
      </c>
      <c r="R313" t="s">
        <v>3877</v>
      </c>
      <c r="S313" t="s">
        <v>66</v>
      </c>
      <c r="T313" t="s">
        <v>3878</v>
      </c>
      <c r="U313" t="s">
        <v>3879</v>
      </c>
      <c r="V313">
        <v>7</v>
      </c>
      <c r="W313" s="2">
        <v>29016</v>
      </c>
    </row>
    <row r="314" spans="1:24" x14ac:dyDescent="0.25">
      <c r="A314" t="s">
        <v>31</v>
      </c>
      <c r="B314" t="s">
        <v>32</v>
      </c>
      <c r="C314" t="s">
        <v>33</v>
      </c>
      <c r="D314" t="s">
        <v>34</v>
      </c>
      <c r="E314" t="s">
        <v>35</v>
      </c>
      <c r="F314" t="s">
        <v>36</v>
      </c>
      <c r="G314">
        <v>1141685</v>
      </c>
      <c r="H314" t="s">
        <v>3065</v>
      </c>
      <c r="I314" t="s">
        <v>42</v>
      </c>
      <c r="J314" t="s">
        <v>3065</v>
      </c>
      <c r="K314" t="s">
        <v>3066</v>
      </c>
      <c r="L314" s="4">
        <v>46173</v>
      </c>
      <c r="M314" s="4">
        <v>46173</v>
      </c>
      <c r="N314">
        <v>1143.22</v>
      </c>
      <c r="O314" t="s">
        <v>59</v>
      </c>
      <c r="P314" t="s">
        <v>63</v>
      </c>
      <c r="Q314" t="s">
        <v>3876</v>
      </c>
      <c r="R314" t="s">
        <v>3877</v>
      </c>
      <c r="S314" t="s">
        <v>66</v>
      </c>
      <c r="T314" t="s">
        <v>3878</v>
      </c>
      <c r="U314" t="s">
        <v>3879</v>
      </c>
      <c r="V314">
        <v>7</v>
      </c>
      <c r="W314" s="2">
        <v>29016</v>
      </c>
    </row>
    <row r="315" spans="1:24" x14ac:dyDescent="0.25">
      <c r="A315" t="s">
        <v>31</v>
      </c>
      <c r="B315" s="5" t="s">
        <v>32</v>
      </c>
      <c r="C315" s="5" t="s">
        <v>33</v>
      </c>
      <c r="D315" s="5" t="s">
        <v>34</v>
      </c>
      <c r="E315" s="5" t="s">
        <v>35</v>
      </c>
      <c r="F315" s="5" t="s">
        <v>36</v>
      </c>
      <c r="G315" s="5">
        <v>1141685</v>
      </c>
      <c r="H315" s="5" t="s">
        <v>3880</v>
      </c>
      <c r="I315" s="5" t="str">
        <f t="shared" ref="I315:I317" si="0">IF(LEFT(K315,9)="Standard_","Reserved Instance Virtual Machine",IF(ISNUMBER(SEARCH("SQL Database Single/ElasticPool General Purpose - Compute Gen5",K315)),"Reserved Instance SQL Database",IF(ISNUMBER(SEARCH("SQL Database SingleDB/Elastic Pool Hyperscale - Compute Gen5",K315)),"Reserved Instance Hyperscale Serverless",IF(ISNUMBER(SEARCH("Azure Database for PostgreSQL Flexible Server General Purpose Ddsv4 Series Compute",K315)),"Reserved Instance PostgreSQL",IF(ISNUMBER(SEARCH("Azure Redis Cache Premium",K315)),"Reserved Instance Redis","Reserved Instance")))))</f>
        <v>Reserved Instance SQL Database</v>
      </c>
      <c r="J315" s="5" t="s">
        <v>3880</v>
      </c>
      <c r="K315" s="5" t="str">
        <f t="shared" ref="K315:K317" si="1">H315</f>
        <v>SQL Database Single/ElasticPool General Purpose - Compute Gen5</v>
      </c>
      <c r="L315" s="5" t="s">
        <v>3881</v>
      </c>
      <c r="M315" s="5" t="s">
        <v>3881</v>
      </c>
      <c r="N315" s="5">
        <f t="shared" ref="N315:N317" si="2">U315</f>
        <v>8</v>
      </c>
      <c r="O315" s="5" t="s">
        <v>3882</v>
      </c>
      <c r="P315" s="5" t="s">
        <v>63</v>
      </c>
      <c r="Q315" s="5" t="s">
        <v>3882</v>
      </c>
      <c r="R315" s="5" t="str">
        <f t="shared" ref="R315:R317" si="3">IF(LEFT(K315,9)="Standard_","Virtual Machine",IF(ISNUMBER(SEARCH("SQL Database Single/ElasticPool General Purpose - Compute Gen5",K315)),"SQL Database",IF(ISNUMBER(SEARCH("SQL Database SingleDB/Elastic Pool Hyperscale - Compute Gen5",K315)),"Hyperscale Serverless",IF(ISNUMBER(SEARCH("Azure Database for PostgreSQL Flexible Server General Purpose Ddsv4 Series Compute",K315)),"PostgreSQL",IF(ISNUMBER(SEARCH("Azure Redis Cache Premium",K315)),"Redis",K315)))))</f>
        <v>SQL Database</v>
      </c>
      <c r="S315" s="5" t="s">
        <v>67</v>
      </c>
      <c r="T315" s="5" t="s">
        <v>3882</v>
      </c>
      <c r="U315" s="5">
        <v>8</v>
      </c>
      <c r="V315" s="6">
        <v>1001385</v>
      </c>
      <c r="W315" s="6">
        <f>U315*V315</f>
        <v>8011080</v>
      </c>
      <c r="X315" t="s">
        <v>3883</v>
      </c>
    </row>
    <row r="316" spans="1:24" x14ac:dyDescent="0.25">
      <c r="A316" t="s">
        <v>31</v>
      </c>
      <c r="B316" s="5" t="s">
        <v>32</v>
      </c>
      <c r="C316" s="5" t="s">
        <v>33</v>
      </c>
      <c r="D316" s="5" t="s">
        <v>34</v>
      </c>
      <c r="E316" s="5" t="s">
        <v>3884</v>
      </c>
      <c r="F316" s="5" t="s">
        <v>36</v>
      </c>
      <c r="G316" s="5">
        <v>1141685</v>
      </c>
      <c r="H316" s="5" t="s">
        <v>3885</v>
      </c>
      <c r="I316" s="5" t="str">
        <f t="shared" si="0"/>
        <v>Reserved Instance Virtual Machine</v>
      </c>
      <c r="J316" s="5" t="s">
        <v>3885</v>
      </c>
      <c r="K316" s="5" t="str">
        <f t="shared" si="1"/>
        <v>Standard_D2s_v3</v>
      </c>
      <c r="L316" s="5" t="s">
        <v>3881</v>
      </c>
      <c r="M316" s="5" t="s">
        <v>3881</v>
      </c>
      <c r="N316" s="5">
        <f t="shared" si="2"/>
        <v>3</v>
      </c>
      <c r="O316" s="5" t="s">
        <v>3882</v>
      </c>
      <c r="P316" s="5" t="s">
        <v>63</v>
      </c>
      <c r="Q316" s="5" t="s">
        <v>3882</v>
      </c>
      <c r="R316" s="5" t="str">
        <f t="shared" si="3"/>
        <v>Virtual Machine</v>
      </c>
      <c r="S316" s="5" t="s">
        <v>67</v>
      </c>
      <c r="T316" s="5" t="s">
        <v>3882</v>
      </c>
      <c r="U316" s="5">
        <v>3</v>
      </c>
      <c r="V316" s="6">
        <v>565656.30000000005</v>
      </c>
      <c r="W316" s="6">
        <f>U316*V316</f>
        <v>1696968.9000000001</v>
      </c>
      <c r="X316" t="s">
        <v>3883</v>
      </c>
    </row>
    <row r="317" spans="1:24" x14ac:dyDescent="0.25">
      <c r="A317" t="s">
        <v>31</v>
      </c>
      <c r="B317" s="5" t="s">
        <v>32</v>
      </c>
      <c r="C317" s="5" t="s">
        <v>33</v>
      </c>
      <c r="D317" s="5" t="s">
        <v>34</v>
      </c>
      <c r="E317" s="5" t="s">
        <v>3886</v>
      </c>
      <c r="F317" s="5" t="s">
        <v>36</v>
      </c>
      <c r="G317" s="5">
        <v>1141685</v>
      </c>
      <c r="H317" s="5" t="s">
        <v>3887</v>
      </c>
      <c r="I317" s="5" t="str">
        <f t="shared" si="0"/>
        <v>Reserved Instance Virtual Machine</v>
      </c>
      <c r="J317" s="5" t="s">
        <v>3887</v>
      </c>
      <c r="K317" s="5" t="str">
        <f t="shared" si="1"/>
        <v>Standard_D4s_v3</v>
      </c>
      <c r="L317" s="5" t="s">
        <v>3881</v>
      </c>
      <c r="M317" s="5" t="s">
        <v>3881</v>
      </c>
      <c r="N317" s="5">
        <f t="shared" si="2"/>
        <v>3</v>
      </c>
      <c r="O317" s="5" t="s">
        <v>3882</v>
      </c>
      <c r="P317" s="5" t="s">
        <v>63</v>
      </c>
      <c r="Q317" s="5" t="s">
        <v>3882</v>
      </c>
      <c r="R317" s="5" t="str">
        <f t="shared" si="3"/>
        <v>Virtual Machine</v>
      </c>
      <c r="S317" s="5" t="s">
        <v>67</v>
      </c>
      <c r="T317" s="5" t="s">
        <v>3882</v>
      </c>
      <c r="U317" s="5">
        <v>3</v>
      </c>
      <c r="V317" s="6">
        <v>1131817.5</v>
      </c>
      <c r="W317" s="6">
        <f t="shared" ref="W317" si="4">U317*V317</f>
        <v>3395452.5</v>
      </c>
      <c r="X317" t="s">
        <v>3883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23"/>
  <sheetViews>
    <sheetView workbookViewId="0">
      <selection sqref="A1:W323"/>
    </sheetView>
  </sheetViews>
  <sheetFormatPr defaultRowHeight="15" x14ac:dyDescent="0.25"/>
  <cols>
    <col min="23" max="23" width="15.5703125" bestFit="1" customWidth="1"/>
  </cols>
  <sheetData>
    <row r="1" spans="1:2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9</v>
      </c>
      <c r="S1" t="s">
        <v>27</v>
      </c>
      <c r="T1" t="s">
        <v>28</v>
      </c>
      <c r="U1" t="s">
        <v>29</v>
      </c>
      <c r="V1" t="s">
        <v>30</v>
      </c>
      <c r="W1" t="s">
        <v>8</v>
      </c>
    </row>
    <row r="2" spans="1:23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1141685</v>
      </c>
      <c r="H2" t="s">
        <v>76</v>
      </c>
      <c r="I2" t="s">
        <v>95</v>
      </c>
      <c r="J2" t="s">
        <v>99</v>
      </c>
      <c r="K2" t="s">
        <v>109</v>
      </c>
      <c r="L2" s="1">
        <v>46143</v>
      </c>
      <c r="M2" s="1">
        <v>46173</v>
      </c>
      <c r="N2">
        <v>12.716642</v>
      </c>
      <c r="O2" t="s">
        <v>58</v>
      </c>
      <c r="P2" t="s">
        <v>63</v>
      </c>
      <c r="Q2" t="s">
        <v>480</v>
      </c>
      <c r="R2" t="s">
        <v>484</v>
      </c>
      <c r="S2" t="s">
        <v>67</v>
      </c>
      <c r="T2" t="s">
        <v>507</v>
      </c>
      <c r="U2" t="s">
        <v>692</v>
      </c>
      <c r="V2">
        <v>16</v>
      </c>
      <c r="W2" s="2">
        <v>0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1141685</v>
      </c>
      <c r="H3" t="s">
        <v>76</v>
      </c>
      <c r="I3" t="s">
        <v>95</v>
      </c>
      <c r="J3" t="s">
        <v>99</v>
      </c>
      <c r="K3" t="s">
        <v>109</v>
      </c>
      <c r="L3" s="1">
        <v>46143</v>
      </c>
      <c r="M3" s="1">
        <v>46173</v>
      </c>
      <c r="N3">
        <v>152.531747</v>
      </c>
      <c r="O3" t="s">
        <v>58</v>
      </c>
      <c r="P3" t="s">
        <v>63</v>
      </c>
      <c r="Q3" t="s">
        <v>480</v>
      </c>
      <c r="R3" t="s">
        <v>484</v>
      </c>
      <c r="S3" t="s">
        <v>67</v>
      </c>
      <c r="T3" t="s">
        <v>507</v>
      </c>
      <c r="U3" t="s">
        <v>692</v>
      </c>
      <c r="V3">
        <v>16</v>
      </c>
      <c r="W3" s="2">
        <v>0</v>
      </c>
    </row>
    <row r="4" spans="1:2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1141685</v>
      </c>
      <c r="H4" t="s">
        <v>76</v>
      </c>
      <c r="I4" t="s">
        <v>95</v>
      </c>
      <c r="J4" t="s">
        <v>99</v>
      </c>
      <c r="K4" t="s">
        <v>109</v>
      </c>
      <c r="L4" s="1">
        <v>46143</v>
      </c>
      <c r="M4" s="1">
        <v>46173</v>
      </c>
      <c r="N4">
        <v>0.983352</v>
      </c>
      <c r="O4" t="s">
        <v>58</v>
      </c>
      <c r="P4" t="s">
        <v>63</v>
      </c>
      <c r="Q4" t="s">
        <v>480</v>
      </c>
      <c r="R4" t="s">
        <v>484</v>
      </c>
      <c r="S4" t="s">
        <v>67</v>
      </c>
      <c r="T4" t="s">
        <v>507</v>
      </c>
      <c r="U4" t="s">
        <v>692</v>
      </c>
      <c r="V4">
        <v>16</v>
      </c>
      <c r="W4" s="2">
        <v>0</v>
      </c>
    </row>
    <row r="5" spans="1:23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1141685</v>
      </c>
      <c r="H5" t="s">
        <v>76</v>
      </c>
      <c r="I5" t="s">
        <v>95</v>
      </c>
      <c r="J5" t="s">
        <v>99</v>
      </c>
      <c r="K5" t="s">
        <v>109</v>
      </c>
      <c r="L5" s="1">
        <v>46143</v>
      </c>
      <c r="M5" s="1">
        <v>46173</v>
      </c>
      <c r="N5">
        <v>0.38353900000000002</v>
      </c>
      <c r="O5" t="s">
        <v>58</v>
      </c>
      <c r="P5" t="s">
        <v>63</v>
      </c>
      <c r="Q5" t="s">
        <v>480</v>
      </c>
      <c r="R5" t="s">
        <v>484</v>
      </c>
      <c r="S5" t="s">
        <v>67</v>
      </c>
      <c r="T5" t="s">
        <v>508</v>
      </c>
      <c r="U5" t="s">
        <v>693</v>
      </c>
      <c r="V5">
        <v>15</v>
      </c>
      <c r="W5" s="2">
        <v>0</v>
      </c>
    </row>
    <row r="6" spans="1:23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1141685</v>
      </c>
      <c r="H6" t="s">
        <v>87</v>
      </c>
      <c r="I6" t="s">
        <v>87</v>
      </c>
      <c r="J6" t="s">
        <v>87</v>
      </c>
      <c r="K6" t="s">
        <v>131</v>
      </c>
      <c r="L6" s="1">
        <v>46143</v>
      </c>
      <c r="M6" s="1">
        <v>46173</v>
      </c>
      <c r="N6">
        <v>2799.5886491117999</v>
      </c>
      <c r="O6" t="s">
        <v>56</v>
      </c>
      <c r="P6" t="s">
        <v>63</v>
      </c>
      <c r="Q6" t="s">
        <v>481</v>
      </c>
      <c r="R6" t="s">
        <v>164</v>
      </c>
      <c r="S6" t="s">
        <v>67</v>
      </c>
      <c r="T6" t="s">
        <v>509</v>
      </c>
      <c r="U6" t="s">
        <v>694</v>
      </c>
      <c r="V6">
        <v>12</v>
      </c>
      <c r="W6" s="2">
        <v>244208.11371857961</v>
      </c>
    </row>
    <row r="7" spans="1:23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1141685</v>
      </c>
      <c r="H7" t="s">
        <v>79</v>
      </c>
      <c r="I7" t="s">
        <v>94</v>
      </c>
      <c r="J7" t="s">
        <v>101</v>
      </c>
      <c r="K7" t="s">
        <v>114</v>
      </c>
      <c r="L7" s="1">
        <v>46143</v>
      </c>
      <c r="M7" s="1">
        <v>46173</v>
      </c>
      <c r="N7">
        <v>0.1469083112</v>
      </c>
      <c r="O7" t="s">
        <v>56</v>
      </c>
      <c r="P7" t="s">
        <v>63</v>
      </c>
      <c r="Q7" t="s">
        <v>481</v>
      </c>
      <c r="R7" t="s">
        <v>484</v>
      </c>
      <c r="S7" t="s">
        <v>67</v>
      </c>
      <c r="T7" t="s">
        <v>510</v>
      </c>
      <c r="U7" t="s">
        <v>695</v>
      </c>
      <c r="V7">
        <v>15</v>
      </c>
      <c r="W7" s="2">
        <v>205.03255272929999</v>
      </c>
    </row>
    <row r="8" spans="1:23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1141685</v>
      </c>
      <c r="H8" t="s">
        <v>79</v>
      </c>
      <c r="I8" t="s">
        <v>94</v>
      </c>
      <c r="J8" t="s">
        <v>101</v>
      </c>
      <c r="K8" t="s">
        <v>114</v>
      </c>
      <c r="L8" s="1">
        <v>46143</v>
      </c>
      <c r="M8" s="1">
        <v>46173</v>
      </c>
      <c r="N8">
        <v>0.15740453269999999</v>
      </c>
      <c r="O8" t="s">
        <v>56</v>
      </c>
      <c r="P8" t="s">
        <v>63</v>
      </c>
      <c r="Q8" t="s">
        <v>481</v>
      </c>
      <c r="R8" t="s">
        <v>484</v>
      </c>
      <c r="S8" t="s">
        <v>67</v>
      </c>
      <c r="T8" t="s">
        <v>511</v>
      </c>
      <c r="U8" t="s">
        <v>696</v>
      </c>
      <c r="V8">
        <v>15</v>
      </c>
      <c r="W8" s="2">
        <v>219.68399516049999</v>
      </c>
    </row>
    <row r="9" spans="1:23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1141685</v>
      </c>
      <c r="H9" t="s">
        <v>79</v>
      </c>
      <c r="I9" t="s">
        <v>94</v>
      </c>
      <c r="J9" t="s">
        <v>101</v>
      </c>
      <c r="K9" t="s">
        <v>114</v>
      </c>
      <c r="L9" s="1">
        <v>46143</v>
      </c>
      <c r="M9" s="1">
        <v>46173</v>
      </c>
      <c r="N9">
        <v>3.3529999999999999E-7</v>
      </c>
      <c r="O9" t="s">
        <v>56</v>
      </c>
      <c r="P9" t="s">
        <v>63</v>
      </c>
      <c r="Q9" t="s">
        <v>481</v>
      </c>
      <c r="R9" t="s">
        <v>484</v>
      </c>
      <c r="S9" t="s">
        <v>67</v>
      </c>
      <c r="T9" t="s">
        <v>512</v>
      </c>
      <c r="U9" t="s">
        <v>697</v>
      </c>
      <c r="V9">
        <v>16</v>
      </c>
      <c r="W9" s="2">
        <v>4.1178550000000002E-4</v>
      </c>
    </row>
    <row r="10" spans="1:23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1141685</v>
      </c>
      <c r="H10" t="s">
        <v>76</v>
      </c>
      <c r="I10" t="s">
        <v>95</v>
      </c>
      <c r="J10" t="s">
        <v>99</v>
      </c>
      <c r="K10" t="s">
        <v>109</v>
      </c>
      <c r="L10" s="1">
        <v>46143</v>
      </c>
      <c r="M10" s="1">
        <v>46173</v>
      </c>
      <c r="N10">
        <v>37.599522999999998</v>
      </c>
      <c r="O10" t="s">
        <v>58</v>
      </c>
      <c r="P10" t="s">
        <v>63</v>
      </c>
      <c r="Q10" t="s">
        <v>480</v>
      </c>
      <c r="R10" t="s">
        <v>484</v>
      </c>
      <c r="S10" t="s">
        <v>67</v>
      </c>
      <c r="T10" t="s">
        <v>507</v>
      </c>
      <c r="U10" t="s">
        <v>692</v>
      </c>
      <c r="V10">
        <v>16</v>
      </c>
      <c r="W10" s="2">
        <v>0</v>
      </c>
    </row>
    <row r="11" spans="1:23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1141685</v>
      </c>
      <c r="H11" t="s">
        <v>83</v>
      </c>
      <c r="I11" t="s">
        <v>97</v>
      </c>
      <c r="J11" t="s">
        <v>103</v>
      </c>
      <c r="K11" t="s">
        <v>119</v>
      </c>
      <c r="L11" s="1">
        <v>46143</v>
      </c>
      <c r="M11" s="1">
        <v>46173</v>
      </c>
      <c r="N11">
        <v>434</v>
      </c>
      <c r="O11" t="s">
        <v>58</v>
      </c>
      <c r="P11" t="s">
        <v>63</v>
      </c>
      <c r="Q11" t="s">
        <v>482</v>
      </c>
      <c r="R11" t="s">
        <v>485</v>
      </c>
      <c r="S11" t="s">
        <v>67</v>
      </c>
      <c r="T11" t="s">
        <v>513</v>
      </c>
      <c r="U11" t="s">
        <v>698</v>
      </c>
      <c r="V11">
        <v>6</v>
      </c>
      <c r="W11" s="2">
        <v>756898.97080511996</v>
      </c>
    </row>
    <row r="12" spans="1:23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1141685</v>
      </c>
      <c r="H12" t="s">
        <v>77</v>
      </c>
      <c r="I12" t="s">
        <v>96</v>
      </c>
      <c r="J12" t="s">
        <v>77</v>
      </c>
      <c r="K12" t="s">
        <v>113</v>
      </c>
      <c r="L12" s="1">
        <v>46143</v>
      </c>
      <c r="M12" s="1">
        <v>46173</v>
      </c>
      <c r="N12">
        <v>0.5808303682</v>
      </c>
      <c r="O12" t="s">
        <v>56</v>
      </c>
      <c r="P12" t="s">
        <v>63</v>
      </c>
      <c r="Q12" t="s">
        <v>481</v>
      </c>
      <c r="R12" t="s">
        <v>486</v>
      </c>
      <c r="S12" t="s">
        <v>67</v>
      </c>
      <c r="T12" t="s">
        <v>514</v>
      </c>
      <c r="U12" t="s">
        <v>699</v>
      </c>
      <c r="V12">
        <v>15</v>
      </c>
      <c r="W12" s="2">
        <v>101.33186611329999</v>
      </c>
    </row>
    <row r="13" spans="1:23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1141685</v>
      </c>
      <c r="H13" t="s">
        <v>77</v>
      </c>
      <c r="I13" t="s">
        <v>96</v>
      </c>
      <c r="J13" t="s">
        <v>77</v>
      </c>
      <c r="K13" t="s">
        <v>111</v>
      </c>
      <c r="L13" s="1">
        <v>46143</v>
      </c>
      <c r="M13" s="1">
        <v>46173</v>
      </c>
      <c r="N13">
        <v>3.0481033E-3</v>
      </c>
      <c r="O13" t="s">
        <v>56</v>
      </c>
      <c r="P13" t="s">
        <v>63</v>
      </c>
      <c r="Q13" t="s">
        <v>481</v>
      </c>
      <c r="R13" t="s">
        <v>486</v>
      </c>
      <c r="S13" t="s">
        <v>67</v>
      </c>
      <c r="T13" t="s">
        <v>515</v>
      </c>
      <c r="U13" t="s">
        <v>700</v>
      </c>
      <c r="V13">
        <v>16</v>
      </c>
      <c r="W13" s="2">
        <v>0.52795944989999999</v>
      </c>
    </row>
    <row r="14" spans="1:23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1141685</v>
      </c>
      <c r="H14" t="s">
        <v>77</v>
      </c>
      <c r="I14" t="s">
        <v>96</v>
      </c>
      <c r="J14" t="s">
        <v>77</v>
      </c>
      <c r="K14" t="s">
        <v>110</v>
      </c>
      <c r="L14" s="1">
        <v>46143</v>
      </c>
      <c r="M14" s="1">
        <v>46173</v>
      </c>
      <c r="N14">
        <v>744</v>
      </c>
      <c r="O14" t="s">
        <v>58</v>
      </c>
      <c r="P14" t="s">
        <v>63</v>
      </c>
      <c r="Q14" t="s">
        <v>483</v>
      </c>
      <c r="R14" t="s">
        <v>487</v>
      </c>
      <c r="S14" t="s">
        <v>67</v>
      </c>
      <c r="T14" t="s">
        <v>172</v>
      </c>
      <c r="U14" t="s">
        <v>327</v>
      </c>
      <c r="V14">
        <v>7</v>
      </c>
      <c r="W14" s="2">
        <v>129798.2412</v>
      </c>
    </row>
    <row r="15" spans="1:23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1141685</v>
      </c>
      <c r="H15" t="s">
        <v>77</v>
      </c>
      <c r="I15" t="s">
        <v>96</v>
      </c>
      <c r="J15" t="s">
        <v>77</v>
      </c>
      <c r="K15" t="s">
        <v>110</v>
      </c>
      <c r="L15" s="1">
        <v>46143</v>
      </c>
      <c r="M15" s="1">
        <v>46173</v>
      </c>
      <c r="N15">
        <v>744</v>
      </c>
      <c r="O15" t="s">
        <v>58</v>
      </c>
      <c r="P15" t="s">
        <v>63</v>
      </c>
      <c r="Q15" t="s">
        <v>483</v>
      </c>
      <c r="R15" t="s">
        <v>488</v>
      </c>
      <c r="S15" t="s">
        <v>67</v>
      </c>
      <c r="T15" t="s">
        <v>516</v>
      </c>
      <c r="U15" t="s">
        <v>701</v>
      </c>
      <c r="V15">
        <v>7</v>
      </c>
      <c r="W15" s="2">
        <v>129798.2412</v>
      </c>
    </row>
    <row r="16" spans="1:23" x14ac:dyDescent="0.25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1141685</v>
      </c>
      <c r="H16" t="s">
        <v>77</v>
      </c>
      <c r="I16" t="s">
        <v>96</v>
      </c>
      <c r="J16" t="s">
        <v>77</v>
      </c>
      <c r="K16" t="s">
        <v>111</v>
      </c>
      <c r="L16" s="1">
        <v>46143</v>
      </c>
      <c r="M16" s="1">
        <v>46173</v>
      </c>
      <c r="N16">
        <v>5.6440514075000001</v>
      </c>
      <c r="O16" t="s">
        <v>56</v>
      </c>
      <c r="P16" t="s">
        <v>63</v>
      </c>
      <c r="Q16" t="s">
        <v>481</v>
      </c>
      <c r="R16" t="s">
        <v>484</v>
      </c>
      <c r="S16" t="s">
        <v>67</v>
      </c>
      <c r="T16" t="s">
        <v>517</v>
      </c>
      <c r="U16" t="s">
        <v>702</v>
      </c>
      <c r="V16">
        <v>15</v>
      </c>
      <c r="W16" s="2">
        <v>984.66186352</v>
      </c>
    </row>
    <row r="17" spans="1:23" x14ac:dyDescent="0.25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1141685</v>
      </c>
      <c r="H17" t="s">
        <v>77</v>
      </c>
      <c r="I17" t="s">
        <v>96</v>
      </c>
      <c r="J17" t="s">
        <v>77</v>
      </c>
      <c r="K17" t="s">
        <v>111</v>
      </c>
      <c r="L17" s="1">
        <v>46143</v>
      </c>
      <c r="M17" s="1">
        <v>46173</v>
      </c>
      <c r="N17">
        <v>4.6503336866999998</v>
      </c>
      <c r="O17" t="s">
        <v>56</v>
      </c>
      <c r="P17" t="s">
        <v>63</v>
      </c>
      <c r="Q17" t="s">
        <v>481</v>
      </c>
      <c r="R17" t="s">
        <v>484</v>
      </c>
      <c r="S17" t="s">
        <v>67</v>
      </c>
      <c r="T17" t="s">
        <v>518</v>
      </c>
      <c r="U17" t="s">
        <v>703</v>
      </c>
      <c r="V17">
        <v>15</v>
      </c>
      <c r="W17" s="2">
        <v>811.30154918829999</v>
      </c>
    </row>
    <row r="18" spans="1:23" x14ac:dyDescent="0.2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1141685</v>
      </c>
      <c r="H18" t="s">
        <v>86</v>
      </c>
      <c r="I18" t="s">
        <v>42</v>
      </c>
      <c r="J18" t="s">
        <v>86</v>
      </c>
      <c r="K18" t="s">
        <v>124</v>
      </c>
      <c r="L18" s="1">
        <v>46143</v>
      </c>
      <c r="M18" s="1">
        <v>46173</v>
      </c>
      <c r="N18">
        <v>0.18412800000000001</v>
      </c>
      <c r="O18" t="s">
        <v>135</v>
      </c>
      <c r="P18" t="s">
        <v>63</v>
      </c>
      <c r="Q18" t="s">
        <v>480</v>
      </c>
      <c r="R18" t="s">
        <v>489</v>
      </c>
      <c r="S18" t="s">
        <v>67</v>
      </c>
      <c r="T18" t="s">
        <v>519</v>
      </c>
      <c r="U18" t="s">
        <v>704</v>
      </c>
      <c r="V18">
        <v>16</v>
      </c>
      <c r="W18" s="2">
        <v>63314.380531942399</v>
      </c>
    </row>
    <row r="19" spans="1:23" x14ac:dyDescent="0.2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1141685</v>
      </c>
      <c r="H19" t="s">
        <v>79</v>
      </c>
      <c r="I19" t="s">
        <v>94</v>
      </c>
      <c r="J19" t="s">
        <v>101</v>
      </c>
      <c r="K19" t="s">
        <v>114</v>
      </c>
      <c r="L19" s="1">
        <v>46143</v>
      </c>
      <c r="M19" s="1">
        <v>46173</v>
      </c>
      <c r="N19">
        <v>2.6139338E-3</v>
      </c>
      <c r="O19" t="s">
        <v>56</v>
      </c>
      <c r="P19" t="s">
        <v>63</v>
      </c>
      <c r="Q19" t="s">
        <v>481</v>
      </c>
      <c r="R19" t="s">
        <v>490</v>
      </c>
      <c r="S19" t="s">
        <v>67</v>
      </c>
      <c r="T19" t="s">
        <v>520</v>
      </c>
      <c r="U19" t="s">
        <v>705</v>
      </c>
      <c r="V19">
        <v>17</v>
      </c>
      <c r="W19" s="2">
        <v>3.6504292556000002</v>
      </c>
    </row>
    <row r="20" spans="1:23" x14ac:dyDescent="0.25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1141685</v>
      </c>
      <c r="H20" t="s">
        <v>76</v>
      </c>
      <c r="I20" t="s">
        <v>95</v>
      </c>
      <c r="J20" t="s">
        <v>99</v>
      </c>
      <c r="K20" t="s">
        <v>109</v>
      </c>
      <c r="L20" s="1">
        <v>46143</v>
      </c>
      <c r="M20" s="1">
        <v>46173</v>
      </c>
      <c r="N20">
        <v>0.20000399999999999</v>
      </c>
      <c r="O20" t="s">
        <v>58</v>
      </c>
      <c r="P20" t="s">
        <v>63</v>
      </c>
      <c r="Q20" t="s">
        <v>480</v>
      </c>
      <c r="R20" t="s">
        <v>486</v>
      </c>
      <c r="S20" t="s">
        <v>67</v>
      </c>
      <c r="T20" t="s">
        <v>521</v>
      </c>
      <c r="U20" t="s">
        <v>706</v>
      </c>
      <c r="V20">
        <v>16</v>
      </c>
      <c r="W20" s="2">
        <v>0</v>
      </c>
    </row>
    <row r="21" spans="1:23" x14ac:dyDescent="0.2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1141685</v>
      </c>
      <c r="H21" t="s">
        <v>76</v>
      </c>
      <c r="I21" t="s">
        <v>95</v>
      </c>
      <c r="J21" t="s">
        <v>99</v>
      </c>
      <c r="K21" t="s">
        <v>109</v>
      </c>
      <c r="L21" s="1">
        <v>46143</v>
      </c>
      <c r="M21" s="1">
        <v>46173</v>
      </c>
      <c r="N21">
        <v>0.75003699999999995</v>
      </c>
      <c r="O21" t="s">
        <v>58</v>
      </c>
      <c r="P21" t="s">
        <v>63</v>
      </c>
      <c r="Q21" t="s">
        <v>480</v>
      </c>
      <c r="R21" t="s">
        <v>484</v>
      </c>
      <c r="S21" t="s">
        <v>67</v>
      </c>
      <c r="T21" t="s">
        <v>508</v>
      </c>
      <c r="U21" t="s">
        <v>693</v>
      </c>
      <c r="V21">
        <v>15</v>
      </c>
      <c r="W21" s="2">
        <v>0</v>
      </c>
    </row>
    <row r="22" spans="1:23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1141685</v>
      </c>
      <c r="H22" t="s">
        <v>86</v>
      </c>
      <c r="I22" t="s">
        <v>42</v>
      </c>
      <c r="J22" t="s">
        <v>86</v>
      </c>
      <c r="K22" t="s">
        <v>124</v>
      </c>
      <c r="L22" s="1">
        <v>46143</v>
      </c>
      <c r="M22" s="1">
        <v>46173</v>
      </c>
      <c r="N22">
        <v>0.81501900000000005</v>
      </c>
      <c r="O22" t="s">
        <v>135</v>
      </c>
      <c r="P22" t="s">
        <v>63</v>
      </c>
      <c r="Q22" t="s">
        <v>480</v>
      </c>
      <c r="R22" t="s">
        <v>491</v>
      </c>
      <c r="S22" t="s">
        <v>67</v>
      </c>
      <c r="T22" t="s">
        <v>522</v>
      </c>
      <c r="U22" t="s">
        <v>707</v>
      </c>
      <c r="V22">
        <v>17</v>
      </c>
      <c r="W22" s="2">
        <v>280252.97470223519</v>
      </c>
    </row>
    <row r="23" spans="1:23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1141685</v>
      </c>
      <c r="H23" t="s">
        <v>87</v>
      </c>
      <c r="I23" t="s">
        <v>87</v>
      </c>
      <c r="J23" t="s">
        <v>87</v>
      </c>
      <c r="K23" t="s">
        <v>131</v>
      </c>
      <c r="L23" s="1">
        <v>46143</v>
      </c>
      <c r="M23" s="1">
        <v>46173</v>
      </c>
      <c r="N23">
        <v>43.190592516199999</v>
      </c>
      <c r="O23" t="s">
        <v>56</v>
      </c>
      <c r="P23" t="s">
        <v>63</v>
      </c>
      <c r="Q23" t="s">
        <v>481</v>
      </c>
      <c r="R23" t="s">
        <v>158</v>
      </c>
      <c r="S23" t="s">
        <v>67</v>
      </c>
      <c r="T23" t="s">
        <v>523</v>
      </c>
      <c r="U23" t="s">
        <v>708</v>
      </c>
      <c r="V23">
        <v>12</v>
      </c>
      <c r="W23" s="2">
        <v>3767.5135389623001</v>
      </c>
    </row>
    <row r="24" spans="1:23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1141685</v>
      </c>
      <c r="H24" t="s">
        <v>77</v>
      </c>
      <c r="I24" t="s">
        <v>96</v>
      </c>
      <c r="J24" t="s">
        <v>77</v>
      </c>
      <c r="K24" t="s">
        <v>111</v>
      </c>
      <c r="L24" s="1">
        <v>46143</v>
      </c>
      <c r="M24" s="1">
        <v>46173</v>
      </c>
      <c r="N24">
        <v>9.1650999999999997E-6</v>
      </c>
      <c r="O24" t="s">
        <v>56</v>
      </c>
      <c r="P24" t="s">
        <v>63</v>
      </c>
      <c r="Q24" t="s">
        <v>483</v>
      </c>
      <c r="R24" t="s">
        <v>488</v>
      </c>
      <c r="S24" t="s">
        <v>67</v>
      </c>
      <c r="T24" t="s">
        <v>524</v>
      </c>
      <c r="U24" t="s">
        <v>709</v>
      </c>
      <c r="V24">
        <v>7</v>
      </c>
      <c r="W24" s="2">
        <v>1.4070770000000001E-3</v>
      </c>
    </row>
    <row r="25" spans="1:23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1141685</v>
      </c>
      <c r="H25" t="s">
        <v>79</v>
      </c>
      <c r="I25" t="s">
        <v>94</v>
      </c>
      <c r="J25" t="s">
        <v>101</v>
      </c>
      <c r="K25" t="s">
        <v>114</v>
      </c>
      <c r="L25" s="1">
        <v>46143</v>
      </c>
      <c r="M25" s="1">
        <v>46173</v>
      </c>
      <c r="N25">
        <v>5.5879999999999995E-7</v>
      </c>
      <c r="O25" t="s">
        <v>56</v>
      </c>
      <c r="P25" t="s">
        <v>63</v>
      </c>
      <c r="Q25" t="s">
        <v>481</v>
      </c>
      <c r="R25" t="s">
        <v>484</v>
      </c>
      <c r="S25" t="s">
        <v>67</v>
      </c>
      <c r="T25" t="s">
        <v>525</v>
      </c>
      <c r="U25" t="s">
        <v>710</v>
      </c>
      <c r="V25">
        <v>16</v>
      </c>
      <c r="W25" s="2">
        <v>6.8630929999999996E-4</v>
      </c>
    </row>
    <row r="26" spans="1:23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1141685</v>
      </c>
      <c r="H26" t="s">
        <v>77</v>
      </c>
      <c r="I26" t="s">
        <v>96</v>
      </c>
      <c r="J26" t="s">
        <v>77</v>
      </c>
      <c r="K26" t="s">
        <v>113</v>
      </c>
      <c r="L26" s="1">
        <v>46143</v>
      </c>
      <c r="M26" s="1">
        <v>46173</v>
      </c>
      <c r="N26">
        <v>182.54795371649999</v>
      </c>
      <c r="O26" t="s">
        <v>56</v>
      </c>
      <c r="P26" t="s">
        <v>63</v>
      </c>
      <c r="Q26" t="s">
        <v>481</v>
      </c>
      <c r="R26" t="s">
        <v>484</v>
      </c>
      <c r="S26" t="s">
        <v>67</v>
      </c>
      <c r="T26" t="s">
        <v>526</v>
      </c>
      <c r="U26" t="s">
        <v>711</v>
      </c>
      <c r="V26">
        <v>16</v>
      </c>
      <c r="W26" s="2">
        <v>31847.318084731702</v>
      </c>
    </row>
    <row r="27" spans="1:23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1141685</v>
      </c>
      <c r="H27" t="s">
        <v>77</v>
      </c>
      <c r="I27" t="s">
        <v>96</v>
      </c>
      <c r="J27" t="s">
        <v>77</v>
      </c>
      <c r="K27" t="s">
        <v>113</v>
      </c>
      <c r="L27" s="1">
        <v>46143</v>
      </c>
      <c r="M27" s="1">
        <v>46173</v>
      </c>
      <c r="N27">
        <v>3.4238472999999999E-3</v>
      </c>
      <c r="O27" t="s">
        <v>56</v>
      </c>
      <c r="P27" t="s">
        <v>63</v>
      </c>
      <c r="Q27" t="s">
        <v>481</v>
      </c>
      <c r="R27" t="s">
        <v>484</v>
      </c>
      <c r="S27" t="s">
        <v>67</v>
      </c>
      <c r="T27" t="s">
        <v>527</v>
      </c>
      <c r="U27" t="s">
        <v>712</v>
      </c>
      <c r="V27">
        <v>16</v>
      </c>
      <c r="W27" s="2">
        <v>0.59564546550000008</v>
      </c>
    </row>
    <row r="28" spans="1:23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1141685</v>
      </c>
      <c r="H28" t="s">
        <v>77</v>
      </c>
      <c r="I28" t="s">
        <v>96</v>
      </c>
      <c r="J28" t="s">
        <v>77</v>
      </c>
      <c r="K28" t="s">
        <v>113</v>
      </c>
      <c r="L28" s="1">
        <v>46143</v>
      </c>
      <c r="M28" s="1">
        <v>46173</v>
      </c>
      <c r="N28">
        <v>22.5396266636</v>
      </c>
      <c r="O28" t="s">
        <v>56</v>
      </c>
      <c r="P28" t="s">
        <v>63</v>
      </c>
      <c r="Q28" t="s">
        <v>481</v>
      </c>
      <c r="R28" t="s">
        <v>484</v>
      </c>
      <c r="S28" t="s">
        <v>67</v>
      </c>
      <c r="T28" t="s">
        <v>528</v>
      </c>
      <c r="U28" t="s">
        <v>713</v>
      </c>
      <c r="V28">
        <v>16</v>
      </c>
      <c r="W28" s="2">
        <v>3932.2616755962999</v>
      </c>
    </row>
    <row r="29" spans="1:23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1141685</v>
      </c>
      <c r="H29" t="s">
        <v>76</v>
      </c>
      <c r="I29" t="s">
        <v>95</v>
      </c>
      <c r="J29" t="s">
        <v>99</v>
      </c>
      <c r="K29" t="s">
        <v>109</v>
      </c>
      <c r="L29" s="1">
        <v>46143</v>
      </c>
      <c r="M29" s="1">
        <v>46173</v>
      </c>
      <c r="N29">
        <v>88.115358000000001</v>
      </c>
      <c r="O29" t="s">
        <v>58</v>
      </c>
      <c r="P29" t="s">
        <v>63</v>
      </c>
      <c r="Q29" t="s">
        <v>480</v>
      </c>
      <c r="R29" t="s">
        <v>484</v>
      </c>
      <c r="S29" t="s">
        <v>67</v>
      </c>
      <c r="T29" t="s">
        <v>507</v>
      </c>
      <c r="U29" t="s">
        <v>692</v>
      </c>
      <c r="V29">
        <v>16</v>
      </c>
      <c r="W29" s="2">
        <v>0</v>
      </c>
    </row>
    <row r="30" spans="1:23" x14ac:dyDescent="0.25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1141685</v>
      </c>
      <c r="H30" t="s">
        <v>80</v>
      </c>
      <c r="I30" t="s">
        <v>96</v>
      </c>
      <c r="J30" t="s">
        <v>80</v>
      </c>
      <c r="K30" t="s">
        <v>115</v>
      </c>
      <c r="L30" s="1">
        <v>46143</v>
      </c>
      <c r="M30" s="1">
        <v>46173</v>
      </c>
      <c r="N30">
        <v>1.497604E-4</v>
      </c>
      <c r="O30" t="s">
        <v>56</v>
      </c>
      <c r="P30" t="s">
        <v>63</v>
      </c>
      <c r="Q30" t="s">
        <v>481</v>
      </c>
      <c r="R30" t="s">
        <v>484</v>
      </c>
      <c r="S30" t="s">
        <v>67</v>
      </c>
      <c r="T30" t="s">
        <v>529</v>
      </c>
      <c r="U30" t="s">
        <v>714</v>
      </c>
      <c r="V30">
        <v>16</v>
      </c>
      <c r="W30" s="2">
        <v>2.29919346E-2</v>
      </c>
    </row>
    <row r="31" spans="1:23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1141685</v>
      </c>
      <c r="H31" t="s">
        <v>77</v>
      </c>
      <c r="I31" t="s">
        <v>96</v>
      </c>
      <c r="J31" t="s">
        <v>77</v>
      </c>
      <c r="K31" t="s">
        <v>111</v>
      </c>
      <c r="L31" s="1">
        <v>46143</v>
      </c>
      <c r="M31" s="1">
        <v>46173</v>
      </c>
      <c r="N31">
        <v>3.6416498264000001</v>
      </c>
      <c r="O31" t="s">
        <v>56</v>
      </c>
      <c r="P31" t="s">
        <v>63</v>
      </c>
      <c r="Q31" t="s">
        <v>481</v>
      </c>
      <c r="R31" t="s">
        <v>486</v>
      </c>
      <c r="S31" t="s">
        <v>67</v>
      </c>
      <c r="T31" t="s">
        <v>530</v>
      </c>
      <c r="U31" t="s">
        <v>715</v>
      </c>
      <c r="V31">
        <v>16</v>
      </c>
      <c r="W31" s="2">
        <v>635.32356127160006</v>
      </c>
    </row>
    <row r="32" spans="1:23" x14ac:dyDescent="0.25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1141685</v>
      </c>
      <c r="H32" t="s">
        <v>77</v>
      </c>
      <c r="I32" t="s">
        <v>96</v>
      </c>
      <c r="J32" t="s">
        <v>77</v>
      </c>
      <c r="K32" t="s">
        <v>110</v>
      </c>
      <c r="L32" s="1">
        <v>46143</v>
      </c>
      <c r="M32" s="1">
        <v>46173</v>
      </c>
      <c r="N32">
        <v>744</v>
      </c>
      <c r="O32" t="s">
        <v>58</v>
      </c>
      <c r="P32" t="s">
        <v>63</v>
      </c>
      <c r="Q32" t="s">
        <v>483</v>
      </c>
      <c r="R32" t="s">
        <v>492</v>
      </c>
      <c r="S32" t="s">
        <v>67</v>
      </c>
      <c r="T32" t="s">
        <v>531</v>
      </c>
      <c r="U32" t="s">
        <v>716</v>
      </c>
      <c r="V32">
        <v>7</v>
      </c>
      <c r="W32" s="2">
        <v>129798.2412</v>
      </c>
    </row>
    <row r="33" spans="1:23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1141685</v>
      </c>
      <c r="H33" t="s">
        <v>77</v>
      </c>
      <c r="I33" t="s">
        <v>96</v>
      </c>
      <c r="J33" t="s">
        <v>77</v>
      </c>
      <c r="K33" t="s">
        <v>110</v>
      </c>
      <c r="L33" s="1">
        <v>46143</v>
      </c>
      <c r="M33" s="1">
        <v>46173</v>
      </c>
      <c r="N33">
        <v>744</v>
      </c>
      <c r="O33" t="s">
        <v>58</v>
      </c>
      <c r="P33" t="s">
        <v>63</v>
      </c>
      <c r="Q33" t="s">
        <v>483</v>
      </c>
      <c r="R33" t="s">
        <v>493</v>
      </c>
      <c r="S33" t="s">
        <v>67</v>
      </c>
      <c r="T33" t="s">
        <v>532</v>
      </c>
      <c r="U33" t="s">
        <v>717</v>
      </c>
      <c r="V33">
        <v>8</v>
      </c>
      <c r="W33" s="2">
        <v>129798.2412</v>
      </c>
    </row>
    <row r="34" spans="1:23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>
        <v>1141685</v>
      </c>
      <c r="H34" t="s">
        <v>79</v>
      </c>
      <c r="I34" t="s">
        <v>94</v>
      </c>
      <c r="J34" t="s">
        <v>101</v>
      </c>
      <c r="K34" t="s">
        <v>116</v>
      </c>
      <c r="L34" s="1">
        <v>46143</v>
      </c>
      <c r="M34" s="1">
        <v>46173</v>
      </c>
      <c r="N34">
        <v>1.40751E-5</v>
      </c>
      <c r="O34" t="s">
        <v>56</v>
      </c>
      <c r="P34" t="s">
        <v>63</v>
      </c>
      <c r="Q34" t="s">
        <v>481</v>
      </c>
      <c r="R34" t="s">
        <v>484</v>
      </c>
      <c r="S34" t="s">
        <v>67</v>
      </c>
      <c r="T34" t="s">
        <v>533</v>
      </c>
      <c r="U34" t="s">
        <v>718</v>
      </c>
      <c r="V34">
        <v>16</v>
      </c>
      <c r="W34" s="2">
        <v>1.7286988199999999E-2</v>
      </c>
    </row>
    <row r="35" spans="1:23" x14ac:dyDescent="0.25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>
        <v>1141685</v>
      </c>
      <c r="H35" t="s">
        <v>77</v>
      </c>
      <c r="I35" t="s">
        <v>96</v>
      </c>
      <c r="J35" t="s">
        <v>77</v>
      </c>
      <c r="K35" t="s">
        <v>113</v>
      </c>
      <c r="L35" s="1">
        <v>46143</v>
      </c>
      <c r="M35" s="1">
        <v>46173</v>
      </c>
      <c r="N35">
        <v>321.22846146860002</v>
      </c>
      <c r="O35" t="s">
        <v>56</v>
      </c>
      <c r="P35" t="s">
        <v>63</v>
      </c>
      <c r="Q35" t="s">
        <v>481</v>
      </c>
      <c r="R35" t="s">
        <v>484</v>
      </c>
      <c r="S35" t="s">
        <v>67</v>
      </c>
      <c r="T35" t="s">
        <v>534</v>
      </c>
      <c r="U35" t="s">
        <v>719</v>
      </c>
      <c r="V35">
        <v>16</v>
      </c>
      <c r="W35" s="2">
        <v>56041.515301273314</v>
      </c>
    </row>
    <row r="36" spans="1:23" x14ac:dyDescent="0.25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>
        <v>1141685</v>
      </c>
      <c r="H36" t="s">
        <v>93</v>
      </c>
      <c r="I36" t="s">
        <v>93</v>
      </c>
      <c r="J36" t="s">
        <v>93</v>
      </c>
      <c r="K36" t="s">
        <v>133</v>
      </c>
      <c r="L36" s="1">
        <v>46143</v>
      </c>
      <c r="M36" s="1">
        <v>46173</v>
      </c>
      <c r="N36">
        <v>743.97283662919995</v>
      </c>
      <c r="O36" t="s">
        <v>58</v>
      </c>
      <c r="P36" t="s">
        <v>63</v>
      </c>
      <c r="Q36" t="s">
        <v>482</v>
      </c>
      <c r="R36" t="s">
        <v>494</v>
      </c>
      <c r="S36" t="s">
        <v>67</v>
      </c>
      <c r="T36" t="s">
        <v>535</v>
      </c>
      <c r="U36" t="s">
        <v>720</v>
      </c>
      <c r="V36">
        <v>10</v>
      </c>
      <c r="W36" s="2">
        <v>1297935.009489377</v>
      </c>
    </row>
    <row r="37" spans="1:23" x14ac:dyDescent="0.25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>
        <v>1141685</v>
      </c>
      <c r="H37" t="s">
        <v>86</v>
      </c>
      <c r="I37" t="s">
        <v>42</v>
      </c>
      <c r="J37" t="s">
        <v>86</v>
      </c>
      <c r="K37" t="s">
        <v>132</v>
      </c>
      <c r="L37" s="1">
        <v>46143</v>
      </c>
      <c r="M37" s="1">
        <v>46173</v>
      </c>
      <c r="N37">
        <v>0.99907100000000004</v>
      </c>
      <c r="O37" t="s">
        <v>135</v>
      </c>
      <c r="P37" t="s">
        <v>63</v>
      </c>
      <c r="Q37" t="s">
        <v>480</v>
      </c>
      <c r="R37" t="s">
        <v>495</v>
      </c>
      <c r="S37" t="s">
        <v>67</v>
      </c>
      <c r="T37" t="s">
        <v>536</v>
      </c>
      <c r="U37" t="s">
        <v>721</v>
      </c>
      <c r="V37">
        <v>10</v>
      </c>
      <c r="W37" s="2">
        <v>177905.89649283851</v>
      </c>
    </row>
    <row r="38" spans="1:23" x14ac:dyDescent="0.25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>
        <v>1141685</v>
      </c>
      <c r="H38" t="s">
        <v>89</v>
      </c>
      <c r="I38" t="s">
        <v>89</v>
      </c>
      <c r="J38" t="s">
        <v>89</v>
      </c>
      <c r="K38" t="s">
        <v>127</v>
      </c>
      <c r="L38" s="1">
        <v>46143</v>
      </c>
      <c r="M38" s="1">
        <v>46173</v>
      </c>
      <c r="N38">
        <v>3.5500000000000001E-4</v>
      </c>
      <c r="O38" t="s">
        <v>60</v>
      </c>
      <c r="P38" t="s">
        <v>63</v>
      </c>
      <c r="Q38" t="s">
        <v>482</v>
      </c>
      <c r="R38" t="s">
        <v>496</v>
      </c>
      <c r="S38" t="s">
        <v>67</v>
      </c>
      <c r="T38" t="s">
        <v>537</v>
      </c>
      <c r="U38" t="s">
        <v>722</v>
      </c>
      <c r="V38">
        <v>8</v>
      </c>
      <c r="W38" s="2">
        <v>0</v>
      </c>
    </row>
    <row r="39" spans="1:23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>
        <v>1141685</v>
      </c>
      <c r="H39" t="s">
        <v>82</v>
      </c>
      <c r="I39" t="s">
        <v>82</v>
      </c>
      <c r="J39" t="s">
        <v>82</v>
      </c>
      <c r="K39" t="s">
        <v>120</v>
      </c>
      <c r="L39" s="1">
        <v>46143</v>
      </c>
      <c r="M39" s="1">
        <v>46173</v>
      </c>
      <c r="N39">
        <v>1</v>
      </c>
      <c r="O39" t="s">
        <v>61</v>
      </c>
      <c r="P39" t="s">
        <v>63</v>
      </c>
      <c r="Q39" t="s">
        <v>483</v>
      </c>
      <c r="R39" t="s">
        <v>149</v>
      </c>
      <c r="S39" t="s">
        <v>68</v>
      </c>
      <c r="T39" t="s">
        <v>538</v>
      </c>
      <c r="U39" t="s">
        <v>723</v>
      </c>
      <c r="V39">
        <v>7</v>
      </c>
      <c r="W39" s="2">
        <v>2691.9341720419998</v>
      </c>
    </row>
    <row r="40" spans="1:23" x14ac:dyDescent="0.25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>
        <v>1141685</v>
      </c>
      <c r="H40" t="s">
        <v>81</v>
      </c>
      <c r="I40" t="s">
        <v>97</v>
      </c>
      <c r="J40" t="s">
        <v>102</v>
      </c>
      <c r="K40" t="s">
        <v>117</v>
      </c>
      <c r="L40" s="1">
        <v>46143</v>
      </c>
      <c r="M40" s="1">
        <v>46173</v>
      </c>
      <c r="N40">
        <v>4</v>
      </c>
      <c r="O40" t="s">
        <v>58</v>
      </c>
      <c r="P40" t="s">
        <v>63</v>
      </c>
      <c r="Q40" t="s">
        <v>482</v>
      </c>
      <c r="R40" t="s">
        <v>485</v>
      </c>
      <c r="S40" t="s">
        <v>67</v>
      </c>
      <c r="T40" t="s">
        <v>70</v>
      </c>
      <c r="U40" t="s">
        <v>73</v>
      </c>
      <c r="V40">
        <v>6</v>
      </c>
      <c r="W40" s="2">
        <v>0</v>
      </c>
    </row>
    <row r="41" spans="1:23" x14ac:dyDescent="0.25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>
        <v>1141685</v>
      </c>
      <c r="H41" t="s">
        <v>76</v>
      </c>
      <c r="I41" t="s">
        <v>95</v>
      </c>
      <c r="J41" t="s">
        <v>99</v>
      </c>
      <c r="K41" t="s">
        <v>109</v>
      </c>
      <c r="L41" s="1">
        <v>46143</v>
      </c>
      <c r="M41" s="1">
        <v>46173</v>
      </c>
      <c r="N41">
        <v>1.6646999999999999E-2</v>
      </c>
      <c r="O41" t="s">
        <v>58</v>
      </c>
      <c r="P41" t="s">
        <v>63</v>
      </c>
      <c r="Q41" t="s">
        <v>480</v>
      </c>
      <c r="R41" t="s">
        <v>486</v>
      </c>
      <c r="S41" t="s">
        <v>67</v>
      </c>
      <c r="T41" t="s">
        <v>521</v>
      </c>
      <c r="U41" t="s">
        <v>706</v>
      </c>
      <c r="V41">
        <v>16</v>
      </c>
      <c r="W41" s="2">
        <v>0</v>
      </c>
    </row>
    <row r="42" spans="1:23" x14ac:dyDescent="0.25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>
        <v>1141685</v>
      </c>
      <c r="H42" t="s">
        <v>76</v>
      </c>
      <c r="I42" t="s">
        <v>95</v>
      </c>
      <c r="J42" t="s">
        <v>99</v>
      </c>
      <c r="K42" t="s">
        <v>109</v>
      </c>
      <c r="L42" s="1">
        <v>46143</v>
      </c>
      <c r="M42" s="1">
        <v>46173</v>
      </c>
      <c r="N42">
        <v>0.66667699999999996</v>
      </c>
      <c r="O42" t="s">
        <v>58</v>
      </c>
      <c r="P42" t="s">
        <v>63</v>
      </c>
      <c r="Q42" t="s">
        <v>480</v>
      </c>
      <c r="R42" t="s">
        <v>486</v>
      </c>
      <c r="S42" t="s">
        <v>67</v>
      </c>
      <c r="T42" t="s">
        <v>521</v>
      </c>
      <c r="U42" t="s">
        <v>706</v>
      </c>
      <c r="V42">
        <v>16</v>
      </c>
      <c r="W42" s="2">
        <v>0</v>
      </c>
    </row>
    <row r="43" spans="1:23" x14ac:dyDescent="0.2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>
        <v>1141685</v>
      </c>
      <c r="H43" t="s">
        <v>76</v>
      </c>
      <c r="I43" t="s">
        <v>95</v>
      </c>
      <c r="J43" t="s">
        <v>99</v>
      </c>
      <c r="K43" t="s">
        <v>109</v>
      </c>
      <c r="L43" s="1">
        <v>46143</v>
      </c>
      <c r="M43" s="1">
        <v>46173</v>
      </c>
      <c r="N43">
        <v>168.566678</v>
      </c>
      <c r="O43" t="s">
        <v>58</v>
      </c>
      <c r="P43" t="s">
        <v>63</v>
      </c>
      <c r="Q43" t="s">
        <v>480</v>
      </c>
      <c r="R43" t="s">
        <v>486</v>
      </c>
      <c r="S43" t="s">
        <v>67</v>
      </c>
      <c r="T43" t="s">
        <v>521</v>
      </c>
      <c r="U43" t="s">
        <v>706</v>
      </c>
      <c r="V43">
        <v>16</v>
      </c>
      <c r="W43" s="2">
        <v>0</v>
      </c>
    </row>
    <row r="44" spans="1:23" x14ac:dyDescent="0.25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>
        <v>1141685</v>
      </c>
      <c r="H44" t="s">
        <v>76</v>
      </c>
      <c r="I44" t="s">
        <v>95</v>
      </c>
      <c r="J44" t="s">
        <v>99</v>
      </c>
      <c r="K44" t="s">
        <v>109</v>
      </c>
      <c r="L44" s="1">
        <v>46143</v>
      </c>
      <c r="M44" s="1">
        <v>46173</v>
      </c>
      <c r="N44">
        <v>76</v>
      </c>
      <c r="O44" t="s">
        <v>58</v>
      </c>
      <c r="P44" t="s">
        <v>63</v>
      </c>
      <c r="Q44" t="s">
        <v>480</v>
      </c>
      <c r="R44" t="s">
        <v>486</v>
      </c>
      <c r="S44" t="s">
        <v>67</v>
      </c>
      <c r="T44" t="s">
        <v>521</v>
      </c>
      <c r="U44" t="s">
        <v>706</v>
      </c>
      <c r="V44">
        <v>16</v>
      </c>
      <c r="W44" s="2">
        <v>0</v>
      </c>
    </row>
    <row r="45" spans="1:23" x14ac:dyDescent="0.25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>
        <v>1141685</v>
      </c>
      <c r="H45" t="s">
        <v>76</v>
      </c>
      <c r="I45" t="s">
        <v>95</v>
      </c>
      <c r="J45" t="s">
        <v>99</v>
      </c>
      <c r="K45" t="s">
        <v>109</v>
      </c>
      <c r="L45" s="1">
        <v>46143</v>
      </c>
      <c r="M45" s="1">
        <v>46173</v>
      </c>
      <c r="N45">
        <v>1.966704</v>
      </c>
      <c r="O45" t="s">
        <v>58</v>
      </c>
      <c r="P45" t="s">
        <v>63</v>
      </c>
      <c r="Q45" t="s">
        <v>480</v>
      </c>
      <c r="R45" t="s">
        <v>484</v>
      </c>
      <c r="S45" t="s">
        <v>67</v>
      </c>
      <c r="T45" t="s">
        <v>507</v>
      </c>
      <c r="U45" t="s">
        <v>692</v>
      </c>
      <c r="V45">
        <v>16</v>
      </c>
      <c r="W45" s="2">
        <v>0</v>
      </c>
    </row>
    <row r="46" spans="1:23" x14ac:dyDescent="0.25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>
        <v>1141685</v>
      </c>
      <c r="H46" t="s">
        <v>76</v>
      </c>
      <c r="I46" t="s">
        <v>95</v>
      </c>
      <c r="J46" t="s">
        <v>99</v>
      </c>
      <c r="K46" t="s">
        <v>109</v>
      </c>
      <c r="L46" s="1">
        <v>46143</v>
      </c>
      <c r="M46" s="1">
        <v>46173</v>
      </c>
      <c r="N46">
        <v>53.016826999999999</v>
      </c>
      <c r="O46" t="s">
        <v>58</v>
      </c>
      <c r="P46" t="s">
        <v>63</v>
      </c>
      <c r="Q46" t="s">
        <v>480</v>
      </c>
      <c r="R46" t="s">
        <v>484</v>
      </c>
      <c r="S46" t="s">
        <v>67</v>
      </c>
      <c r="T46" t="s">
        <v>507</v>
      </c>
      <c r="U46" t="s">
        <v>692</v>
      </c>
      <c r="V46">
        <v>16</v>
      </c>
      <c r="W46" s="2">
        <v>0</v>
      </c>
    </row>
    <row r="47" spans="1:23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>
        <v>1141685</v>
      </c>
      <c r="H47" t="s">
        <v>76</v>
      </c>
      <c r="I47" t="s">
        <v>95</v>
      </c>
      <c r="J47" t="s">
        <v>99</v>
      </c>
      <c r="K47" t="s">
        <v>109</v>
      </c>
      <c r="L47" s="1">
        <v>46143</v>
      </c>
      <c r="M47" s="1">
        <v>46173</v>
      </c>
      <c r="N47">
        <v>0.20000299999999999</v>
      </c>
      <c r="O47" t="s">
        <v>58</v>
      </c>
      <c r="P47" t="s">
        <v>63</v>
      </c>
      <c r="Q47" t="s">
        <v>480</v>
      </c>
      <c r="R47" t="s">
        <v>484</v>
      </c>
      <c r="S47" t="s">
        <v>67</v>
      </c>
      <c r="T47" t="s">
        <v>507</v>
      </c>
      <c r="U47" t="s">
        <v>692</v>
      </c>
      <c r="V47">
        <v>16</v>
      </c>
      <c r="W47" s="2">
        <v>0</v>
      </c>
    </row>
    <row r="48" spans="1:23" x14ac:dyDescent="0.25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>
        <v>1141685</v>
      </c>
      <c r="H48" t="s">
        <v>76</v>
      </c>
      <c r="I48" t="s">
        <v>95</v>
      </c>
      <c r="J48" t="s">
        <v>99</v>
      </c>
      <c r="K48" t="s">
        <v>109</v>
      </c>
      <c r="L48" s="1">
        <v>46143</v>
      </c>
      <c r="M48" s="1">
        <v>46173</v>
      </c>
      <c r="N48">
        <v>0.21667</v>
      </c>
      <c r="O48" t="s">
        <v>58</v>
      </c>
      <c r="P48" t="s">
        <v>63</v>
      </c>
      <c r="Q48" t="s">
        <v>480</v>
      </c>
      <c r="R48" t="s">
        <v>484</v>
      </c>
      <c r="S48" t="s">
        <v>67</v>
      </c>
      <c r="T48" t="s">
        <v>507</v>
      </c>
      <c r="U48" t="s">
        <v>692</v>
      </c>
      <c r="V48">
        <v>16</v>
      </c>
      <c r="W48" s="2">
        <v>0</v>
      </c>
    </row>
    <row r="49" spans="1:23" x14ac:dyDescent="0.25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>
        <v>1141685</v>
      </c>
      <c r="H49" t="s">
        <v>80</v>
      </c>
      <c r="I49" t="s">
        <v>96</v>
      </c>
      <c r="J49" t="s">
        <v>80</v>
      </c>
      <c r="K49" t="s">
        <v>122</v>
      </c>
      <c r="L49" s="1">
        <v>46143</v>
      </c>
      <c r="M49" s="1">
        <v>46173</v>
      </c>
      <c r="N49">
        <v>1.0770253604</v>
      </c>
      <c r="O49" t="s">
        <v>56</v>
      </c>
      <c r="P49" t="s">
        <v>63</v>
      </c>
      <c r="Q49" t="s">
        <v>481</v>
      </c>
      <c r="R49" t="s">
        <v>484</v>
      </c>
      <c r="S49" t="s">
        <v>67</v>
      </c>
      <c r="T49" t="s">
        <v>539</v>
      </c>
      <c r="U49" t="s">
        <v>724</v>
      </c>
      <c r="V49">
        <v>16</v>
      </c>
      <c r="W49" s="2">
        <v>187.90010305210001</v>
      </c>
    </row>
    <row r="50" spans="1:23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>
        <v>1141685</v>
      </c>
      <c r="H50" t="s">
        <v>79</v>
      </c>
      <c r="I50" t="s">
        <v>94</v>
      </c>
      <c r="J50" t="s">
        <v>101</v>
      </c>
      <c r="K50" t="s">
        <v>116</v>
      </c>
      <c r="L50" s="1">
        <v>46143</v>
      </c>
      <c r="M50" s="1">
        <v>46173</v>
      </c>
      <c r="N50">
        <v>1.0794E-5</v>
      </c>
      <c r="O50" t="s">
        <v>56</v>
      </c>
      <c r="P50" t="s">
        <v>63</v>
      </c>
      <c r="Q50" t="s">
        <v>481</v>
      </c>
      <c r="R50" t="s">
        <v>484</v>
      </c>
      <c r="S50" t="s">
        <v>67</v>
      </c>
      <c r="T50" t="s">
        <v>540</v>
      </c>
      <c r="U50" t="s">
        <v>725</v>
      </c>
      <c r="V50">
        <v>16</v>
      </c>
      <c r="W50" s="2">
        <v>1.3257208600000001E-2</v>
      </c>
    </row>
    <row r="51" spans="1:23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>
        <v>1141685</v>
      </c>
      <c r="H51" t="s">
        <v>76</v>
      </c>
      <c r="I51" t="s">
        <v>95</v>
      </c>
      <c r="J51" t="s">
        <v>99</v>
      </c>
      <c r="K51" t="s">
        <v>109</v>
      </c>
      <c r="L51" s="1">
        <v>46143</v>
      </c>
      <c r="M51" s="1">
        <v>46173</v>
      </c>
      <c r="N51">
        <v>76</v>
      </c>
      <c r="O51" t="s">
        <v>58</v>
      </c>
      <c r="P51" t="s">
        <v>63</v>
      </c>
      <c r="Q51" t="s">
        <v>480</v>
      </c>
      <c r="R51" t="s">
        <v>490</v>
      </c>
      <c r="S51" t="s">
        <v>67</v>
      </c>
      <c r="T51" t="s">
        <v>541</v>
      </c>
      <c r="U51" t="s">
        <v>726</v>
      </c>
      <c r="V51">
        <v>17</v>
      </c>
      <c r="W51" s="2">
        <v>0</v>
      </c>
    </row>
    <row r="52" spans="1:23" x14ac:dyDescent="0.25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>
        <v>1141685</v>
      </c>
      <c r="H52" t="s">
        <v>76</v>
      </c>
      <c r="I52" t="s">
        <v>95</v>
      </c>
      <c r="J52" t="s">
        <v>99</v>
      </c>
      <c r="K52" t="s">
        <v>109</v>
      </c>
      <c r="L52" s="1">
        <v>46143</v>
      </c>
      <c r="M52" s="1">
        <v>46173</v>
      </c>
      <c r="N52">
        <v>0.41667500000000002</v>
      </c>
      <c r="O52" t="s">
        <v>58</v>
      </c>
      <c r="P52" t="s">
        <v>63</v>
      </c>
      <c r="Q52" t="s">
        <v>480</v>
      </c>
      <c r="R52" t="s">
        <v>486</v>
      </c>
      <c r="S52" t="s">
        <v>67</v>
      </c>
      <c r="T52" t="s">
        <v>521</v>
      </c>
      <c r="U52" t="s">
        <v>706</v>
      </c>
      <c r="V52">
        <v>16</v>
      </c>
      <c r="W52" s="2">
        <v>0</v>
      </c>
    </row>
    <row r="53" spans="1:23" x14ac:dyDescent="0.25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>
        <v>1141685</v>
      </c>
      <c r="H53" t="s">
        <v>76</v>
      </c>
      <c r="I53" t="s">
        <v>95</v>
      </c>
      <c r="J53" t="s">
        <v>99</v>
      </c>
      <c r="K53" t="s">
        <v>109</v>
      </c>
      <c r="L53" s="1">
        <v>46143</v>
      </c>
      <c r="M53" s="1">
        <v>46173</v>
      </c>
      <c r="N53">
        <v>122</v>
      </c>
      <c r="O53" t="s">
        <v>58</v>
      </c>
      <c r="P53" t="s">
        <v>63</v>
      </c>
      <c r="Q53" t="s">
        <v>480</v>
      </c>
      <c r="R53" t="s">
        <v>484</v>
      </c>
      <c r="S53" t="s">
        <v>67</v>
      </c>
      <c r="T53" t="s">
        <v>508</v>
      </c>
      <c r="U53" t="s">
        <v>693</v>
      </c>
      <c r="V53">
        <v>15</v>
      </c>
      <c r="W53" s="2">
        <v>0</v>
      </c>
    </row>
    <row r="54" spans="1:23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>
        <v>1141685</v>
      </c>
      <c r="H54" t="s">
        <v>76</v>
      </c>
      <c r="I54" t="s">
        <v>95</v>
      </c>
      <c r="J54" t="s">
        <v>99</v>
      </c>
      <c r="K54" t="s">
        <v>109</v>
      </c>
      <c r="L54" s="1">
        <v>46143</v>
      </c>
      <c r="M54" s="1">
        <v>46173</v>
      </c>
      <c r="N54">
        <v>6.6649E-2</v>
      </c>
      <c r="O54" t="s">
        <v>58</v>
      </c>
      <c r="P54" t="s">
        <v>63</v>
      </c>
      <c r="Q54" t="s">
        <v>480</v>
      </c>
      <c r="R54" t="s">
        <v>486</v>
      </c>
      <c r="S54" t="s">
        <v>67</v>
      </c>
      <c r="T54" t="s">
        <v>521</v>
      </c>
      <c r="U54" t="s">
        <v>706</v>
      </c>
      <c r="V54">
        <v>16</v>
      </c>
      <c r="W54" s="2">
        <v>0</v>
      </c>
    </row>
    <row r="55" spans="1:23" x14ac:dyDescent="0.25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>
        <v>1141685</v>
      </c>
      <c r="H55" t="s">
        <v>76</v>
      </c>
      <c r="I55" t="s">
        <v>95</v>
      </c>
      <c r="J55" t="s">
        <v>99</v>
      </c>
      <c r="K55" t="s">
        <v>109</v>
      </c>
      <c r="L55" s="1">
        <v>46143</v>
      </c>
      <c r="M55" s="1">
        <v>46173</v>
      </c>
      <c r="N55">
        <v>114.016648</v>
      </c>
      <c r="O55" t="s">
        <v>58</v>
      </c>
      <c r="P55" t="s">
        <v>63</v>
      </c>
      <c r="Q55" t="s">
        <v>480</v>
      </c>
      <c r="R55" t="s">
        <v>486</v>
      </c>
      <c r="S55" t="s">
        <v>67</v>
      </c>
      <c r="T55" t="s">
        <v>521</v>
      </c>
      <c r="U55" t="s">
        <v>706</v>
      </c>
      <c r="V55">
        <v>16</v>
      </c>
      <c r="W55" s="2">
        <v>0</v>
      </c>
    </row>
    <row r="56" spans="1:23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>
        <v>1141685</v>
      </c>
      <c r="H56" t="s">
        <v>76</v>
      </c>
      <c r="I56" t="s">
        <v>95</v>
      </c>
      <c r="J56" t="s">
        <v>99</v>
      </c>
      <c r="K56" t="s">
        <v>109</v>
      </c>
      <c r="L56" s="1">
        <v>46143</v>
      </c>
      <c r="M56" s="1">
        <v>46173</v>
      </c>
      <c r="N56">
        <v>39.582020999999997</v>
      </c>
      <c r="O56" t="s">
        <v>58</v>
      </c>
      <c r="P56" t="s">
        <v>63</v>
      </c>
      <c r="Q56" t="s">
        <v>480</v>
      </c>
      <c r="R56" t="s">
        <v>484</v>
      </c>
      <c r="S56" t="s">
        <v>67</v>
      </c>
      <c r="T56" t="s">
        <v>507</v>
      </c>
      <c r="U56" t="s">
        <v>692</v>
      </c>
      <c r="V56">
        <v>16</v>
      </c>
      <c r="W56" s="2">
        <v>0</v>
      </c>
    </row>
    <row r="57" spans="1:23" x14ac:dyDescent="0.25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>
        <v>1141685</v>
      </c>
      <c r="H57" t="s">
        <v>76</v>
      </c>
      <c r="I57" t="s">
        <v>95</v>
      </c>
      <c r="J57" t="s">
        <v>99</v>
      </c>
      <c r="K57" t="s">
        <v>109</v>
      </c>
      <c r="L57" s="1">
        <v>46143</v>
      </c>
      <c r="M57" s="1">
        <v>46173</v>
      </c>
      <c r="N57">
        <v>2.7162579999999998</v>
      </c>
      <c r="O57" t="s">
        <v>58</v>
      </c>
      <c r="P57" t="s">
        <v>63</v>
      </c>
      <c r="Q57" t="s">
        <v>480</v>
      </c>
      <c r="R57" t="s">
        <v>484</v>
      </c>
      <c r="S57" t="s">
        <v>67</v>
      </c>
      <c r="T57" t="s">
        <v>507</v>
      </c>
      <c r="U57" t="s">
        <v>692</v>
      </c>
      <c r="V57">
        <v>16</v>
      </c>
      <c r="W57" s="2">
        <v>0</v>
      </c>
    </row>
    <row r="58" spans="1:23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>
        <v>1141685</v>
      </c>
      <c r="H58" t="s">
        <v>76</v>
      </c>
      <c r="I58" t="s">
        <v>95</v>
      </c>
      <c r="J58" t="s">
        <v>99</v>
      </c>
      <c r="K58" t="s">
        <v>109</v>
      </c>
      <c r="L58" s="1">
        <v>46143</v>
      </c>
      <c r="M58" s="1">
        <v>46173</v>
      </c>
      <c r="N58">
        <v>0.91668400000000005</v>
      </c>
      <c r="O58" t="s">
        <v>58</v>
      </c>
      <c r="P58" t="s">
        <v>63</v>
      </c>
      <c r="Q58" t="s">
        <v>480</v>
      </c>
      <c r="R58" t="s">
        <v>484</v>
      </c>
      <c r="S58" t="s">
        <v>67</v>
      </c>
      <c r="T58" t="s">
        <v>507</v>
      </c>
      <c r="U58" t="s">
        <v>692</v>
      </c>
      <c r="V58">
        <v>16</v>
      </c>
      <c r="W58" s="2">
        <v>0</v>
      </c>
    </row>
    <row r="59" spans="1:23" x14ac:dyDescent="0.25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>
        <v>1141685</v>
      </c>
      <c r="H59" t="s">
        <v>76</v>
      </c>
      <c r="I59" t="s">
        <v>95</v>
      </c>
      <c r="J59" t="s">
        <v>99</v>
      </c>
      <c r="K59" t="s">
        <v>109</v>
      </c>
      <c r="L59" s="1">
        <v>46143</v>
      </c>
      <c r="M59" s="1">
        <v>46173</v>
      </c>
      <c r="N59">
        <v>0.20000299999999999</v>
      </c>
      <c r="O59" t="s">
        <v>58</v>
      </c>
      <c r="P59" t="s">
        <v>63</v>
      </c>
      <c r="Q59" t="s">
        <v>480</v>
      </c>
      <c r="R59" t="s">
        <v>484</v>
      </c>
      <c r="S59" t="s">
        <v>67</v>
      </c>
      <c r="T59" t="s">
        <v>507</v>
      </c>
      <c r="U59" t="s">
        <v>692</v>
      </c>
      <c r="V59">
        <v>16</v>
      </c>
      <c r="W59" s="2">
        <v>0</v>
      </c>
    </row>
    <row r="60" spans="1:23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>
        <v>1141685</v>
      </c>
      <c r="H60" t="s">
        <v>75</v>
      </c>
      <c r="I60" t="s">
        <v>94</v>
      </c>
      <c r="J60" t="s">
        <v>98</v>
      </c>
      <c r="K60" t="s">
        <v>108</v>
      </c>
      <c r="L60" s="1">
        <v>46143</v>
      </c>
      <c r="M60" s="1">
        <v>46173</v>
      </c>
      <c r="N60">
        <v>2.2444949979</v>
      </c>
      <c r="O60" t="s">
        <v>56</v>
      </c>
      <c r="P60" t="s">
        <v>63</v>
      </c>
      <c r="Q60" t="s">
        <v>481</v>
      </c>
      <c r="R60" t="s">
        <v>490</v>
      </c>
      <c r="S60" t="s">
        <v>67</v>
      </c>
      <c r="T60" t="s">
        <v>542</v>
      </c>
      <c r="U60" t="s">
        <v>727</v>
      </c>
      <c r="V60">
        <v>17</v>
      </c>
      <c r="W60" s="2">
        <v>4698.8977478342986</v>
      </c>
    </row>
    <row r="61" spans="1:23" x14ac:dyDescent="0.25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>
        <v>1141685</v>
      </c>
      <c r="H61" t="s">
        <v>75</v>
      </c>
      <c r="I61" t="s">
        <v>94</v>
      </c>
      <c r="J61" t="s">
        <v>98</v>
      </c>
      <c r="K61" t="s">
        <v>108</v>
      </c>
      <c r="L61" s="1">
        <v>46143</v>
      </c>
      <c r="M61" s="1">
        <v>46173</v>
      </c>
      <c r="N61">
        <v>1.1649E-5</v>
      </c>
      <c r="O61" t="s">
        <v>56</v>
      </c>
      <c r="P61" t="s">
        <v>63</v>
      </c>
      <c r="Q61" t="s">
        <v>481</v>
      </c>
      <c r="R61" t="s">
        <v>484</v>
      </c>
      <c r="S61" t="s">
        <v>67</v>
      </c>
      <c r="T61" t="s">
        <v>543</v>
      </c>
      <c r="U61" t="s">
        <v>728</v>
      </c>
      <c r="V61">
        <v>16</v>
      </c>
      <c r="W61" s="2">
        <v>2.1460893000000002E-2</v>
      </c>
    </row>
    <row r="62" spans="1:23" x14ac:dyDescent="0.25">
      <c r="A62" t="s">
        <v>31</v>
      </c>
      <c r="B62" t="s">
        <v>32</v>
      </c>
      <c r="C62" t="s">
        <v>33</v>
      </c>
      <c r="D62" t="s">
        <v>34</v>
      </c>
      <c r="E62" t="s">
        <v>35</v>
      </c>
      <c r="F62" t="s">
        <v>36</v>
      </c>
      <c r="G62">
        <v>1141685</v>
      </c>
      <c r="H62" t="s">
        <v>75</v>
      </c>
      <c r="I62" t="s">
        <v>94</v>
      </c>
      <c r="J62" t="s">
        <v>98</v>
      </c>
      <c r="K62" t="s">
        <v>108</v>
      </c>
      <c r="L62" s="1">
        <v>46143</v>
      </c>
      <c r="M62" s="1">
        <v>46173</v>
      </c>
      <c r="N62">
        <v>8.7943433799999998E-2</v>
      </c>
      <c r="O62" t="s">
        <v>56</v>
      </c>
      <c r="P62" t="s">
        <v>63</v>
      </c>
      <c r="Q62" t="s">
        <v>481</v>
      </c>
      <c r="R62" t="s">
        <v>484</v>
      </c>
      <c r="S62" t="s">
        <v>67</v>
      </c>
      <c r="T62" t="s">
        <v>544</v>
      </c>
      <c r="U62" t="s">
        <v>729</v>
      </c>
      <c r="V62">
        <v>15</v>
      </c>
      <c r="W62" s="2">
        <v>177.16464740250001</v>
      </c>
    </row>
    <row r="63" spans="1:23" x14ac:dyDescent="0.25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>
        <v>1141685</v>
      </c>
      <c r="H63" t="s">
        <v>75</v>
      </c>
      <c r="I63" t="s">
        <v>94</v>
      </c>
      <c r="J63" t="s">
        <v>98</v>
      </c>
      <c r="K63" t="s">
        <v>108</v>
      </c>
      <c r="L63" s="1">
        <v>46143</v>
      </c>
      <c r="M63" s="1">
        <v>46173</v>
      </c>
      <c r="N63">
        <v>7.5694199999999998E-5</v>
      </c>
      <c r="O63" t="s">
        <v>56</v>
      </c>
      <c r="P63" t="s">
        <v>63</v>
      </c>
      <c r="Q63" t="s">
        <v>481</v>
      </c>
      <c r="R63" t="s">
        <v>484</v>
      </c>
      <c r="S63" t="s">
        <v>67</v>
      </c>
      <c r="T63" t="s">
        <v>545</v>
      </c>
      <c r="U63" t="s">
        <v>730</v>
      </c>
      <c r="V63">
        <v>16</v>
      </c>
      <c r="W63" s="2">
        <v>0.15945119420000001</v>
      </c>
    </row>
    <row r="64" spans="1:23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36</v>
      </c>
      <c r="G64">
        <v>1141685</v>
      </c>
      <c r="H64" t="s">
        <v>75</v>
      </c>
      <c r="I64" t="s">
        <v>94</v>
      </c>
      <c r="J64" t="s">
        <v>98</v>
      </c>
      <c r="K64" t="s">
        <v>108</v>
      </c>
      <c r="L64" s="1">
        <v>46143</v>
      </c>
      <c r="M64" s="1">
        <v>46173</v>
      </c>
      <c r="N64">
        <v>0.31253491249999998</v>
      </c>
      <c r="O64" t="s">
        <v>56</v>
      </c>
      <c r="P64" t="s">
        <v>63</v>
      </c>
      <c r="Q64" t="s">
        <v>481</v>
      </c>
      <c r="R64" t="s">
        <v>484</v>
      </c>
      <c r="S64" t="s">
        <v>67</v>
      </c>
      <c r="T64" t="s">
        <v>546</v>
      </c>
      <c r="U64" t="s">
        <v>731</v>
      </c>
      <c r="V64">
        <v>16</v>
      </c>
      <c r="W64" s="2">
        <v>654.30231919289997</v>
      </c>
    </row>
    <row r="65" spans="1:23" x14ac:dyDescent="0.25">
      <c r="A65" t="s">
        <v>31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>
        <v>1141685</v>
      </c>
      <c r="H65" t="s">
        <v>82</v>
      </c>
      <c r="I65" t="s">
        <v>82</v>
      </c>
      <c r="J65" t="s">
        <v>82</v>
      </c>
      <c r="K65" t="s">
        <v>120</v>
      </c>
      <c r="L65" s="1">
        <v>46143</v>
      </c>
      <c r="M65" s="1">
        <v>46173</v>
      </c>
      <c r="N65">
        <v>1</v>
      </c>
      <c r="O65" t="s">
        <v>61</v>
      </c>
      <c r="P65" t="s">
        <v>63</v>
      </c>
      <c r="Q65" t="s">
        <v>483</v>
      </c>
      <c r="R65" t="s">
        <v>147</v>
      </c>
      <c r="S65" t="s">
        <v>68</v>
      </c>
      <c r="T65" t="s">
        <v>547</v>
      </c>
      <c r="U65" t="s">
        <v>732</v>
      </c>
      <c r="V65">
        <v>7</v>
      </c>
      <c r="W65" s="2">
        <v>2691.9341720419998</v>
      </c>
    </row>
    <row r="66" spans="1:23" x14ac:dyDescent="0.25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s">
        <v>36</v>
      </c>
      <c r="G66">
        <v>1141685</v>
      </c>
      <c r="H66" t="s">
        <v>82</v>
      </c>
      <c r="I66" t="s">
        <v>82</v>
      </c>
      <c r="J66" t="s">
        <v>82</v>
      </c>
      <c r="K66" t="s">
        <v>118</v>
      </c>
      <c r="L66" s="1">
        <v>46143</v>
      </c>
      <c r="M66" s="1">
        <v>46173</v>
      </c>
      <c r="N66">
        <v>0.37314900000000001</v>
      </c>
      <c r="O66" t="s">
        <v>60</v>
      </c>
      <c r="P66" t="s">
        <v>63</v>
      </c>
      <c r="Q66" t="s">
        <v>483</v>
      </c>
      <c r="R66" t="s">
        <v>147</v>
      </c>
      <c r="S66" t="s">
        <v>68</v>
      </c>
      <c r="T66" t="s">
        <v>548</v>
      </c>
      <c r="U66" t="s">
        <v>733</v>
      </c>
      <c r="V66">
        <v>7</v>
      </c>
      <c r="W66" s="2">
        <v>2603.9850238079998</v>
      </c>
    </row>
    <row r="67" spans="1:23" x14ac:dyDescent="0.25">
      <c r="A67" t="s">
        <v>31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>
        <v>1141685</v>
      </c>
      <c r="H67" t="s">
        <v>80</v>
      </c>
      <c r="I67" t="s">
        <v>96</v>
      </c>
      <c r="J67" t="s">
        <v>80</v>
      </c>
      <c r="K67" t="s">
        <v>115</v>
      </c>
      <c r="L67" s="1">
        <v>46143</v>
      </c>
      <c r="M67" s="1">
        <v>46173</v>
      </c>
      <c r="N67">
        <v>4.5757460000000002E-4</v>
      </c>
      <c r="O67" t="s">
        <v>56</v>
      </c>
      <c r="P67" t="s">
        <v>63</v>
      </c>
      <c r="Q67" t="s">
        <v>481</v>
      </c>
      <c r="R67" t="s">
        <v>484</v>
      </c>
      <c r="S67" t="s">
        <v>67</v>
      </c>
      <c r="T67" t="s">
        <v>549</v>
      </c>
      <c r="U67" t="s">
        <v>734</v>
      </c>
      <c r="V67">
        <v>16</v>
      </c>
      <c r="W67" s="2">
        <v>8.0249050899999994E-2</v>
      </c>
    </row>
    <row r="68" spans="1:23" x14ac:dyDescent="0.25">
      <c r="A68" t="s">
        <v>31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>
        <v>1141685</v>
      </c>
      <c r="H68" t="s">
        <v>80</v>
      </c>
      <c r="I68" t="s">
        <v>96</v>
      </c>
      <c r="J68" t="s">
        <v>80</v>
      </c>
      <c r="K68" t="s">
        <v>115</v>
      </c>
      <c r="L68" s="1">
        <v>46143</v>
      </c>
      <c r="M68" s="1">
        <v>46173</v>
      </c>
      <c r="N68">
        <v>7.2488770800000005E-2</v>
      </c>
      <c r="O68" t="s">
        <v>56</v>
      </c>
      <c r="P68" t="s">
        <v>63</v>
      </c>
      <c r="Q68" t="s">
        <v>481</v>
      </c>
      <c r="R68" t="s">
        <v>486</v>
      </c>
      <c r="S68" t="s">
        <v>67</v>
      </c>
      <c r="T68" t="s">
        <v>550</v>
      </c>
      <c r="U68" t="s">
        <v>735</v>
      </c>
      <c r="V68">
        <v>15</v>
      </c>
      <c r="W68" s="2">
        <v>12.648824041799999</v>
      </c>
    </row>
    <row r="69" spans="1:23" x14ac:dyDescent="0.25">
      <c r="A69" t="s">
        <v>31</v>
      </c>
      <c r="B69" t="s">
        <v>32</v>
      </c>
      <c r="C69" t="s">
        <v>33</v>
      </c>
      <c r="D69" t="s">
        <v>34</v>
      </c>
      <c r="E69" t="s">
        <v>35</v>
      </c>
      <c r="F69" t="s">
        <v>36</v>
      </c>
      <c r="G69">
        <v>1141685</v>
      </c>
      <c r="H69" t="s">
        <v>80</v>
      </c>
      <c r="I69" t="s">
        <v>96</v>
      </c>
      <c r="J69" t="s">
        <v>80</v>
      </c>
      <c r="K69" t="s">
        <v>115</v>
      </c>
      <c r="L69" s="1">
        <v>46143</v>
      </c>
      <c r="M69" s="1">
        <v>46173</v>
      </c>
      <c r="N69">
        <v>2.7888730000000001E-4</v>
      </c>
      <c r="O69" t="s">
        <v>56</v>
      </c>
      <c r="P69" t="s">
        <v>63</v>
      </c>
      <c r="Q69" t="s">
        <v>481</v>
      </c>
      <c r="R69" t="s">
        <v>486</v>
      </c>
      <c r="S69" t="s">
        <v>67</v>
      </c>
      <c r="T69" t="s">
        <v>551</v>
      </c>
      <c r="U69" t="s">
        <v>736</v>
      </c>
      <c r="V69">
        <v>16</v>
      </c>
      <c r="W69" s="2">
        <v>5.2816122900000012E-2</v>
      </c>
    </row>
    <row r="70" spans="1:23" x14ac:dyDescent="0.25">
      <c r="A70" t="s">
        <v>31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>
        <v>1141685</v>
      </c>
      <c r="H70" t="s">
        <v>83</v>
      </c>
      <c r="I70" t="s">
        <v>97</v>
      </c>
      <c r="J70" t="s">
        <v>103</v>
      </c>
      <c r="K70" t="s">
        <v>119</v>
      </c>
      <c r="L70" s="1">
        <v>46143</v>
      </c>
      <c r="M70" s="1">
        <v>46173</v>
      </c>
      <c r="N70">
        <v>2108</v>
      </c>
      <c r="O70" t="s">
        <v>58</v>
      </c>
      <c r="P70" t="s">
        <v>63</v>
      </c>
      <c r="Q70" t="s">
        <v>482</v>
      </c>
      <c r="R70" t="s">
        <v>485</v>
      </c>
      <c r="S70" t="s">
        <v>67</v>
      </c>
      <c r="T70" t="s">
        <v>552</v>
      </c>
      <c r="U70" t="s">
        <v>737</v>
      </c>
      <c r="V70">
        <v>6</v>
      </c>
      <c r="W70" s="2">
        <v>3676366.4110534401</v>
      </c>
    </row>
    <row r="71" spans="1:23" x14ac:dyDescent="0.25">
      <c r="A71" t="s">
        <v>31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>
        <v>1141685</v>
      </c>
      <c r="H71" t="s">
        <v>80</v>
      </c>
      <c r="I71" t="s">
        <v>96</v>
      </c>
      <c r="J71" t="s">
        <v>80</v>
      </c>
      <c r="K71" t="s">
        <v>122</v>
      </c>
      <c r="L71" s="1">
        <v>46143</v>
      </c>
      <c r="M71" s="1">
        <v>46173</v>
      </c>
      <c r="N71">
        <v>9.1249240600000003E-2</v>
      </c>
      <c r="O71" t="s">
        <v>56</v>
      </c>
      <c r="P71" t="s">
        <v>63</v>
      </c>
      <c r="Q71" t="s">
        <v>481</v>
      </c>
      <c r="R71" t="s">
        <v>486</v>
      </c>
      <c r="S71" t="s">
        <v>67</v>
      </c>
      <c r="T71" t="s">
        <v>553</v>
      </c>
      <c r="U71" t="s">
        <v>738</v>
      </c>
      <c r="V71">
        <v>16</v>
      </c>
      <c r="W71" s="2">
        <v>15.9190214048</v>
      </c>
    </row>
    <row r="72" spans="1:23" x14ac:dyDescent="0.2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>
        <v>1141685</v>
      </c>
      <c r="H72" t="s">
        <v>38</v>
      </c>
      <c r="I72" t="s">
        <v>38</v>
      </c>
      <c r="J72" t="s">
        <v>38</v>
      </c>
      <c r="K72" t="s">
        <v>55</v>
      </c>
      <c r="L72" s="1">
        <v>46143</v>
      </c>
      <c r="M72" s="1">
        <v>46173</v>
      </c>
      <c r="N72">
        <v>2495</v>
      </c>
      <c r="O72" t="s">
        <v>61</v>
      </c>
      <c r="P72" t="s">
        <v>63</v>
      </c>
      <c r="Q72" t="s">
        <v>482</v>
      </c>
      <c r="R72" t="s">
        <v>497</v>
      </c>
      <c r="S72" t="s">
        <v>66</v>
      </c>
      <c r="T72" t="s">
        <v>554</v>
      </c>
      <c r="U72" t="s">
        <v>739</v>
      </c>
      <c r="V72">
        <v>6</v>
      </c>
      <c r="W72" s="2">
        <v>6355.0578895999997</v>
      </c>
    </row>
    <row r="73" spans="1:23" x14ac:dyDescent="0.25">
      <c r="A73" t="s">
        <v>31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>
        <v>1141685</v>
      </c>
      <c r="H73" t="s">
        <v>91</v>
      </c>
      <c r="I73" t="s">
        <v>95</v>
      </c>
      <c r="J73" t="s">
        <v>106</v>
      </c>
      <c r="K73" t="s">
        <v>479</v>
      </c>
      <c r="L73" s="1">
        <v>46143</v>
      </c>
      <c r="M73" s="1">
        <v>46173</v>
      </c>
      <c r="N73">
        <v>1</v>
      </c>
      <c r="O73" t="s">
        <v>58</v>
      </c>
      <c r="P73" t="s">
        <v>63</v>
      </c>
      <c r="Q73" t="s">
        <v>480</v>
      </c>
      <c r="R73" t="s">
        <v>484</v>
      </c>
      <c r="S73" t="s">
        <v>67</v>
      </c>
      <c r="T73" t="s">
        <v>555</v>
      </c>
      <c r="U73" t="s">
        <v>740</v>
      </c>
      <c r="V73">
        <v>16</v>
      </c>
      <c r="W73" s="2">
        <v>4361.5</v>
      </c>
    </row>
    <row r="74" spans="1:23" x14ac:dyDescent="0.25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>
        <v>1141685</v>
      </c>
      <c r="H74" t="s">
        <v>77</v>
      </c>
      <c r="I74" t="s">
        <v>96</v>
      </c>
      <c r="J74" t="s">
        <v>77</v>
      </c>
      <c r="K74" t="s">
        <v>110</v>
      </c>
      <c r="L74" s="1">
        <v>46143</v>
      </c>
      <c r="M74" s="1">
        <v>46173</v>
      </c>
      <c r="N74">
        <v>744</v>
      </c>
      <c r="O74" t="s">
        <v>58</v>
      </c>
      <c r="P74" t="s">
        <v>63</v>
      </c>
      <c r="Q74" t="s">
        <v>483</v>
      </c>
      <c r="R74" t="s">
        <v>498</v>
      </c>
      <c r="S74" t="s">
        <v>67</v>
      </c>
      <c r="T74" t="s">
        <v>516</v>
      </c>
      <c r="U74" t="s">
        <v>701</v>
      </c>
      <c r="V74">
        <v>7</v>
      </c>
      <c r="W74" s="2">
        <v>129798.2412</v>
      </c>
    </row>
    <row r="75" spans="1:23" x14ac:dyDescent="0.25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>
        <v>1141685</v>
      </c>
      <c r="H75" t="s">
        <v>79</v>
      </c>
      <c r="I75" t="s">
        <v>94</v>
      </c>
      <c r="J75" t="s">
        <v>101</v>
      </c>
      <c r="K75" t="s">
        <v>116</v>
      </c>
      <c r="L75" s="1">
        <v>46143</v>
      </c>
      <c r="M75" s="1">
        <v>46173</v>
      </c>
      <c r="N75">
        <v>0.28910331890000002</v>
      </c>
      <c r="O75" t="s">
        <v>56</v>
      </c>
      <c r="P75" t="s">
        <v>63</v>
      </c>
      <c r="Q75" t="s">
        <v>481</v>
      </c>
      <c r="R75" t="s">
        <v>484</v>
      </c>
      <c r="S75" t="s">
        <v>67</v>
      </c>
      <c r="T75" t="s">
        <v>556</v>
      </c>
      <c r="U75" t="s">
        <v>741</v>
      </c>
      <c r="V75">
        <v>15</v>
      </c>
      <c r="W75" s="2">
        <v>331.9260553748</v>
      </c>
    </row>
    <row r="76" spans="1:23" x14ac:dyDescent="0.25">
      <c r="A76" t="s">
        <v>31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>
        <v>1141685</v>
      </c>
      <c r="H76" t="s">
        <v>79</v>
      </c>
      <c r="I76" t="s">
        <v>94</v>
      </c>
      <c r="J76" t="s">
        <v>101</v>
      </c>
      <c r="K76" t="s">
        <v>116</v>
      </c>
      <c r="L76" s="1">
        <v>46143</v>
      </c>
      <c r="M76" s="1">
        <v>46173</v>
      </c>
      <c r="N76">
        <v>1.4822743925999999</v>
      </c>
      <c r="O76" t="s">
        <v>56</v>
      </c>
      <c r="P76" t="s">
        <v>63</v>
      </c>
      <c r="Q76" t="s">
        <v>481</v>
      </c>
      <c r="R76" t="s">
        <v>484</v>
      </c>
      <c r="S76" t="s">
        <v>67</v>
      </c>
      <c r="T76" t="s">
        <v>557</v>
      </c>
      <c r="U76" t="s">
        <v>742</v>
      </c>
      <c r="V76">
        <v>16</v>
      </c>
      <c r="W76" s="2">
        <v>2068.7770373743001</v>
      </c>
    </row>
    <row r="77" spans="1:23" x14ac:dyDescent="0.25">
      <c r="A77" t="s">
        <v>31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>
        <v>1141685</v>
      </c>
      <c r="H77" t="s">
        <v>77</v>
      </c>
      <c r="I77" t="s">
        <v>96</v>
      </c>
      <c r="J77" t="s">
        <v>77</v>
      </c>
      <c r="K77" t="s">
        <v>111</v>
      </c>
      <c r="L77" s="1">
        <v>46143</v>
      </c>
      <c r="M77" s="1">
        <v>46173</v>
      </c>
      <c r="N77">
        <v>7.3046400000000006E-5</v>
      </c>
      <c r="O77" t="s">
        <v>56</v>
      </c>
      <c r="P77" t="s">
        <v>63</v>
      </c>
      <c r="Q77" t="s">
        <v>481</v>
      </c>
      <c r="R77" t="s">
        <v>486</v>
      </c>
      <c r="S77" t="s">
        <v>67</v>
      </c>
      <c r="T77" t="s">
        <v>558</v>
      </c>
      <c r="U77" t="s">
        <v>743</v>
      </c>
      <c r="V77">
        <v>16</v>
      </c>
      <c r="W77" s="2">
        <v>1.1214437400000001E-2</v>
      </c>
    </row>
    <row r="78" spans="1:23" x14ac:dyDescent="0.25">
      <c r="A78" t="s">
        <v>31</v>
      </c>
      <c r="B78" t="s">
        <v>32</v>
      </c>
      <c r="C78" t="s">
        <v>33</v>
      </c>
      <c r="D78" t="s">
        <v>34</v>
      </c>
      <c r="E78" t="s">
        <v>35</v>
      </c>
      <c r="F78" t="s">
        <v>36</v>
      </c>
      <c r="G78">
        <v>1141685</v>
      </c>
      <c r="H78" t="s">
        <v>77</v>
      </c>
      <c r="I78" t="s">
        <v>96</v>
      </c>
      <c r="J78" t="s">
        <v>77</v>
      </c>
      <c r="K78" t="s">
        <v>111</v>
      </c>
      <c r="L78" s="1">
        <v>46143</v>
      </c>
      <c r="M78" s="1">
        <v>46173</v>
      </c>
      <c r="N78">
        <v>4.7411201999999998E-3</v>
      </c>
      <c r="O78" t="s">
        <v>56</v>
      </c>
      <c r="P78" t="s">
        <v>63</v>
      </c>
      <c r="Q78" t="s">
        <v>481</v>
      </c>
      <c r="R78" t="s">
        <v>484</v>
      </c>
      <c r="S78" t="s">
        <v>67</v>
      </c>
      <c r="T78" t="s">
        <v>559</v>
      </c>
      <c r="U78" t="s">
        <v>744</v>
      </c>
      <c r="V78">
        <v>16</v>
      </c>
      <c r="W78" s="2">
        <v>0.82787952310000001</v>
      </c>
    </row>
    <row r="79" spans="1:23" x14ac:dyDescent="0.25">
      <c r="A79" t="s">
        <v>31</v>
      </c>
      <c r="B79" t="s">
        <v>32</v>
      </c>
      <c r="C79" t="s">
        <v>33</v>
      </c>
      <c r="D79" t="s">
        <v>34</v>
      </c>
      <c r="E79" t="s">
        <v>35</v>
      </c>
      <c r="F79" t="s">
        <v>36</v>
      </c>
      <c r="G79">
        <v>1141685</v>
      </c>
      <c r="H79" t="s">
        <v>76</v>
      </c>
      <c r="I79" t="s">
        <v>95</v>
      </c>
      <c r="J79" t="s">
        <v>99</v>
      </c>
      <c r="K79" t="s">
        <v>109</v>
      </c>
      <c r="L79" s="1">
        <v>46143</v>
      </c>
      <c r="M79" s="1">
        <v>46173</v>
      </c>
      <c r="N79">
        <v>134.74997500000001</v>
      </c>
      <c r="O79" t="s">
        <v>58</v>
      </c>
      <c r="P79" t="s">
        <v>63</v>
      </c>
      <c r="Q79" t="s">
        <v>480</v>
      </c>
      <c r="R79" t="s">
        <v>486</v>
      </c>
      <c r="S79" t="s">
        <v>67</v>
      </c>
      <c r="T79" t="s">
        <v>560</v>
      </c>
      <c r="U79" t="s">
        <v>745</v>
      </c>
      <c r="V79">
        <v>15</v>
      </c>
      <c r="W79" s="2">
        <v>0</v>
      </c>
    </row>
    <row r="80" spans="1:23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>
        <v>1141685</v>
      </c>
      <c r="H80" t="s">
        <v>76</v>
      </c>
      <c r="I80" t="s">
        <v>95</v>
      </c>
      <c r="J80" t="s">
        <v>99</v>
      </c>
      <c r="K80" t="s">
        <v>109</v>
      </c>
      <c r="L80" s="1">
        <v>46143</v>
      </c>
      <c r="M80" s="1">
        <v>46173</v>
      </c>
      <c r="N80">
        <v>136</v>
      </c>
      <c r="O80" t="s">
        <v>58</v>
      </c>
      <c r="P80" t="s">
        <v>63</v>
      </c>
      <c r="Q80" t="s">
        <v>480</v>
      </c>
      <c r="R80" t="s">
        <v>490</v>
      </c>
      <c r="S80" t="s">
        <v>67</v>
      </c>
      <c r="T80" t="s">
        <v>561</v>
      </c>
      <c r="U80" t="s">
        <v>746</v>
      </c>
      <c r="V80">
        <v>16</v>
      </c>
      <c r="W80" s="2">
        <v>0</v>
      </c>
    </row>
    <row r="81" spans="1:23" x14ac:dyDescent="0.25">
      <c r="A81" t="s">
        <v>31</v>
      </c>
      <c r="B81" t="s">
        <v>32</v>
      </c>
      <c r="C81" t="s">
        <v>33</v>
      </c>
      <c r="D81" t="s">
        <v>34</v>
      </c>
      <c r="E81" t="s">
        <v>35</v>
      </c>
      <c r="F81" t="s">
        <v>36</v>
      </c>
      <c r="G81">
        <v>1141685</v>
      </c>
      <c r="H81" t="s">
        <v>76</v>
      </c>
      <c r="I81" t="s">
        <v>95</v>
      </c>
      <c r="J81" t="s">
        <v>99</v>
      </c>
      <c r="K81" t="s">
        <v>109</v>
      </c>
      <c r="L81" s="1">
        <v>46143</v>
      </c>
      <c r="M81" s="1">
        <v>46173</v>
      </c>
      <c r="N81">
        <v>1.6648E-2</v>
      </c>
      <c r="O81" t="s">
        <v>58</v>
      </c>
      <c r="P81" t="s">
        <v>63</v>
      </c>
      <c r="Q81" t="s">
        <v>480</v>
      </c>
      <c r="R81" t="s">
        <v>486</v>
      </c>
      <c r="S81" t="s">
        <v>67</v>
      </c>
      <c r="T81" t="s">
        <v>521</v>
      </c>
      <c r="U81" t="s">
        <v>706</v>
      </c>
      <c r="V81">
        <v>16</v>
      </c>
      <c r="W81" s="2">
        <v>0</v>
      </c>
    </row>
    <row r="82" spans="1:23" x14ac:dyDescent="0.25">
      <c r="A82" t="s">
        <v>31</v>
      </c>
      <c r="B82" t="s">
        <v>32</v>
      </c>
      <c r="C82" t="s">
        <v>33</v>
      </c>
      <c r="D82" t="s">
        <v>34</v>
      </c>
      <c r="E82" t="s">
        <v>35</v>
      </c>
      <c r="F82" t="s">
        <v>36</v>
      </c>
      <c r="G82">
        <v>1141685</v>
      </c>
      <c r="H82" t="s">
        <v>76</v>
      </c>
      <c r="I82" t="s">
        <v>95</v>
      </c>
      <c r="J82" t="s">
        <v>99</v>
      </c>
      <c r="K82" t="s">
        <v>109</v>
      </c>
      <c r="L82" s="1">
        <v>46143</v>
      </c>
      <c r="M82" s="1">
        <v>46173</v>
      </c>
      <c r="N82">
        <v>1.900055</v>
      </c>
      <c r="O82" t="s">
        <v>58</v>
      </c>
      <c r="P82" t="s">
        <v>63</v>
      </c>
      <c r="Q82" t="s">
        <v>480</v>
      </c>
      <c r="R82" t="s">
        <v>486</v>
      </c>
      <c r="S82" t="s">
        <v>67</v>
      </c>
      <c r="T82" t="s">
        <v>521</v>
      </c>
      <c r="U82" t="s">
        <v>706</v>
      </c>
      <c r="V82">
        <v>16</v>
      </c>
      <c r="W82" s="2">
        <v>0</v>
      </c>
    </row>
    <row r="83" spans="1:23" x14ac:dyDescent="0.25">
      <c r="A83" t="s">
        <v>31</v>
      </c>
      <c r="B83" t="s">
        <v>32</v>
      </c>
      <c r="C83" t="s">
        <v>33</v>
      </c>
      <c r="D83" t="s">
        <v>34</v>
      </c>
      <c r="E83" t="s">
        <v>35</v>
      </c>
      <c r="F83" t="s">
        <v>36</v>
      </c>
      <c r="G83">
        <v>1141685</v>
      </c>
      <c r="H83" t="s">
        <v>76</v>
      </c>
      <c r="I83" t="s">
        <v>95</v>
      </c>
      <c r="J83" t="s">
        <v>99</v>
      </c>
      <c r="K83" t="s">
        <v>109</v>
      </c>
      <c r="L83" s="1">
        <v>46143</v>
      </c>
      <c r="M83" s="1">
        <v>46173</v>
      </c>
      <c r="N83">
        <v>29.666961000000001</v>
      </c>
      <c r="O83" t="s">
        <v>58</v>
      </c>
      <c r="P83" t="s">
        <v>63</v>
      </c>
      <c r="Q83" t="s">
        <v>480</v>
      </c>
      <c r="R83" t="s">
        <v>484</v>
      </c>
      <c r="S83" t="s">
        <v>67</v>
      </c>
      <c r="T83" t="s">
        <v>507</v>
      </c>
      <c r="U83" t="s">
        <v>692</v>
      </c>
      <c r="V83">
        <v>16</v>
      </c>
      <c r="W83" s="2">
        <v>0</v>
      </c>
    </row>
    <row r="84" spans="1:23" x14ac:dyDescent="0.25">
      <c r="A84" t="s">
        <v>31</v>
      </c>
      <c r="B84" t="s">
        <v>32</v>
      </c>
      <c r="C84" t="s">
        <v>33</v>
      </c>
      <c r="D84" t="s">
        <v>34</v>
      </c>
      <c r="E84" t="s">
        <v>35</v>
      </c>
      <c r="F84" t="s">
        <v>36</v>
      </c>
      <c r="G84">
        <v>1141685</v>
      </c>
      <c r="H84" t="s">
        <v>76</v>
      </c>
      <c r="I84" t="s">
        <v>95</v>
      </c>
      <c r="J84" t="s">
        <v>99</v>
      </c>
      <c r="K84" t="s">
        <v>109</v>
      </c>
      <c r="L84" s="1">
        <v>46143</v>
      </c>
      <c r="M84" s="1">
        <v>46173</v>
      </c>
      <c r="N84">
        <v>0.983352</v>
      </c>
      <c r="O84" t="s">
        <v>58</v>
      </c>
      <c r="P84" t="s">
        <v>63</v>
      </c>
      <c r="Q84" t="s">
        <v>480</v>
      </c>
      <c r="R84" t="s">
        <v>484</v>
      </c>
      <c r="S84" t="s">
        <v>67</v>
      </c>
      <c r="T84" t="s">
        <v>507</v>
      </c>
      <c r="U84" t="s">
        <v>692</v>
      </c>
      <c r="V84">
        <v>16</v>
      </c>
      <c r="W84" s="2">
        <v>0</v>
      </c>
    </row>
    <row r="85" spans="1:23" x14ac:dyDescent="0.25">
      <c r="A85" t="s">
        <v>31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>
        <v>1141685</v>
      </c>
      <c r="H85" t="s">
        <v>76</v>
      </c>
      <c r="I85" t="s">
        <v>95</v>
      </c>
      <c r="J85" t="s">
        <v>99</v>
      </c>
      <c r="K85" t="s">
        <v>109</v>
      </c>
      <c r="L85" s="1">
        <v>46143</v>
      </c>
      <c r="M85" s="1">
        <v>46173</v>
      </c>
      <c r="N85">
        <v>55.816440999999998</v>
      </c>
      <c r="O85" t="s">
        <v>58</v>
      </c>
      <c r="P85" t="s">
        <v>63</v>
      </c>
      <c r="Q85" t="s">
        <v>480</v>
      </c>
      <c r="R85" t="s">
        <v>484</v>
      </c>
      <c r="S85" t="s">
        <v>67</v>
      </c>
      <c r="T85" t="s">
        <v>507</v>
      </c>
      <c r="U85" t="s">
        <v>692</v>
      </c>
      <c r="V85">
        <v>16</v>
      </c>
      <c r="W85" s="2">
        <v>0</v>
      </c>
    </row>
    <row r="86" spans="1:23" x14ac:dyDescent="0.25">
      <c r="A86" t="s">
        <v>31</v>
      </c>
      <c r="B86" t="s">
        <v>32</v>
      </c>
      <c r="C86" t="s">
        <v>33</v>
      </c>
      <c r="D86" t="s">
        <v>34</v>
      </c>
      <c r="E86" t="s">
        <v>35</v>
      </c>
      <c r="F86" t="s">
        <v>36</v>
      </c>
      <c r="G86">
        <v>1141685</v>
      </c>
      <c r="H86" t="s">
        <v>76</v>
      </c>
      <c r="I86" t="s">
        <v>95</v>
      </c>
      <c r="J86" t="s">
        <v>99</v>
      </c>
      <c r="K86" t="s">
        <v>109</v>
      </c>
      <c r="L86" s="1">
        <v>46143</v>
      </c>
      <c r="M86" s="1">
        <v>46173</v>
      </c>
      <c r="N86">
        <v>0.21667</v>
      </c>
      <c r="O86" t="s">
        <v>58</v>
      </c>
      <c r="P86" t="s">
        <v>63</v>
      </c>
      <c r="Q86" t="s">
        <v>480</v>
      </c>
      <c r="R86" t="s">
        <v>484</v>
      </c>
      <c r="S86" t="s">
        <v>67</v>
      </c>
      <c r="T86" t="s">
        <v>507</v>
      </c>
      <c r="U86" t="s">
        <v>692</v>
      </c>
      <c r="V86">
        <v>16</v>
      </c>
      <c r="W86" s="2">
        <v>0</v>
      </c>
    </row>
    <row r="87" spans="1:23" x14ac:dyDescent="0.25">
      <c r="A87" t="s">
        <v>31</v>
      </c>
      <c r="B87" t="s">
        <v>32</v>
      </c>
      <c r="C87" t="s">
        <v>33</v>
      </c>
      <c r="D87" t="s">
        <v>34</v>
      </c>
      <c r="E87" t="s">
        <v>35</v>
      </c>
      <c r="F87" t="s">
        <v>36</v>
      </c>
      <c r="G87">
        <v>1141685</v>
      </c>
      <c r="H87" t="s">
        <v>77</v>
      </c>
      <c r="I87" t="s">
        <v>96</v>
      </c>
      <c r="J87" t="s">
        <v>77</v>
      </c>
      <c r="K87" t="s">
        <v>113</v>
      </c>
      <c r="L87" s="1">
        <v>46143</v>
      </c>
      <c r="M87" s="1">
        <v>46173</v>
      </c>
      <c r="N87">
        <v>3.7869720000000001E-4</v>
      </c>
      <c r="O87" t="s">
        <v>56</v>
      </c>
      <c r="P87" t="s">
        <v>63</v>
      </c>
      <c r="Q87" t="s">
        <v>483</v>
      </c>
      <c r="R87" t="s">
        <v>488</v>
      </c>
      <c r="S87" t="s">
        <v>67</v>
      </c>
      <c r="T87" t="s">
        <v>562</v>
      </c>
      <c r="U87" t="s">
        <v>747</v>
      </c>
      <c r="V87">
        <v>7</v>
      </c>
      <c r="W87" s="2">
        <v>6.8139408599999993E-2</v>
      </c>
    </row>
    <row r="88" spans="1:23" x14ac:dyDescent="0.25">
      <c r="A88" t="s">
        <v>31</v>
      </c>
      <c r="B88" t="s">
        <v>32</v>
      </c>
      <c r="C88" t="s">
        <v>33</v>
      </c>
      <c r="D88" t="s">
        <v>34</v>
      </c>
      <c r="E88" t="s">
        <v>35</v>
      </c>
      <c r="F88" t="s">
        <v>36</v>
      </c>
      <c r="G88">
        <v>1141685</v>
      </c>
      <c r="H88" t="s">
        <v>77</v>
      </c>
      <c r="I88" t="s">
        <v>96</v>
      </c>
      <c r="J88" t="s">
        <v>77</v>
      </c>
      <c r="K88" t="s">
        <v>111</v>
      </c>
      <c r="L88" s="1">
        <v>46143</v>
      </c>
      <c r="M88" s="1">
        <v>46173</v>
      </c>
      <c r="N88">
        <v>25.589410142999998</v>
      </c>
      <c r="O88" t="s">
        <v>56</v>
      </c>
      <c r="P88" t="s">
        <v>63</v>
      </c>
      <c r="Q88" t="s">
        <v>481</v>
      </c>
      <c r="R88" t="s">
        <v>484</v>
      </c>
      <c r="S88" t="s">
        <v>67</v>
      </c>
      <c r="T88" t="s">
        <v>563</v>
      </c>
      <c r="U88" t="s">
        <v>748</v>
      </c>
      <c r="V88">
        <v>16</v>
      </c>
      <c r="W88" s="2">
        <v>4464.3290743154002</v>
      </c>
    </row>
    <row r="89" spans="1:23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36</v>
      </c>
      <c r="G89">
        <v>1141685</v>
      </c>
      <c r="H89" t="s">
        <v>77</v>
      </c>
      <c r="I89" t="s">
        <v>96</v>
      </c>
      <c r="J89" t="s">
        <v>77</v>
      </c>
      <c r="K89" t="s">
        <v>111</v>
      </c>
      <c r="L89" s="1">
        <v>46143</v>
      </c>
      <c r="M89" s="1">
        <v>46173</v>
      </c>
      <c r="N89">
        <v>35.005523423699998</v>
      </c>
      <c r="O89" t="s">
        <v>56</v>
      </c>
      <c r="P89" t="s">
        <v>63</v>
      </c>
      <c r="Q89" t="s">
        <v>481</v>
      </c>
      <c r="R89" t="s">
        <v>484</v>
      </c>
      <c r="S89" t="s">
        <v>67</v>
      </c>
      <c r="T89" t="s">
        <v>564</v>
      </c>
      <c r="U89" t="s">
        <v>749</v>
      </c>
      <c r="V89">
        <v>16</v>
      </c>
      <c r="W89" s="2">
        <v>6107.0659825099001</v>
      </c>
    </row>
    <row r="90" spans="1:23" x14ac:dyDescent="0.25">
      <c r="A90" t="s">
        <v>31</v>
      </c>
      <c r="B90" t="s">
        <v>32</v>
      </c>
      <c r="C90" t="s">
        <v>33</v>
      </c>
      <c r="D90" t="s">
        <v>34</v>
      </c>
      <c r="E90" t="s">
        <v>35</v>
      </c>
      <c r="F90" t="s">
        <v>36</v>
      </c>
      <c r="G90">
        <v>1141685</v>
      </c>
      <c r="H90" t="s">
        <v>77</v>
      </c>
      <c r="I90" t="s">
        <v>96</v>
      </c>
      <c r="J90" t="s">
        <v>77</v>
      </c>
      <c r="K90" t="s">
        <v>113</v>
      </c>
      <c r="L90" s="1">
        <v>46143</v>
      </c>
      <c r="M90" s="1">
        <v>46173</v>
      </c>
      <c r="N90">
        <v>6.1292150533000003</v>
      </c>
      <c r="O90" t="s">
        <v>56</v>
      </c>
      <c r="P90" t="s">
        <v>63</v>
      </c>
      <c r="Q90" t="s">
        <v>481</v>
      </c>
      <c r="R90" t="s">
        <v>486</v>
      </c>
      <c r="S90" t="s">
        <v>67</v>
      </c>
      <c r="T90" t="s">
        <v>565</v>
      </c>
      <c r="U90" t="s">
        <v>750</v>
      </c>
      <c r="V90">
        <v>15</v>
      </c>
      <c r="W90" s="2">
        <v>1069.3065152116001</v>
      </c>
    </row>
    <row r="91" spans="1:23" x14ac:dyDescent="0.25">
      <c r="A91" t="s">
        <v>31</v>
      </c>
      <c r="B91" t="s">
        <v>32</v>
      </c>
      <c r="C91" t="s">
        <v>33</v>
      </c>
      <c r="D91" t="s">
        <v>34</v>
      </c>
      <c r="E91" t="s">
        <v>35</v>
      </c>
      <c r="F91" t="s">
        <v>36</v>
      </c>
      <c r="G91">
        <v>1141685</v>
      </c>
      <c r="H91" t="s">
        <v>79</v>
      </c>
      <c r="I91" t="s">
        <v>94</v>
      </c>
      <c r="J91" t="s">
        <v>101</v>
      </c>
      <c r="K91" t="s">
        <v>114</v>
      </c>
      <c r="L91" s="1">
        <v>46143</v>
      </c>
      <c r="M91" s="1">
        <v>46173</v>
      </c>
      <c r="N91">
        <v>2.2350000000000001E-7</v>
      </c>
      <c r="O91" t="s">
        <v>56</v>
      </c>
      <c r="P91" t="s">
        <v>63</v>
      </c>
      <c r="Q91" t="s">
        <v>481</v>
      </c>
      <c r="R91" t="s">
        <v>484</v>
      </c>
      <c r="S91" t="s">
        <v>67</v>
      </c>
      <c r="T91" t="s">
        <v>566</v>
      </c>
      <c r="U91" t="s">
        <v>751</v>
      </c>
      <c r="V91">
        <v>16</v>
      </c>
      <c r="W91" s="2">
        <v>2.7452370000000001E-4</v>
      </c>
    </row>
    <row r="92" spans="1:23" x14ac:dyDescent="0.25">
      <c r="A92" t="s">
        <v>31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>
        <v>1141685</v>
      </c>
      <c r="H92" t="s">
        <v>79</v>
      </c>
      <c r="I92" t="s">
        <v>94</v>
      </c>
      <c r="J92" t="s">
        <v>101</v>
      </c>
      <c r="K92" t="s">
        <v>114</v>
      </c>
      <c r="L92" s="1">
        <v>46143</v>
      </c>
      <c r="M92" s="1">
        <v>46173</v>
      </c>
      <c r="N92">
        <v>1.118E-7</v>
      </c>
      <c r="O92" t="s">
        <v>56</v>
      </c>
      <c r="P92" t="s">
        <v>63</v>
      </c>
      <c r="Q92" t="s">
        <v>481</v>
      </c>
      <c r="R92" t="s">
        <v>484</v>
      </c>
      <c r="S92" t="s">
        <v>67</v>
      </c>
      <c r="T92" t="s">
        <v>567</v>
      </c>
      <c r="U92" t="s">
        <v>752</v>
      </c>
      <c r="V92">
        <v>16</v>
      </c>
      <c r="W92" s="2">
        <v>1.3726179999999999E-4</v>
      </c>
    </row>
    <row r="93" spans="1:23" x14ac:dyDescent="0.25">
      <c r="A93" t="s">
        <v>31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>
        <v>1141685</v>
      </c>
      <c r="H93" t="s">
        <v>77</v>
      </c>
      <c r="I93" t="s">
        <v>96</v>
      </c>
      <c r="J93" t="s">
        <v>77</v>
      </c>
      <c r="K93" t="s">
        <v>110</v>
      </c>
      <c r="L93" s="1">
        <v>46143</v>
      </c>
      <c r="M93" s="1">
        <v>46173</v>
      </c>
      <c r="N93">
        <v>744</v>
      </c>
      <c r="O93" t="s">
        <v>58</v>
      </c>
      <c r="P93" t="s">
        <v>63</v>
      </c>
      <c r="Q93" t="s">
        <v>483</v>
      </c>
      <c r="R93" t="s">
        <v>499</v>
      </c>
      <c r="S93" t="s">
        <v>67</v>
      </c>
      <c r="T93" t="s">
        <v>568</v>
      </c>
      <c r="U93" t="s">
        <v>753</v>
      </c>
      <c r="V93">
        <v>7</v>
      </c>
      <c r="W93" s="2">
        <v>129798.2412</v>
      </c>
    </row>
    <row r="94" spans="1:23" x14ac:dyDescent="0.25">
      <c r="A94" t="s">
        <v>31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>
        <v>1141685</v>
      </c>
      <c r="H94" t="s">
        <v>80</v>
      </c>
      <c r="I94" t="s">
        <v>96</v>
      </c>
      <c r="J94" t="s">
        <v>80</v>
      </c>
      <c r="K94" t="s">
        <v>122</v>
      </c>
      <c r="L94" s="1">
        <v>46143</v>
      </c>
      <c r="M94" s="1">
        <v>46173</v>
      </c>
      <c r="N94">
        <v>6.4543292899999993E-2</v>
      </c>
      <c r="O94" t="s">
        <v>56</v>
      </c>
      <c r="P94" t="s">
        <v>63</v>
      </c>
      <c r="Q94" t="s">
        <v>481</v>
      </c>
      <c r="R94" t="s">
        <v>486</v>
      </c>
      <c r="S94" t="s">
        <v>67</v>
      </c>
      <c r="T94" t="s">
        <v>569</v>
      </c>
      <c r="U94" t="s">
        <v>754</v>
      </c>
      <c r="V94">
        <v>15</v>
      </c>
      <c r="W94" s="2">
        <v>11.2589961268</v>
      </c>
    </row>
    <row r="95" spans="1:23" x14ac:dyDescent="0.25">
      <c r="A95" t="s">
        <v>31</v>
      </c>
      <c r="B95" t="s">
        <v>32</v>
      </c>
      <c r="C95" t="s">
        <v>33</v>
      </c>
      <c r="D95" t="s">
        <v>34</v>
      </c>
      <c r="E95" t="s">
        <v>35</v>
      </c>
      <c r="F95" t="s">
        <v>36</v>
      </c>
      <c r="G95">
        <v>1141685</v>
      </c>
      <c r="H95" t="s">
        <v>91</v>
      </c>
      <c r="I95" t="s">
        <v>95</v>
      </c>
      <c r="J95" t="s">
        <v>106</v>
      </c>
      <c r="K95" t="s">
        <v>479</v>
      </c>
      <c r="L95" s="1">
        <v>46143</v>
      </c>
      <c r="M95" s="1">
        <v>46173</v>
      </c>
      <c r="N95">
        <v>2.9506399999999999</v>
      </c>
      <c r="O95" t="s">
        <v>58</v>
      </c>
      <c r="P95" t="s">
        <v>63</v>
      </c>
      <c r="Q95" t="s">
        <v>480</v>
      </c>
      <c r="R95" t="s">
        <v>484</v>
      </c>
      <c r="S95" t="s">
        <v>67</v>
      </c>
      <c r="T95" t="s">
        <v>570</v>
      </c>
      <c r="U95" t="s">
        <v>755</v>
      </c>
      <c r="V95">
        <v>16</v>
      </c>
      <c r="W95" s="2">
        <v>12869.220396799999</v>
      </c>
    </row>
    <row r="96" spans="1:23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>
        <v>1141685</v>
      </c>
      <c r="H96" t="s">
        <v>91</v>
      </c>
      <c r="I96" t="s">
        <v>95</v>
      </c>
      <c r="J96" t="s">
        <v>106</v>
      </c>
      <c r="K96" t="s">
        <v>479</v>
      </c>
      <c r="L96" s="1">
        <v>46143</v>
      </c>
      <c r="M96" s="1">
        <v>46173</v>
      </c>
      <c r="N96">
        <v>0.81686999999999999</v>
      </c>
      <c r="O96" t="s">
        <v>58</v>
      </c>
      <c r="P96" t="s">
        <v>63</v>
      </c>
      <c r="Q96" t="s">
        <v>480</v>
      </c>
      <c r="R96" t="s">
        <v>484</v>
      </c>
      <c r="S96" t="s">
        <v>67</v>
      </c>
      <c r="T96" t="s">
        <v>571</v>
      </c>
      <c r="U96" t="s">
        <v>756</v>
      </c>
      <c r="V96">
        <v>16</v>
      </c>
      <c r="W96" s="2">
        <v>3562.7750844000002</v>
      </c>
    </row>
    <row r="97" spans="1:23" x14ac:dyDescent="0.25">
      <c r="A97" t="s">
        <v>31</v>
      </c>
      <c r="B97" t="s">
        <v>32</v>
      </c>
      <c r="C97" t="s">
        <v>33</v>
      </c>
      <c r="D97" t="s">
        <v>34</v>
      </c>
      <c r="E97" t="s">
        <v>35</v>
      </c>
      <c r="F97" t="s">
        <v>36</v>
      </c>
      <c r="G97">
        <v>1141685</v>
      </c>
      <c r="H97" t="s">
        <v>80</v>
      </c>
      <c r="I97" t="s">
        <v>96</v>
      </c>
      <c r="J97" t="s">
        <v>80</v>
      </c>
      <c r="K97" t="s">
        <v>115</v>
      </c>
      <c r="L97" s="1">
        <v>46143</v>
      </c>
      <c r="M97" s="1">
        <v>46173</v>
      </c>
      <c r="N97">
        <v>0.42764962090000003</v>
      </c>
      <c r="O97" t="s">
        <v>56</v>
      </c>
      <c r="P97" t="s">
        <v>63</v>
      </c>
      <c r="Q97" t="s">
        <v>481</v>
      </c>
      <c r="R97" t="s">
        <v>484</v>
      </c>
      <c r="S97" t="s">
        <v>67</v>
      </c>
      <c r="T97" t="s">
        <v>572</v>
      </c>
      <c r="U97" t="s">
        <v>757</v>
      </c>
      <c r="V97">
        <v>15</v>
      </c>
      <c r="W97" s="2">
        <v>74.604822521300008</v>
      </c>
    </row>
    <row r="98" spans="1:23" x14ac:dyDescent="0.25">
      <c r="A98" t="s">
        <v>31</v>
      </c>
      <c r="B98" t="s">
        <v>32</v>
      </c>
      <c r="C98" t="s">
        <v>33</v>
      </c>
      <c r="D98" t="s">
        <v>34</v>
      </c>
      <c r="E98" t="s">
        <v>35</v>
      </c>
      <c r="F98" t="s">
        <v>36</v>
      </c>
      <c r="G98">
        <v>1141685</v>
      </c>
      <c r="H98" t="s">
        <v>80</v>
      </c>
      <c r="I98" t="s">
        <v>96</v>
      </c>
      <c r="J98" t="s">
        <v>80</v>
      </c>
      <c r="K98" t="s">
        <v>115</v>
      </c>
      <c r="L98" s="1">
        <v>46143</v>
      </c>
      <c r="M98" s="1">
        <v>46173</v>
      </c>
      <c r="N98">
        <v>0.11500135440000001</v>
      </c>
      <c r="O98" t="s">
        <v>56</v>
      </c>
      <c r="P98" t="s">
        <v>63</v>
      </c>
      <c r="Q98" t="s">
        <v>481</v>
      </c>
      <c r="R98" t="s">
        <v>484</v>
      </c>
      <c r="S98" t="s">
        <v>67</v>
      </c>
      <c r="T98" t="s">
        <v>573</v>
      </c>
      <c r="U98" t="s">
        <v>758</v>
      </c>
      <c r="V98">
        <v>16</v>
      </c>
      <c r="W98" s="2">
        <v>20.065559928599999</v>
      </c>
    </row>
    <row r="99" spans="1:23" x14ac:dyDescent="0.25">
      <c r="A99" t="s">
        <v>31</v>
      </c>
      <c r="B99" t="s">
        <v>32</v>
      </c>
      <c r="C99" t="s">
        <v>33</v>
      </c>
      <c r="D99" t="s">
        <v>34</v>
      </c>
      <c r="E99" t="s">
        <v>35</v>
      </c>
      <c r="F99" t="s">
        <v>36</v>
      </c>
      <c r="G99">
        <v>1141685</v>
      </c>
      <c r="H99" t="s">
        <v>80</v>
      </c>
      <c r="I99" t="s">
        <v>96</v>
      </c>
      <c r="J99" t="s">
        <v>80</v>
      </c>
      <c r="K99" t="s">
        <v>115</v>
      </c>
      <c r="L99" s="1">
        <v>46143</v>
      </c>
      <c r="M99" s="1">
        <v>46173</v>
      </c>
      <c r="N99">
        <v>1.6650248524</v>
      </c>
      <c r="O99" t="s">
        <v>56</v>
      </c>
      <c r="P99" t="s">
        <v>63</v>
      </c>
      <c r="Q99" t="s">
        <v>481</v>
      </c>
      <c r="R99" t="s">
        <v>484</v>
      </c>
      <c r="S99" t="s">
        <v>67</v>
      </c>
      <c r="T99" t="s">
        <v>574</v>
      </c>
      <c r="U99" t="s">
        <v>759</v>
      </c>
      <c r="V99">
        <v>16</v>
      </c>
      <c r="W99" s="2">
        <v>290.48260745369998</v>
      </c>
    </row>
    <row r="100" spans="1:23" x14ac:dyDescent="0.25">
      <c r="A100" t="s">
        <v>31</v>
      </c>
      <c r="B100" t="s">
        <v>32</v>
      </c>
      <c r="C100" t="s">
        <v>33</v>
      </c>
      <c r="D100" t="s">
        <v>34</v>
      </c>
      <c r="E100" t="s">
        <v>35</v>
      </c>
      <c r="F100" t="s">
        <v>36</v>
      </c>
      <c r="G100">
        <v>1141685</v>
      </c>
      <c r="H100" t="s">
        <v>80</v>
      </c>
      <c r="I100" t="s">
        <v>96</v>
      </c>
      <c r="J100" t="s">
        <v>80</v>
      </c>
      <c r="K100" t="s">
        <v>115</v>
      </c>
      <c r="L100" s="1">
        <v>46143</v>
      </c>
      <c r="M100" s="1">
        <v>46173</v>
      </c>
      <c r="N100">
        <v>1.843012359</v>
      </c>
      <c r="O100" t="s">
        <v>56</v>
      </c>
      <c r="P100" t="s">
        <v>63</v>
      </c>
      <c r="Q100" t="s">
        <v>481</v>
      </c>
      <c r="R100" t="s">
        <v>484</v>
      </c>
      <c r="S100" t="s">
        <v>67</v>
      </c>
      <c r="T100" t="s">
        <v>575</v>
      </c>
      <c r="U100" t="s">
        <v>760</v>
      </c>
      <c r="V100">
        <v>16</v>
      </c>
      <c r="W100" s="2">
        <v>321.52810380990002</v>
      </c>
    </row>
    <row r="101" spans="1:23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>
        <v>1141685</v>
      </c>
      <c r="H101" t="s">
        <v>80</v>
      </c>
      <c r="I101" t="s">
        <v>96</v>
      </c>
      <c r="J101" t="s">
        <v>80</v>
      </c>
      <c r="K101" t="s">
        <v>115</v>
      </c>
      <c r="L101" s="1">
        <v>46143</v>
      </c>
      <c r="M101" s="1">
        <v>46173</v>
      </c>
      <c r="N101">
        <v>0.1868504882</v>
      </c>
      <c r="O101" t="s">
        <v>56</v>
      </c>
      <c r="P101" t="s">
        <v>63</v>
      </c>
      <c r="Q101" t="s">
        <v>481</v>
      </c>
      <c r="R101" t="s">
        <v>486</v>
      </c>
      <c r="S101" t="s">
        <v>67</v>
      </c>
      <c r="T101" t="s">
        <v>576</v>
      </c>
      <c r="U101" t="s">
        <v>761</v>
      </c>
      <c r="V101">
        <v>16</v>
      </c>
      <c r="W101" s="2">
        <v>32.596183827399997</v>
      </c>
    </row>
    <row r="102" spans="1:23" x14ac:dyDescent="0.25">
      <c r="A102" t="s">
        <v>31</v>
      </c>
      <c r="B102" t="s">
        <v>32</v>
      </c>
      <c r="C102" t="s">
        <v>33</v>
      </c>
      <c r="D102" t="s">
        <v>34</v>
      </c>
      <c r="E102" t="s">
        <v>35</v>
      </c>
      <c r="F102" t="s">
        <v>36</v>
      </c>
      <c r="G102">
        <v>1141685</v>
      </c>
      <c r="H102" t="s">
        <v>80</v>
      </c>
      <c r="I102" t="s">
        <v>96</v>
      </c>
      <c r="J102" t="s">
        <v>80</v>
      </c>
      <c r="K102" t="s">
        <v>115</v>
      </c>
      <c r="L102" s="1">
        <v>46143</v>
      </c>
      <c r="M102" s="1">
        <v>46173</v>
      </c>
      <c r="N102">
        <v>7.6349799999999999E-5</v>
      </c>
      <c r="O102" t="s">
        <v>56</v>
      </c>
      <c r="P102" t="s">
        <v>63</v>
      </c>
      <c r="Q102" t="s">
        <v>481</v>
      </c>
      <c r="R102" t="s">
        <v>486</v>
      </c>
      <c r="S102" t="s">
        <v>67</v>
      </c>
      <c r="T102" t="s">
        <v>577</v>
      </c>
      <c r="U102" t="s">
        <v>762</v>
      </c>
      <c r="V102">
        <v>16</v>
      </c>
      <c r="W102" s="2">
        <v>1.17215914E-2</v>
      </c>
    </row>
    <row r="103" spans="1:23" x14ac:dyDescent="0.25">
      <c r="A103" t="s">
        <v>31</v>
      </c>
      <c r="B103" t="s">
        <v>32</v>
      </c>
      <c r="C103" t="s">
        <v>33</v>
      </c>
      <c r="D103" t="s">
        <v>34</v>
      </c>
      <c r="E103" t="s">
        <v>35</v>
      </c>
      <c r="F103" t="s">
        <v>36</v>
      </c>
      <c r="G103">
        <v>1141685</v>
      </c>
      <c r="H103" t="s">
        <v>80</v>
      </c>
      <c r="I103" t="s">
        <v>96</v>
      </c>
      <c r="J103" t="s">
        <v>80</v>
      </c>
      <c r="K103" t="s">
        <v>115</v>
      </c>
      <c r="L103" s="1">
        <v>46143</v>
      </c>
      <c r="M103" s="1">
        <v>46173</v>
      </c>
      <c r="N103">
        <v>0.32400728020000003</v>
      </c>
      <c r="O103" t="s">
        <v>56</v>
      </c>
      <c r="P103" t="s">
        <v>63</v>
      </c>
      <c r="Q103" t="s">
        <v>481</v>
      </c>
      <c r="R103" t="s">
        <v>484</v>
      </c>
      <c r="S103" t="s">
        <v>67</v>
      </c>
      <c r="T103" t="s">
        <v>578</v>
      </c>
      <c r="U103" t="s">
        <v>763</v>
      </c>
      <c r="V103">
        <v>15</v>
      </c>
      <c r="W103" s="2">
        <v>56.523152886200002</v>
      </c>
    </row>
    <row r="104" spans="1:23" x14ac:dyDescent="0.25">
      <c r="A104" t="s">
        <v>31</v>
      </c>
      <c r="B104" t="s">
        <v>32</v>
      </c>
      <c r="C104" t="s">
        <v>33</v>
      </c>
      <c r="D104" t="s">
        <v>34</v>
      </c>
      <c r="E104" t="s">
        <v>35</v>
      </c>
      <c r="F104" t="s">
        <v>36</v>
      </c>
      <c r="G104">
        <v>1141685</v>
      </c>
      <c r="H104" t="s">
        <v>80</v>
      </c>
      <c r="I104" t="s">
        <v>96</v>
      </c>
      <c r="J104" t="s">
        <v>80</v>
      </c>
      <c r="K104" t="s">
        <v>115</v>
      </c>
      <c r="L104" s="1">
        <v>46143</v>
      </c>
      <c r="M104" s="1">
        <v>46173</v>
      </c>
      <c r="N104">
        <v>1.7360746683999999</v>
      </c>
      <c r="O104" t="s">
        <v>56</v>
      </c>
      <c r="P104" t="s">
        <v>63</v>
      </c>
      <c r="Q104" t="s">
        <v>481</v>
      </c>
      <c r="R104" t="s">
        <v>484</v>
      </c>
      <c r="S104" t="s">
        <v>67</v>
      </c>
      <c r="T104" t="s">
        <v>579</v>
      </c>
      <c r="U104" t="s">
        <v>764</v>
      </c>
      <c r="V104">
        <v>16</v>
      </c>
      <c r="W104" s="2">
        <v>302.88051624190001</v>
      </c>
    </row>
    <row r="105" spans="1:23" x14ac:dyDescent="0.25">
      <c r="A105" t="s">
        <v>31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>
        <v>1141685</v>
      </c>
      <c r="H105" t="s">
        <v>77</v>
      </c>
      <c r="I105" t="s">
        <v>96</v>
      </c>
      <c r="J105" t="s">
        <v>77</v>
      </c>
      <c r="K105" t="s">
        <v>110</v>
      </c>
      <c r="L105" s="1">
        <v>46143</v>
      </c>
      <c r="M105" s="1">
        <v>46173</v>
      </c>
      <c r="N105">
        <v>744</v>
      </c>
      <c r="O105" t="s">
        <v>58</v>
      </c>
      <c r="P105" t="s">
        <v>63</v>
      </c>
      <c r="Q105" t="s">
        <v>483</v>
      </c>
      <c r="R105" t="s">
        <v>500</v>
      </c>
      <c r="S105" t="s">
        <v>67</v>
      </c>
      <c r="T105" t="s">
        <v>516</v>
      </c>
      <c r="U105" t="s">
        <v>701</v>
      </c>
      <c r="V105">
        <v>7</v>
      </c>
      <c r="W105" s="2">
        <v>129798.2412</v>
      </c>
    </row>
    <row r="106" spans="1:23" x14ac:dyDescent="0.25">
      <c r="A106" t="s">
        <v>31</v>
      </c>
      <c r="B106" t="s">
        <v>32</v>
      </c>
      <c r="C106" t="s">
        <v>33</v>
      </c>
      <c r="D106" t="s">
        <v>34</v>
      </c>
      <c r="E106" t="s">
        <v>35</v>
      </c>
      <c r="F106" t="s">
        <v>36</v>
      </c>
      <c r="G106">
        <v>1141685</v>
      </c>
      <c r="H106" t="s">
        <v>79</v>
      </c>
      <c r="I106" t="s">
        <v>94</v>
      </c>
      <c r="J106" t="s">
        <v>101</v>
      </c>
      <c r="K106" t="s">
        <v>114</v>
      </c>
      <c r="L106" s="1">
        <v>46143</v>
      </c>
      <c r="M106" s="1">
        <v>46173</v>
      </c>
      <c r="N106">
        <v>5.5435670000000001E-4</v>
      </c>
      <c r="O106" t="s">
        <v>56</v>
      </c>
      <c r="P106" t="s">
        <v>63</v>
      </c>
      <c r="Q106" t="s">
        <v>481</v>
      </c>
      <c r="R106" t="s">
        <v>486</v>
      </c>
      <c r="S106" t="s">
        <v>67</v>
      </c>
      <c r="T106" t="s">
        <v>580</v>
      </c>
      <c r="U106" t="s">
        <v>765</v>
      </c>
      <c r="V106">
        <v>15</v>
      </c>
      <c r="W106" s="2">
        <v>0.77086004089999993</v>
      </c>
    </row>
    <row r="107" spans="1:23" x14ac:dyDescent="0.25">
      <c r="A107" t="s">
        <v>31</v>
      </c>
      <c r="B107" t="s">
        <v>32</v>
      </c>
      <c r="C107" t="s">
        <v>33</v>
      </c>
      <c r="D107" t="s">
        <v>34</v>
      </c>
      <c r="E107" t="s">
        <v>35</v>
      </c>
      <c r="F107" t="s">
        <v>36</v>
      </c>
      <c r="G107">
        <v>1141685</v>
      </c>
      <c r="H107" t="s">
        <v>79</v>
      </c>
      <c r="I107" t="s">
        <v>94</v>
      </c>
      <c r="J107" t="s">
        <v>101</v>
      </c>
      <c r="K107" t="s">
        <v>114</v>
      </c>
      <c r="L107" s="1">
        <v>46143</v>
      </c>
      <c r="M107" s="1">
        <v>46173</v>
      </c>
      <c r="N107">
        <v>5.9070439999999997E-4</v>
      </c>
      <c r="O107" t="s">
        <v>56</v>
      </c>
      <c r="P107" t="s">
        <v>63</v>
      </c>
      <c r="Q107" t="s">
        <v>481</v>
      </c>
      <c r="R107" t="s">
        <v>486</v>
      </c>
      <c r="S107" t="s">
        <v>67</v>
      </c>
      <c r="T107" t="s">
        <v>581</v>
      </c>
      <c r="U107" t="s">
        <v>766</v>
      </c>
      <c r="V107">
        <v>15</v>
      </c>
      <c r="W107" s="2">
        <v>0.82550217569999995</v>
      </c>
    </row>
    <row r="108" spans="1:23" x14ac:dyDescent="0.25">
      <c r="A108" t="s">
        <v>31</v>
      </c>
      <c r="B108" t="s">
        <v>32</v>
      </c>
      <c r="C108" t="s">
        <v>33</v>
      </c>
      <c r="D108" t="s">
        <v>34</v>
      </c>
      <c r="E108" t="s">
        <v>35</v>
      </c>
      <c r="F108" t="s">
        <v>36</v>
      </c>
      <c r="G108">
        <v>1141685</v>
      </c>
      <c r="H108" t="s">
        <v>79</v>
      </c>
      <c r="I108" t="s">
        <v>94</v>
      </c>
      <c r="J108" t="s">
        <v>101</v>
      </c>
      <c r="K108" t="s">
        <v>114</v>
      </c>
      <c r="L108" s="1">
        <v>46143</v>
      </c>
      <c r="M108" s="1">
        <v>46173</v>
      </c>
      <c r="N108">
        <v>8.0139999999999998E-6</v>
      </c>
      <c r="O108" t="s">
        <v>56</v>
      </c>
      <c r="P108" t="s">
        <v>63</v>
      </c>
      <c r="Q108" t="s">
        <v>481</v>
      </c>
      <c r="R108" t="s">
        <v>486</v>
      </c>
      <c r="S108" t="s">
        <v>67</v>
      </c>
      <c r="T108" t="s">
        <v>582</v>
      </c>
      <c r="U108" t="s">
        <v>767</v>
      </c>
      <c r="V108">
        <v>16</v>
      </c>
      <c r="W108" s="2">
        <v>9.8428196999999999E-3</v>
      </c>
    </row>
    <row r="109" spans="1:23" x14ac:dyDescent="0.25">
      <c r="A109" t="s">
        <v>31</v>
      </c>
      <c r="B109" t="s">
        <v>32</v>
      </c>
      <c r="C109" t="s">
        <v>33</v>
      </c>
      <c r="D109" t="s">
        <v>34</v>
      </c>
      <c r="E109" t="s">
        <v>35</v>
      </c>
      <c r="F109" t="s">
        <v>36</v>
      </c>
      <c r="G109">
        <v>1141685</v>
      </c>
      <c r="H109" t="s">
        <v>77</v>
      </c>
      <c r="I109" t="s">
        <v>96</v>
      </c>
      <c r="J109" t="s">
        <v>77</v>
      </c>
      <c r="K109" t="s">
        <v>113</v>
      </c>
      <c r="L109" s="1">
        <v>46143</v>
      </c>
      <c r="M109" s="1">
        <v>46173</v>
      </c>
      <c r="N109">
        <v>2.7453702900000002E-2</v>
      </c>
      <c r="O109" t="s">
        <v>56</v>
      </c>
      <c r="P109" t="s">
        <v>63</v>
      </c>
      <c r="Q109" t="s">
        <v>483</v>
      </c>
      <c r="R109" t="s">
        <v>488</v>
      </c>
      <c r="S109" t="s">
        <v>67</v>
      </c>
      <c r="T109" t="s">
        <v>583</v>
      </c>
      <c r="U109" t="s">
        <v>768</v>
      </c>
      <c r="V109">
        <v>7</v>
      </c>
      <c r="W109" s="2">
        <v>4.7848242423</v>
      </c>
    </row>
    <row r="110" spans="1:23" x14ac:dyDescent="0.25">
      <c r="A110" t="s">
        <v>31</v>
      </c>
      <c r="B110" t="s">
        <v>32</v>
      </c>
      <c r="C110" t="s">
        <v>33</v>
      </c>
      <c r="D110" t="s">
        <v>34</v>
      </c>
      <c r="E110" t="s">
        <v>35</v>
      </c>
      <c r="F110" t="s">
        <v>36</v>
      </c>
      <c r="G110">
        <v>1141685</v>
      </c>
      <c r="H110" t="s">
        <v>77</v>
      </c>
      <c r="I110" t="s">
        <v>96</v>
      </c>
      <c r="J110" t="s">
        <v>77</v>
      </c>
      <c r="K110" t="s">
        <v>111</v>
      </c>
      <c r="L110" s="1">
        <v>46143</v>
      </c>
      <c r="M110" s="1">
        <v>46173</v>
      </c>
      <c r="N110">
        <v>1.72046535E-2</v>
      </c>
      <c r="O110" t="s">
        <v>56</v>
      </c>
      <c r="P110" t="s">
        <v>63</v>
      </c>
      <c r="Q110" t="s">
        <v>483</v>
      </c>
      <c r="R110" t="s">
        <v>488</v>
      </c>
      <c r="S110" t="s">
        <v>67</v>
      </c>
      <c r="T110" t="s">
        <v>584</v>
      </c>
      <c r="U110" t="s">
        <v>769</v>
      </c>
      <c r="V110">
        <v>7</v>
      </c>
      <c r="W110" s="2">
        <v>3.0013409823999999</v>
      </c>
    </row>
    <row r="111" spans="1:23" x14ac:dyDescent="0.25">
      <c r="A111" t="s">
        <v>31</v>
      </c>
      <c r="B111" t="s">
        <v>32</v>
      </c>
      <c r="C111" t="s">
        <v>33</v>
      </c>
      <c r="D111" t="s">
        <v>34</v>
      </c>
      <c r="E111" t="s">
        <v>35</v>
      </c>
      <c r="F111" t="s">
        <v>36</v>
      </c>
      <c r="G111">
        <v>1141685</v>
      </c>
      <c r="H111" t="s">
        <v>79</v>
      </c>
      <c r="I111" t="s">
        <v>94</v>
      </c>
      <c r="J111" t="s">
        <v>101</v>
      </c>
      <c r="K111" t="s">
        <v>114</v>
      </c>
      <c r="L111" s="1">
        <v>46143</v>
      </c>
      <c r="M111" s="1">
        <v>46173</v>
      </c>
      <c r="N111">
        <v>5.8840309999999996E-4</v>
      </c>
      <c r="O111" t="s">
        <v>56</v>
      </c>
      <c r="P111" t="s">
        <v>63</v>
      </c>
      <c r="Q111" t="s">
        <v>481</v>
      </c>
      <c r="R111" t="s">
        <v>490</v>
      </c>
      <c r="S111" t="s">
        <v>67</v>
      </c>
      <c r="T111" t="s">
        <v>585</v>
      </c>
      <c r="U111" t="s">
        <v>770</v>
      </c>
      <c r="V111">
        <v>16</v>
      </c>
      <c r="W111" s="2">
        <v>0.82267572499999997</v>
      </c>
    </row>
    <row r="112" spans="1:23" x14ac:dyDescent="0.25">
      <c r="A112" t="s">
        <v>31</v>
      </c>
      <c r="B112" t="s">
        <v>32</v>
      </c>
      <c r="C112" t="s">
        <v>33</v>
      </c>
      <c r="D112" t="s">
        <v>34</v>
      </c>
      <c r="E112" t="s">
        <v>35</v>
      </c>
      <c r="F112" t="s">
        <v>36</v>
      </c>
      <c r="G112">
        <v>1141685</v>
      </c>
      <c r="H112" t="s">
        <v>79</v>
      </c>
      <c r="I112" t="s">
        <v>94</v>
      </c>
      <c r="J112" t="s">
        <v>101</v>
      </c>
      <c r="K112" t="s">
        <v>114</v>
      </c>
      <c r="L112" s="1">
        <v>46143</v>
      </c>
      <c r="M112" s="1">
        <v>46173</v>
      </c>
      <c r="N112">
        <v>1.118E-7</v>
      </c>
      <c r="O112" t="s">
        <v>56</v>
      </c>
      <c r="P112" t="s">
        <v>63</v>
      </c>
      <c r="Q112" t="s">
        <v>481</v>
      </c>
      <c r="R112" t="s">
        <v>484</v>
      </c>
      <c r="S112" t="s">
        <v>67</v>
      </c>
      <c r="T112" t="s">
        <v>567</v>
      </c>
      <c r="U112" t="s">
        <v>752</v>
      </c>
      <c r="V112">
        <v>16</v>
      </c>
      <c r="W112" s="2">
        <v>1.3726179999999999E-4</v>
      </c>
    </row>
    <row r="113" spans="1:23" x14ac:dyDescent="0.25">
      <c r="A113" t="s">
        <v>31</v>
      </c>
      <c r="B113" t="s">
        <v>32</v>
      </c>
      <c r="C113" t="s">
        <v>33</v>
      </c>
      <c r="D113" t="s">
        <v>34</v>
      </c>
      <c r="E113" t="s">
        <v>35</v>
      </c>
      <c r="F113" t="s">
        <v>36</v>
      </c>
      <c r="G113">
        <v>1141685</v>
      </c>
      <c r="H113" t="s">
        <v>79</v>
      </c>
      <c r="I113" t="s">
        <v>94</v>
      </c>
      <c r="J113" t="s">
        <v>101</v>
      </c>
      <c r="K113" t="s">
        <v>114</v>
      </c>
      <c r="L113" s="1">
        <v>46143</v>
      </c>
      <c r="M113" s="1">
        <v>46173</v>
      </c>
      <c r="N113">
        <v>0.14809401050000001</v>
      </c>
      <c r="O113" t="s">
        <v>56</v>
      </c>
      <c r="P113" t="s">
        <v>63</v>
      </c>
      <c r="Q113" t="s">
        <v>481</v>
      </c>
      <c r="R113" t="s">
        <v>484</v>
      </c>
      <c r="S113" t="s">
        <v>67</v>
      </c>
      <c r="T113" t="s">
        <v>586</v>
      </c>
      <c r="U113" t="s">
        <v>771</v>
      </c>
      <c r="V113">
        <v>15</v>
      </c>
      <c r="W113" s="2">
        <v>206.6888267935</v>
      </c>
    </row>
    <row r="114" spans="1:23" x14ac:dyDescent="0.25">
      <c r="A114" t="s">
        <v>31</v>
      </c>
      <c r="B114" t="s">
        <v>32</v>
      </c>
      <c r="C114" t="s">
        <v>33</v>
      </c>
      <c r="D114" t="s">
        <v>34</v>
      </c>
      <c r="E114" t="s">
        <v>35</v>
      </c>
      <c r="F114" t="s">
        <v>36</v>
      </c>
      <c r="G114">
        <v>1141685</v>
      </c>
      <c r="H114" t="s">
        <v>79</v>
      </c>
      <c r="I114" t="s">
        <v>94</v>
      </c>
      <c r="J114" t="s">
        <v>101</v>
      </c>
      <c r="K114" t="s">
        <v>114</v>
      </c>
      <c r="L114" s="1">
        <v>46143</v>
      </c>
      <c r="M114" s="1">
        <v>46173</v>
      </c>
      <c r="N114">
        <v>2.2350000000000001E-7</v>
      </c>
      <c r="O114" t="s">
        <v>56</v>
      </c>
      <c r="P114" t="s">
        <v>63</v>
      </c>
      <c r="Q114" t="s">
        <v>481</v>
      </c>
      <c r="R114" t="s">
        <v>484</v>
      </c>
      <c r="S114" t="s">
        <v>67</v>
      </c>
      <c r="T114" t="s">
        <v>566</v>
      </c>
      <c r="U114" t="s">
        <v>751</v>
      </c>
      <c r="V114">
        <v>16</v>
      </c>
      <c r="W114" s="2">
        <v>2.7452370000000001E-4</v>
      </c>
    </row>
    <row r="115" spans="1:23" x14ac:dyDescent="0.25">
      <c r="A115" t="s">
        <v>31</v>
      </c>
      <c r="B115" t="s">
        <v>32</v>
      </c>
      <c r="C115" t="s">
        <v>33</v>
      </c>
      <c r="D115" t="s">
        <v>34</v>
      </c>
      <c r="E115" t="s">
        <v>35</v>
      </c>
      <c r="F115" t="s">
        <v>36</v>
      </c>
      <c r="G115">
        <v>1141685</v>
      </c>
      <c r="H115" t="s">
        <v>77</v>
      </c>
      <c r="I115" t="s">
        <v>96</v>
      </c>
      <c r="J115" t="s">
        <v>77</v>
      </c>
      <c r="K115" t="s">
        <v>113</v>
      </c>
      <c r="L115" s="1">
        <v>46143</v>
      </c>
      <c r="M115" s="1">
        <v>46173</v>
      </c>
      <c r="N115">
        <v>6.1511902100000002E-2</v>
      </c>
      <c r="O115" t="s">
        <v>56</v>
      </c>
      <c r="P115" t="s">
        <v>63</v>
      </c>
      <c r="Q115" t="s">
        <v>483</v>
      </c>
      <c r="R115" t="s">
        <v>488</v>
      </c>
      <c r="S115" t="s">
        <v>67</v>
      </c>
      <c r="T115" t="s">
        <v>587</v>
      </c>
      <c r="U115" t="s">
        <v>772</v>
      </c>
      <c r="V115">
        <v>7</v>
      </c>
      <c r="W115" s="2">
        <v>10.733602471299999</v>
      </c>
    </row>
    <row r="116" spans="1:23" x14ac:dyDescent="0.25">
      <c r="A116" t="s">
        <v>31</v>
      </c>
      <c r="B116" t="s">
        <v>32</v>
      </c>
      <c r="C116" t="s">
        <v>33</v>
      </c>
      <c r="D116" t="s">
        <v>34</v>
      </c>
      <c r="E116" t="s">
        <v>35</v>
      </c>
      <c r="F116" t="s">
        <v>36</v>
      </c>
      <c r="G116">
        <v>1141685</v>
      </c>
      <c r="H116" t="s">
        <v>79</v>
      </c>
      <c r="I116" t="s">
        <v>94</v>
      </c>
      <c r="J116" t="s">
        <v>101</v>
      </c>
      <c r="K116" t="s">
        <v>114</v>
      </c>
      <c r="L116" s="1">
        <v>46143</v>
      </c>
      <c r="M116" s="1">
        <v>46173</v>
      </c>
      <c r="N116">
        <v>2.5066093123000002</v>
      </c>
      <c r="O116" t="s">
        <v>56</v>
      </c>
      <c r="P116" t="s">
        <v>63</v>
      </c>
      <c r="Q116" t="s">
        <v>481</v>
      </c>
      <c r="R116" t="s">
        <v>484</v>
      </c>
      <c r="S116" t="s">
        <v>67</v>
      </c>
      <c r="T116" t="s">
        <v>588</v>
      </c>
      <c r="U116" t="s">
        <v>773</v>
      </c>
      <c r="V116">
        <v>16</v>
      </c>
      <c r="W116" s="2">
        <v>3498.4235467388999</v>
      </c>
    </row>
    <row r="117" spans="1:23" x14ac:dyDescent="0.25">
      <c r="A117" t="s">
        <v>31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>
        <v>1141685</v>
      </c>
      <c r="H117" t="s">
        <v>79</v>
      </c>
      <c r="I117" t="s">
        <v>94</v>
      </c>
      <c r="J117" t="s">
        <v>101</v>
      </c>
      <c r="K117" t="s">
        <v>116</v>
      </c>
      <c r="L117" s="1">
        <v>46143</v>
      </c>
      <c r="M117" s="1">
        <v>46173</v>
      </c>
      <c r="N117">
        <v>2.29198E-5</v>
      </c>
      <c r="O117" t="s">
        <v>56</v>
      </c>
      <c r="P117" t="s">
        <v>63</v>
      </c>
      <c r="Q117" t="s">
        <v>481</v>
      </c>
      <c r="R117" t="s">
        <v>484</v>
      </c>
      <c r="S117" t="s">
        <v>67</v>
      </c>
      <c r="T117" t="s">
        <v>589</v>
      </c>
      <c r="U117" t="s">
        <v>774</v>
      </c>
      <c r="V117">
        <v>16</v>
      </c>
      <c r="W117" s="2">
        <v>2.8150121300000001E-2</v>
      </c>
    </row>
    <row r="118" spans="1:23" x14ac:dyDescent="0.25">
      <c r="A118" t="s">
        <v>31</v>
      </c>
      <c r="B118" t="s">
        <v>32</v>
      </c>
      <c r="C118" t="s">
        <v>33</v>
      </c>
      <c r="D118" t="s">
        <v>34</v>
      </c>
      <c r="E118" t="s">
        <v>35</v>
      </c>
      <c r="F118" t="s">
        <v>36</v>
      </c>
      <c r="G118">
        <v>1141685</v>
      </c>
      <c r="H118" t="s">
        <v>87</v>
      </c>
      <c r="I118" t="s">
        <v>87</v>
      </c>
      <c r="J118" t="s">
        <v>87</v>
      </c>
      <c r="K118" t="s">
        <v>125</v>
      </c>
      <c r="L118" s="1">
        <v>46143</v>
      </c>
      <c r="M118" s="1">
        <v>46173</v>
      </c>
      <c r="N118">
        <v>744</v>
      </c>
      <c r="O118" t="s">
        <v>58</v>
      </c>
      <c r="P118" t="s">
        <v>63</v>
      </c>
      <c r="Q118" t="s">
        <v>481</v>
      </c>
      <c r="R118" t="s">
        <v>164</v>
      </c>
      <c r="S118" t="s">
        <v>67</v>
      </c>
      <c r="T118" t="s">
        <v>590</v>
      </c>
      <c r="U118" t="s">
        <v>775</v>
      </c>
      <c r="V118">
        <v>12</v>
      </c>
      <c r="W118" s="2">
        <v>324495.598</v>
      </c>
    </row>
    <row r="119" spans="1:23" x14ac:dyDescent="0.25">
      <c r="A119" t="s">
        <v>31</v>
      </c>
      <c r="B119" t="s">
        <v>32</v>
      </c>
      <c r="C119" t="s">
        <v>33</v>
      </c>
      <c r="D119" t="s">
        <v>34</v>
      </c>
      <c r="E119" t="s">
        <v>35</v>
      </c>
      <c r="F119" t="s">
        <v>36</v>
      </c>
      <c r="G119">
        <v>1141685</v>
      </c>
      <c r="H119" t="s">
        <v>76</v>
      </c>
      <c r="I119" t="s">
        <v>95</v>
      </c>
      <c r="J119" t="s">
        <v>99</v>
      </c>
      <c r="K119" t="s">
        <v>109</v>
      </c>
      <c r="L119" s="1">
        <v>46143</v>
      </c>
      <c r="M119" s="1">
        <v>46173</v>
      </c>
      <c r="N119">
        <v>1.2500249999999999</v>
      </c>
      <c r="O119" t="s">
        <v>58</v>
      </c>
      <c r="P119" t="s">
        <v>63</v>
      </c>
      <c r="Q119" t="s">
        <v>480</v>
      </c>
      <c r="R119" t="s">
        <v>486</v>
      </c>
      <c r="S119" t="s">
        <v>67</v>
      </c>
      <c r="T119" t="s">
        <v>560</v>
      </c>
      <c r="U119" t="s">
        <v>745</v>
      </c>
      <c r="V119">
        <v>15</v>
      </c>
      <c r="W119" s="2">
        <v>0</v>
      </c>
    </row>
    <row r="120" spans="1:23" x14ac:dyDescent="0.25">
      <c r="A120" t="s">
        <v>31</v>
      </c>
      <c r="B120" t="s">
        <v>32</v>
      </c>
      <c r="C120" t="s">
        <v>33</v>
      </c>
      <c r="D120" t="s">
        <v>34</v>
      </c>
      <c r="E120" t="s">
        <v>35</v>
      </c>
      <c r="F120" t="s">
        <v>36</v>
      </c>
      <c r="G120">
        <v>1141685</v>
      </c>
      <c r="H120" t="s">
        <v>76</v>
      </c>
      <c r="I120" t="s">
        <v>95</v>
      </c>
      <c r="J120" t="s">
        <v>99</v>
      </c>
      <c r="K120" t="s">
        <v>109</v>
      </c>
      <c r="L120" s="1">
        <v>46143</v>
      </c>
      <c r="M120" s="1">
        <v>46173</v>
      </c>
      <c r="N120">
        <v>0.93335100000000004</v>
      </c>
      <c r="O120" t="s">
        <v>58</v>
      </c>
      <c r="P120" t="s">
        <v>63</v>
      </c>
      <c r="Q120" t="s">
        <v>480</v>
      </c>
      <c r="R120" t="s">
        <v>486</v>
      </c>
      <c r="S120" t="s">
        <v>67</v>
      </c>
      <c r="T120" t="s">
        <v>521</v>
      </c>
      <c r="U120" t="s">
        <v>706</v>
      </c>
      <c r="V120">
        <v>16</v>
      </c>
      <c r="W120" s="2">
        <v>0</v>
      </c>
    </row>
    <row r="121" spans="1:23" x14ac:dyDescent="0.25">
      <c r="A121" t="s">
        <v>31</v>
      </c>
      <c r="B121" t="s">
        <v>32</v>
      </c>
      <c r="C121" t="s">
        <v>33</v>
      </c>
      <c r="D121" t="s">
        <v>34</v>
      </c>
      <c r="E121" t="s">
        <v>35</v>
      </c>
      <c r="F121" t="s">
        <v>36</v>
      </c>
      <c r="G121">
        <v>1141685</v>
      </c>
      <c r="H121" t="s">
        <v>76</v>
      </c>
      <c r="I121" t="s">
        <v>95</v>
      </c>
      <c r="J121" t="s">
        <v>99</v>
      </c>
      <c r="K121" t="s">
        <v>109</v>
      </c>
      <c r="L121" s="1">
        <v>46143</v>
      </c>
      <c r="M121" s="1">
        <v>46173</v>
      </c>
      <c r="N121">
        <v>1.6648E-2</v>
      </c>
      <c r="O121" t="s">
        <v>58</v>
      </c>
      <c r="P121" t="s">
        <v>63</v>
      </c>
      <c r="Q121" t="s">
        <v>480</v>
      </c>
      <c r="R121" t="s">
        <v>486</v>
      </c>
      <c r="S121" t="s">
        <v>67</v>
      </c>
      <c r="T121" t="s">
        <v>521</v>
      </c>
      <c r="U121" t="s">
        <v>706</v>
      </c>
      <c r="V121">
        <v>16</v>
      </c>
      <c r="W121" s="2">
        <v>0</v>
      </c>
    </row>
    <row r="122" spans="1:23" x14ac:dyDescent="0.25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36</v>
      </c>
      <c r="G122">
        <v>1141685</v>
      </c>
      <c r="H122" t="s">
        <v>76</v>
      </c>
      <c r="I122" t="s">
        <v>95</v>
      </c>
      <c r="J122" t="s">
        <v>99</v>
      </c>
      <c r="K122" t="s">
        <v>109</v>
      </c>
      <c r="L122" s="1">
        <v>46143</v>
      </c>
      <c r="M122" s="1">
        <v>46173</v>
      </c>
      <c r="N122">
        <v>1</v>
      </c>
      <c r="O122" t="s">
        <v>58</v>
      </c>
      <c r="P122" t="s">
        <v>63</v>
      </c>
      <c r="Q122" t="s">
        <v>480</v>
      </c>
      <c r="R122" t="s">
        <v>486</v>
      </c>
      <c r="S122" t="s">
        <v>67</v>
      </c>
      <c r="T122" t="s">
        <v>521</v>
      </c>
      <c r="U122" t="s">
        <v>706</v>
      </c>
      <c r="V122">
        <v>16</v>
      </c>
      <c r="W122" s="2">
        <v>0</v>
      </c>
    </row>
    <row r="123" spans="1:23" x14ac:dyDescent="0.25">
      <c r="A123" t="s">
        <v>31</v>
      </c>
      <c r="B123" t="s">
        <v>32</v>
      </c>
      <c r="C123" t="s">
        <v>33</v>
      </c>
      <c r="D123" t="s">
        <v>34</v>
      </c>
      <c r="E123" t="s">
        <v>35</v>
      </c>
      <c r="F123" t="s">
        <v>36</v>
      </c>
      <c r="G123">
        <v>1141685</v>
      </c>
      <c r="H123" t="s">
        <v>76</v>
      </c>
      <c r="I123" t="s">
        <v>95</v>
      </c>
      <c r="J123" t="s">
        <v>99</v>
      </c>
      <c r="K123" t="s">
        <v>109</v>
      </c>
      <c r="L123" s="1">
        <v>46143</v>
      </c>
      <c r="M123" s="1">
        <v>46173</v>
      </c>
      <c r="N123">
        <v>0.78325100000000003</v>
      </c>
      <c r="O123" t="s">
        <v>58</v>
      </c>
      <c r="P123" t="s">
        <v>63</v>
      </c>
      <c r="Q123" t="s">
        <v>480</v>
      </c>
      <c r="R123" t="s">
        <v>484</v>
      </c>
      <c r="S123" t="s">
        <v>67</v>
      </c>
      <c r="T123" t="s">
        <v>508</v>
      </c>
      <c r="U123" t="s">
        <v>693</v>
      </c>
      <c r="V123">
        <v>15</v>
      </c>
      <c r="W123" s="2">
        <v>0</v>
      </c>
    </row>
    <row r="124" spans="1:23" x14ac:dyDescent="0.25">
      <c r="A124" t="s">
        <v>31</v>
      </c>
      <c r="B124" t="s">
        <v>32</v>
      </c>
      <c r="C124" t="s">
        <v>33</v>
      </c>
      <c r="D124" t="s">
        <v>34</v>
      </c>
      <c r="E124" t="s">
        <v>35</v>
      </c>
      <c r="F124" t="s">
        <v>36</v>
      </c>
      <c r="G124">
        <v>1141685</v>
      </c>
      <c r="H124" t="s">
        <v>76</v>
      </c>
      <c r="I124" t="s">
        <v>95</v>
      </c>
      <c r="J124" t="s">
        <v>99</v>
      </c>
      <c r="K124" t="s">
        <v>109</v>
      </c>
      <c r="L124" s="1">
        <v>46143</v>
      </c>
      <c r="M124" s="1">
        <v>46173</v>
      </c>
      <c r="N124">
        <v>27.634685000000001</v>
      </c>
      <c r="O124" t="s">
        <v>58</v>
      </c>
      <c r="P124" t="s">
        <v>63</v>
      </c>
      <c r="Q124" t="s">
        <v>480</v>
      </c>
      <c r="R124" t="s">
        <v>484</v>
      </c>
      <c r="S124" t="s">
        <v>67</v>
      </c>
      <c r="T124" t="s">
        <v>508</v>
      </c>
      <c r="U124" t="s">
        <v>693</v>
      </c>
      <c r="V124">
        <v>15</v>
      </c>
      <c r="W124" s="2">
        <v>0</v>
      </c>
    </row>
    <row r="125" spans="1:23" x14ac:dyDescent="0.25">
      <c r="A125" t="s">
        <v>31</v>
      </c>
      <c r="B125" t="s">
        <v>32</v>
      </c>
      <c r="C125" t="s">
        <v>33</v>
      </c>
      <c r="D125" t="s">
        <v>34</v>
      </c>
      <c r="E125" t="s">
        <v>35</v>
      </c>
      <c r="F125" t="s">
        <v>36</v>
      </c>
      <c r="G125">
        <v>1141685</v>
      </c>
      <c r="H125" t="s">
        <v>76</v>
      </c>
      <c r="I125" t="s">
        <v>95</v>
      </c>
      <c r="J125" t="s">
        <v>99</v>
      </c>
      <c r="K125" t="s">
        <v>109</v>
      </c>
      <c r="L125" s="1">
        <v>46143</v>
      </c>
      <c r="M125" s="1">
        <v>46173</v>
      </c>
      <c r="N125">
        <v>107.231739</v>
      </c>
      <c r="O125" t="s">
        <v>58</v>
      </c>
      <c r="P125" t="s">
        <v>63</v>
      </c>
      <c r="Q125" t="s">
        <v>480</v>
      </c>
      <c r="R125" t="s">
        <v>484</v>
      </c>
      <c r="S125" t="s">
        <v>67</v>
      </c>
      <c r="T125" t="s">
        <v>508</v>
      </c>
      <c r="U125" t="s">
        <v>693</v>
      </c>
      <c r="V125">
        <v>15</v>
      </c>
      <c r="W125" s="2">
        <v>0</v>
      </c>
    </row>
    <row r="126" spans="1:23" x14ac:dyDescent="0.25">
      <c r="A126" t="s">
        <v>31</v>
      </c>
      <c r="B126" t="s">
        <v>32</v>
      </c>
      <c r="C126" t="s">
        <v>33</v>
      </c>
      <c r="D126" t="s">
        <v>34</v>
      </c>
      <c r="E126" t="s">
        <v>35</v>
      </c>
      <c r="F126" t="s">
        <v>36</v>
      </c>
      <c r="G126">
        <v>1141685</v>
      </c>
      <c r="H126" t="s">
        <v>76</v>
      </c>
      <c r="I126" t="s">
        <v>95</v>
      </c>
      <c r="J126" t="s">
        <v>99</v>
      </c>
      <c r="K126" t="s">
        <v>109</v>
      </c>
      <c r="L126" s="1">
        <v>46143</v>
      </c>
      <c r="M126" s="1">
        <v>46173</v>
      </c>
      <c r="N126">
        <v>0.98335300000000003</v>
      </c>
      <c r="O126" t="s">
        <v>58</v>
      </c>
      <c r="P126" t="s">
        <v>63</v>
      </c>
      <c r="Q126" t="s">
        <v>480</v>
      </c>
      <c r="R126" t="s">
        <v>484</v>
      </c>
      <c r="S126" t="s">
        <v>67</v>
      </c>
      <c r="T126" t="s">
        <v>507</v>
      </c>
      <c r="U126" t="s">
        <v>692</v>
      </c>
      <c r="V126">
        <v>16</v>
      </c>
      <c r="W126" s="2">
        <v>0</v>
      </c>
    </row>
    <row r="127" spans="1:23" x14ac:dyDescent="0.25">
      <c r="A127" t="s">
        <v>31</v>
      </c>
      <c r="B127" t="s">
        <v>32</v>
      </c>
      <c r="C127" t="s">
        <v>33</v>
      </c>
      <c r="D127" t="s">
        <v>34</v>
      </c>
      <c r="E127" t="s">
        <v>35</v>
      </c>
      <c r="F127" t="s">
        <v>36</v>
      </c>
      <c r="G127">
        <v>1141685</v>
      </c>
      <c r="H127" t="s">
        <v>76</v>
      </c>
      <c r="I127" t="s">
        <v>95</v>
      </c>
      <c r="J127" t="s">
        <v>99</v>
      </c>
      <c r="K127" t="s">
        <v>109</v>
      </c>
      <c r="L127" s="1">
        <v>46143</v>
      </c>
      <c r="M127" s="1">
        <v>46173</v>
      </c>
      <c r="N127">
        <v>0.98335300000000003</v>
      </c>
      <c r="O127" t="s">
        <v>58</v>
      </c>
      <c r="P127" t="s">
        <v>63</v>
      </c>
      <c r="Q127" t="s">
        <v>480</v>
      </c>
      <c r="R127" t="s">
        <v>484</v>
      </c>
      <c r="S127" t="s">
        <v>67</v>
      </c>
      <c r="T127" t="s">
        <v>507</v>
      </c>
      <c r="U127" t="s">
        <v>692</v>
      </c>
      <c r="V127">
        <v>16</v>
      </c>
      <c r="W127" s="2">
        <v>0</v>
      </c>
    </row>
    <row r="128" spans="1:23" x14ac:dyDescent="0.25">
      <c r="A128" t="s">
        <v>31</v>
      </c>
      <c r="B128" t="s">
        <v>32</v>
      </c>
      <c r="C128" t="s">
        <v>33</v>
      </c>
      <c r="D128" t="s">
        <v>34</v>
      </c>
      <c r="E128" t="s">
        <v>35</v>
      </c>
      <c r="F128" t="s">
        <v>36</v>
      </c>
      <c r="G128">
        <v>1141685</v>
      </c>
      <c r="H128" t="s">
        <v>76</v>
      </c>
      <c r="I128" t="s">
        <v>95</v>
      </c>
      <c r="J128" t="s">
        <v>99</v>
      </c>
      <c r="K128" t="s">
        <v>109</v>
      </c>
      <c r="L128" s="1">
        <v>46143</v>
      </c>
      <c r="M128" s="1">
        <v>46173</v>
      </c>
      <c r="N128">
        <v>17.250337999999999</v>
      </c>
      <c r="O128" t="s">
        <v>58</v>
      </c>
      <c r="P128" t="s">
        <v>63</v>
      </c>
      <c r="Q128" t="s">
        <v>480</v>
      </c>
      <c r="R128" t="s">
        <v>484</v>
      </c>
      <c r="S128" t="s">
        <v>67</v>
      </c>
      <c r="T128" t="s">
        <v>507</v>
      </c>
      <c r="U128" t="s">
        <v>692</v>
      </c>
      <c r="V128">
        <v>16</v>
      </c>
      <c r="W128" s="2">
        <v>0</v>
      </c>
    </row>
    <row r="129" spans="1:23" x14ac:dyDescent="0.25">
      <c r="A129" t="s">
        <v>31</v>
      </c>
      <c r="B129" t="s">
        <v>32</v>
      </c>
      <c r="C129" t="s">
        <v>33</v>
      </c>
      <c r="D129" t="s">
        <v>34</v>
      </c>
      <c r="E129" t="s">
        <v>35</v>
      </c>
      <c r="F129" t="s">
        <v>36</v>
      </c>
      <c r="G129">
        <v>1141685</v>
      </c>
      <c r="H129" t="s">
        <v>76</v>
      </c>
      <c r="I129" t="s">
        <v>95</v>
      </c>
      <c r="J129" t="s">
        <v>99</v>
      </c>
      <c r="K129" t="s">
        <v>109</v>
      </c>
      <c r="L129" s="1">
        <v>46143</v>
      </c>
      <c r="M129" s="1">
        <v>46173</v>
      </c>
      <c r="N129">
        <v>8.3239999999999995E-2</v>
      </c>
      <c r="O129" t="s">
        <v>58</v>
      </c>
      <c r="P129" t="s">
        <v>63</v>
      </c>
      <c r="Q129" t="s">
        <v>480</v>
      </c>
      <c r="R129" t="s">
        <v>484</v>
      </c>
      <c r="S129" t="s">
        <v>67</v>
      </c>
      <c r="T129" t="s">
        <v>507</v>
      </c>
      <c r="U129" t="s">
        <v>692</v>
      </c>
      <c r="V129">
        <v>16</v>
      </c>
      <c r="W129" s="2">
        <v>0</v>
      </c>
    </row>
    <row r="130" spans="1:23" x14ac:dyDescent="0.25">
      <c r="A130" t="s">
        <v>31</v>
      </c>
      <c r="B130" t="s">
        <v>32</v>
      </c>
      <c r="C130" t="s">
        <v>33</v>
      </c>
      <c r="D130" t="s">
        <v>34</v>
      </c>
      <c r="E130" t="s">
        <v>35</v>
      </c>
      <c r="F130" t="s">
        <v>36</v>
      </c>
      <c r="G130">
        <v>1141685</v>
      </c>
      <c r="H130" t="s">
        <v>76</v>
      </c>
      <c r="I130" t="s">
        <v>95</v>
      </c>
      <c r="J130" t="s">
        <v>99</v>
      </c>
      <c r="K130" t="s">
        <v>109</v>
      </c>
      <c r="L130" s="1">
        <v>46143</v>
      </c>
      <c r="M130" s="1">
        <v>46173</v>
      </c>
      <c r="N130">
        <v>49.084387999999997</v>
      </c>
      <c r="O130" t="s">
        <v>58</v>
      </c>
      <c r="P130" t="s">
        <v>63</v>
      </c>
      <c r="Q130" t="s">
        <v>480</v>
      </c>
      <c r="R130" t="s">
        <v>484</v>
      </c>
      <c r="S130" t="s">
        <v>67</v>
      </c>
      <c r="T130" t="s">
        <v>507</v>
      </c>
      <c r="U130" t="s">
        <v>692</v>
      </c>
      <c r="V130">
        <v>16</v>
      </c>
      <c r="W130" s="2">
        <v>0</v>
      </c>
    </row>
    <row r="131" spans="1:23" x14ac:dyDescent="0.25">
      <c r="A131" t="s">
        <v>31</v>
      </c>
      <c r="B131" t="s">
        <v>32</v>
      </c>
      <c r="C131" t="s">
        <v>33</v>
      </c>
      <c r="D131" t="s">
        <v>34</v>
      </c>
      <c r="E131" t="s">
        <v>35</v>
      </c>
      <c r="F131" t="s">
        <v>36</v>
      </c>
      <c r="G131">
        <v>1141685</v>
      </c>
      <c r="H131" t="s">
        <v>76</v>
      </c>
      <c r="I131" t="s">
        <v>95</v>
      </c>
      <c r="J131" t="s">
        <v>99</v>
      </c>
      <c r="K131" t="s">
        <v>109</v>
      </c>
      <c r="L131" s="1">
        <v>46143</v>
      </c>
      <c r="M131" s="1">
        <v>46173</v>
      </c>
      <c r="N131">
        <v>21.349492000000001</v>
      </c>
      <c r="O131" t="s">
        <v>58</v>
      </c>
      <c r="P131" t="s">
        <v>63</v>
      </c>
      <c r="Q131" t="s">
        <v>480</v>
      </c>
      <c r="R131" t="s">
        <v>484</v>
      </c>
      <c r="S131" t="s">
        <v>67</v>
      </c>
      <c r="T131" t="s">
        <v>507</v>
      </c>
      <c r="U131" t="s">
        <v>692</v>
      </c>
      <c r="V131">
        <v>16</v>
      </c>
      <c r="W131" s="2">
        <v>0</v>
      </c>
    </row>
    <row r="132" spans="1:23" x14ac:dyDescent="0.25">
      <c r="A132" t="s">
        <v>31</v>
      </c>
      <c r="B132" t="s">
        <v>32</v>
      </c>
      <c r="C132" t="s">
        <v>33</v>
      </c>
      <c r="D132" t="s">
        <v>34</v>
      </c>
      <c r="E132" t="s">
        <v>35</v>
      </c>
      <c r="F132" t="s">
        <v>36</v>
      </c>
      <c r="G132">
        <v>1141685</v>
      </c>
      <c r="H132" t="s">
        <v>76</v>
      </c>
      <c r="I132" t="s">
        <v>95</v>
      </c>
      <c r="J132" t="s">
        <v>99</v>
      </c>
      <c r="K132" t="s">
        <v>109</v>
      </c>
      <c r="L132" s="1">
        <v>46143</v>
      </c>
      <c r="M132" s="1">
        <v>46173</v>
      </c>
      <c r="N132">
        <v>53.750393000000003</v>
      </c>
      <c r="O132" t="s">
        <v>58</v>
      </c>
      <c r="P132" t="s">
        <v>63</v>
      </c>
      <c r="Q132" t="s">
        <v>480</v>
      </c>
      <c r="R132" t="s">
        <v>484</v>
      </c>
      <c r="S132" t="s">
        <v>67</v>
      </c>
      <c r="T132" t="s">
        <v>507</v>
      </c>
      <c r="U132" t="s">
        <v>692</v>
      </c>
      <c r="V132">
        <v>16</v>
      </c>
      <c r="W132" s="2">
        <v>0</v>
      </c>
    </row>
    <row r="133" spans="1:23" x14ac:dyDescent="0.25">
      <c r="A133" t="s">
        <v>31</v>
      </c>
      <c r="B133" t="s">
        <v>32</v>
      </c>
      <c r="C133" t="s">
        <v>33</v>
      </c>
      <c r="D133" t="s">
        <v>34</v>
      </c>
      <c r="E133" t="s">
        <v>35</v>
      </c>
      <c r="F133" t="s">
        <v>36</v>
      </c>
      <c r="G133">
        <v>1141685</v>
      </c>
      <c r="H133" t="s">
        <v>76</v>
      </c>
      <c r="I133" t="s">
        <v>95</v>
      </c>
      <c r="J133" t="s">
        <v>99</v>
      </c>
      <c r="K133" t="s">
        <v>109</v>
      </c>
      <c r="L133" s="1">
        <v>46143</v>
      </c>
      <c r="M133" s="1">
        <v>46173</v>
      </c>
      <c r="N133">
        <v>0.21667</v>
      </c>
      <c r="O133" t="s">
        <v>58</v>
      </c>
      <c r="P133" t="s">
        <v>63</v>
      </c>
      <c r="Q133" t="s">
        <v>480</v>
      </c>
      <c r="R133" t="s">
        <v>484</v>
      </c>
      <c r="S133" t="s">
        <v>67</v>
      </c>
      <c r="T133" t="s">
        <v>507</v>
      </c>
      <c r="U133" t="s">
        <v>692</v>
      </c>
      <c r="V133">
        <v>16</v>
      </c>
      <c r="W133" s="2">
        <v>0</v>
      </c>
    </row>
    <row r="134" spans="1:23" x14ac:dyDescent="0.25">
      <c r="A134" t="s">
        <v>31</v>
      </c>
      <c r="B134" t="s">
        <v>32</v>
      </c>
      <c r="C134" t="s">
        <v>33</v>
      </c>
      <c r="D134" t="s">
        <v>34</v>
      </c>
      <c r="E134" t="s">
        <v>35</v>
      </c>
      <c r="F134" t="s">
        <v>36</v>
      </c>
      <c r="G134">
        <v>1141685</v>
      </c>
      <c r="H134" t="s">
        <v>76</v>
      </c>
      <c r="I134" t="s">
        <v>95</v>
      </c>
      <c r="J134" t="s">
        <v>99</v>
      </c>
      <c r="K134" t="s">
        <v>109</v>
      </c>
      <c r="L134" s="1">
        <v>46143</v>
      </c>
      <c r="M134" s="1">
        <v>46173</v>
      </c>
      <c r="N134">
        <v>0.20000299999999999</v>
      </c>
      <c r="O134" t="s">
        <v>58</v>
      </c>
      <c r="P134" t="s">
        <v>63</v>
      </c>
      <c r="Q134" t="s">
        <v>480</v>
      </c>
      <c r="R134" t="s">
        <v>484</v>
      </c>
      <c r="S134" t="s">
        <v>67</v>
      </c>
      <c r="T134" t="s">
        <v>507</v>
      </c>
      <c r="U134" t="s">
        <v>692</v>
      </c>
      <c r="V134">
        <v>16</v>
      </c>
      <c r="W134" s="2">
        <v>0</v>
      </c>
    </row>
    <row r="135" spans="1:23" x14ac:dyDescent="0.25">
      <c r="A135" t="s">
        <v>31</v>
      </c>
      <c r="B135" t="s">
        <v>32</v>
      </c>
      <c r="C135" t="s">
        <v>33</v>
      </c>
      <c r="D135" t="s">
        <v>34</v>
      </c>
      <c r="E135" t="s">
        <v>35</v>
      </c>
      <c r="F135" t="s">
        <v>36</v>
      </c>
      <c r="G135">
        <v>1141685</v>
      </c>
      <c r="H135" t="s">
        <v>38</v>
      </c>
      <c r="I135" t="s">
        <v>38</v>
      </c>
      <c r="J135" t="s">
        <v>38</v>
      </c>
      <c r="K135" t="s">
        <v>50</v>
      </c>
      <c r="L135" s="1">
        <v>46143</v>
      </c>
      <c r="M135" s="1">
        <v>46173</v>
      </c>
      <c r="N135">
        <v>420</v>
      </c>
      <c r="O135" t="s">
        <v>61</v>
      </c>
      <c r="P135" t="s">
        <v>63</v>
      </c>
      <c r="Q135" t="s">
        <v>482</v>
      </c>
      <c r="R135" t="s">
        <v>497</v>
      </c>
      <c r="S135" t="s">
        <v>66</v>
      </c>
      <c r="T135" t="s">
        <v>591</v>
      </c>
      <c r="U135" t="s">
        <v>776</v>
      </c>
      <c r="V135">
        <v>6</v>
      </c>
      <c r="W135" s="2">
        <v>212.49320639999999</v>
      </c>
    </row>
    <row r="136" spans="1:23" x14ac:dyDescent="0.25">
      <c r="A136" t="s">
        <v>31</v>
      </c>
      <c r="B136" t="s">
        <v>32</v>
      </c>
      <c r="C136" t="s">
        <v>33</v>
      </c>
      <c r="D136" t="s">
        <v>34</v>
      </c>
      <c r="E136" t="s">
        <v>35</v>
      </c>
      <c r="F136" t="s">
        <v>36</v>
      </c>
      <c r="G136">
        <v>1141685</v>
      </c>
      <c r="H136" t="s">
        <v>81</v>
      </c>
      <c r="I136" t="s">
        <v>97</v>
      </c>
      <c r="J136" t="s">
        <v>102</v>
      </c>
      <c r="K136" t="s">
        <v>117</v>
      </c>
      <c r="L136" s="1">
        <v>46143</v>
      </c>
      <c r="M136" s="1">
        <v>46173</v>
      </c>
      <c r="N136">
        <v>434</v>
      </c>
      <c r="O136" t="s">
        <v>58</v>
      </c>
      <c r="P136" t="s">
        <v>63</v>
      </c>
      <c r="Q136" t="s">
        <v>482</v>
      </c>
      <c r="R136" t="s">
        <v>485</v>
      </c>
      <c r="S136" t="s">
        <v>67</v>
      </c>
      <c r="T136" t="s">
        <v>70</v>
      </c>
      <c r="U136" t="s">
        <v>73</v>
      </c>
      <c r="V136">
        <v>6</v>
      </c>
      <c r="W136" s="2">
        <v>0</v>
      </c>
    </row>
    <row r="137" spans="1:23" x14ac:dyDescent="0.25">
      <c r="A137" t="s">
        <v>31</v>
      </c>
      <c r="B137" t="s">
        <v>32</v>
      </c>
      <c r="C137" t="s">
        <v>33</v>
      </c>
      <c r="D137" t="s">
        <v>34</v>
      </c>
      <c r="E137" t="s">
        <v>35</v>
      </c>
      <c r="F137" t="s">
        <v>36</v>
      </c>
      <c r="G137">
        <v>1141685</v>
      </c>
      <c r="H137" t="s">
        <v>81</v>
      </c>
      <c r="I137" t="s">
        <v>97</v>
      </c>
      <c r="J137" t="s">
        <v>102</v>
      </c>
      <c r="K137" t="s">
        <v>117</v>
      </c>
      <c r="L137" s="1">
        <v>46143</v>
      </c>
      <c r="M137" s="1">
        <v>46173</v>
      </c>
      <c r="N137">
        <v>1</v>
      </c>
      <c r="O137" t="s">
        <v>58</v>
      </c>
      <c r="P137" t="s">
        <v>63</v>
      </c>
      <c r="Q137" t="s">
        <v>482</v>
      </c>
      <c r="R137" t="s">
        <v>485</v>
      </c>
      <c r="S137" t="s">
        <v>67</v>
      </c>
      <c r="T137" t="s">
        <v>70</v>
      </c>
      <c r="U137" t="s">
        <v>73</v>
      </c>
      <c r="V137">
        <v>6</v>
      </c>
      <c r="W137" s="2">
        <v>0</v>
      </c>
    </row>
    <row r="138" spans="1:23" x14ac:dyDescent="0.25">
      <c r="A138" t="s">
        <v>31</v>
      </c>
      <c r="B138" t="s">
        <v>32</v>
      </c>
      <c r="C138" t="s">
        <v>33</v>
      </c>
      <c r="D138" t="s">
        <v>34</v>
      </c>
      <c r="E138" t="s">
        <v>35</v>
      </c>
      <c r="F138" t="s">
        <v>36</v>
      </c>
      <c r="G138">
        <v>1141685</v>
      </c>
      <c r="H138" t="s">
        <v>80</v>
      </c>
      <c r="I138" t="s">
        <v>96</v>
      </c>
      <c r="J138" t="s">
        <v>80</v>
      </c>
      <c r="K138" t="s">
        <v>115</v>
      </c>
      <c r="L138" s="1">
        <v>46143</v>
      </c>
      <c r="M138" s="1">
        <v>46173</v>
      </c>
      <c r="N138">
        <v>0.22419172800000001</v>
      </c>
      <c r="O138" t="s">
        <v>56</v>
      </c>
      <c r="P138" t="s">
        <v>63</v>
      </c>
      <c r="Q138" t="s">
        <v>481</v>
      </c>
      <c r="R138" t="s">
        <v>486</v>
      </c>
      <c r="S138" t="s">
        <v>67</v>
      </c>
      <c r="T138" t="s">
        <v>592</v>
      </c>
      <c r="U138" t="s">
        <v>777</v>
      </c>
      <c r="V138">
        <v>16</v>
      </c>
      <c r="W138" s="2">
        <v>39.108990207700003</v>
      </c>
    </row>
    <row r="139" spans="1:23" x14ac:dyDescent="0.25">
      <c r="A139" t="s">
        <v>31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>
        <v>1141685</v>
      </c>
      <c r="H139" t="s">
        <v>80</v>
      </c>
      <c r="I139" t="s">
        <v>96</v>
      </c>
      <c r="J139" t="s">
        <v>80</v>
      </c>
      <c r="K139" t="s">
        <v>115</v>
      </c>
      <c r="L139" s="1">
        <v>46143</v>
      </c>
      <c r="M139" s="1">
        <v>46173</v>
      </c>
      <c r="N139">
        <v>8.2156090000000005E-3</v>
      </c>
      <c r="O139" t="s">
        <v>56</v>
      </c>
      <c r="P139" t="s">
        <v>63</v>
      </c>
      <c r="Q139" t="s">
        <v>481</v>
      </c>
      <c r="R139" t="s">
        <v>486</v>
      </c>
      <c r="S139" t="s">
        <v>67</v>
      </c>
      <c r="T139" t="s">
        <v>593</v>
      </c>
      <c r="U139" t="s">
        <v>778</v>
      </c>
      <c r="V139">
        <v>15</v>
      </c>
      <c r="W139" s="2">
        <v>1.4312997288</v>
      </c>
    </row>
    <row r="140" spans="1:23" x14ac:dyDescent="0.25">
      <c r="A140" t="s">
        <v>31</v>
      </c>
      <c r="B140" t="s">
        <v>32</v>
      </c>
      <c r="C140" t="s">
        <v>33</v>
      </c>
      <c r="D140" t="s">
        <v>34</v>
      </c>
      <c r="E140" t="s">
        <v>35</v>
      </c>
      <c r="F140" t="s">
        <v>36</v>
      </c>
      <c r="G140">
        <v>1141685</v>
      </c>
      <c r="H140" t="s">
        <v>80</v>
      </c>
      <c r="I140" t="s">
        <v>96</v>
      </c>
      <c r="J140" t="s">
        <v>80</v>
      </c>
      <c r="K140" t="s">
        <v>115</v>
      </c>
      <c r="L140" s="1">
        <v>46143</v>
      </c>
      <c r="M140" s="1">
        <v>46173</v>
      </c>
      <c r="N140">
        <v>0.32871158890000002</v>
      </c>
      <c r="O140" t="s">
        <v>56</v>
      </c>
      <c r="P140" t="s">
        <v>63</v>
      </c>
      <c r="Q140" t="s">
        <v>481</v>
      </c>
      <c r="R140" t="s">
        <v>484</v>
      </c>
      <c r="S140" t="s">
        <v>67</v>
      </c>
      <c r="T140" t="s">
        <v>594</v>
      </c>
      <c r="U140" t="s">
        <v>779</v>
      </c>
      <c r="V140">
        <v>15</v>
      </c>
      <c r="W140" s="2">
        <v>57.345380938000012</v>
      </c>
    </row>
    <row r="141" spans="1:23" x14ac:dyDescent="0.25">
      <c r="A141" t="s">
        <v>31</v>
      </c>
      <c r="B141" t="s">
        <v>32</v>
      </c>
      <c r="C141" t="s">
        <v>33</v>
      </c>
      <c r="D141" t="s">
        <v>34</v>
      </c>
      <c r="E141" t="s">
        <v>35</v>
      </c>
      <c r="F141" t="s">
        <v>36</v>
      </c>
      <c r="G141">
        <v>1141685</v>
      </c>
      <c r="H141" t="s">
        <v>79</v>
      </c>
      <c r="I141" t="s">
        <v>94</v>
      </c>
      <c r="J141" t="s">
        <v>101</v>
      </c>
      <c r="K141" t="s">
        <v>116</v>
      </c>
      <c r="L141" s="1">
        <v>46143</v>
      </c>
      <c r="M141" s="1">
        <v>46173</v>
      </c>
      <c r="N141">
        <v>1.25924E-5</v>
      </c>
      <c r="O141" t="s">
        <v>56</v>
      </c>
      <c r="P141" t="s">
        <v>63</v>
      </c>
      <c r="Q141" t="s">
        <v>481</v>
      </c>
      <c r="R141" t="s">
        <v>484</v>
      </c>
      <c r="S141" t="s">
        <v>67</v>
      </c>
      <c r="T141" t="s">
        <v>595</v>
      </c>
      <c r="U141" t="s">
        <v>780</v>
      </c>
      <c r="V141">
        <v>16</v>
      </c>
      <c r="W141" s="2">
        <v>1.5465980900000001E-2</v>
      </c>
    </row>
    <row r="142" spans="1:23" x14ac:dyDescent="0.25">
      <c r="A142" t="s">
        <v>31</v>
      </c>
      <c r="B142" t="s">
        <v>32</v>
      </c>
      <c r="C142" t="s">
        <v>33</v>
      </c>
      <c r="D142" t="s">
        <v>34</v>
      </c>
      <c r="E142" t="s">
        <v>35</v>
      </c>
      <c r="F142" t="s">
        <v>36</v>
      </c>
      <c r="G142">
        <v>1141685</v>
      </c>
      <c r="H142" t="s">
        <v>77</v>
      </c>
      <c r="I142" t="s">
        <v>96</v>
      </c>
      <c r="J142" t="s">
        <v>77</v>
      </c>
      <c r="K142" t="s">
        <v>111</v>
      </c>
      <c r="L142" s="1">
        <v>46143</v>
      </c>
      <c r="M142" s="1">
        <v>46173</v>
      </c>
      <c r="N142">
        <v>5.03E-8</v>
      </c>
      <c r="O142" t="s">
        <v>56</v>
      </c>
      <c r="P142" t="s">
        <v>63</v>
      </c>
      <c r="Q142" t="s">
        <v>481</v>
      </c>
      <c r="R142" t="s">
        <v>484</v>
      </c>
      <c r="S142" t="s">
        <v>67</v>
      </c>
      <c r="T142" t="s">
        <v>596</v>
      </c>
      <c r="U142" t="s">
        <v>781</v>
      </c>
      <c r="V142">
        <v>16</v>
      </c>
      <c r="W142" s="2">
        <v>7.7208999999999992E-6</v>
      </c>
    </row>
    <row r="143" spans="1:23" x14ac:dyDescent="0.25">
      <c r="A143" t="s">
        <v>31</v>
      </c>
      <c r="B143" t="s">
        <v>32</v>
      </c>
      <c r="C143" t="s">
        <v>33</v>
      </c>
      <c r="D143" t="s">
        <v>34</v>
      </c>
      <c r="E143" t="s">
        <v>35</v>
      </c>
      <c r="F143" t="s">
        <v>36</v>
      </c>
      <c r="G143">
        <v>1141685</v>
      </c>
      <c r="H143" t="s">
        <v>77</v>
      </c>
      <c r="I143" t="s">
        <v>96</v>
      </c>
      <c r="J143" t="s">
        <v>77</v>
      </c>
      <c r="K143" t="s">
        <v>111</v>
      </c>
      <c r="L143" s="1">
        <v>46143</v>
      </c>
      <c r="M143" s="1">
        <v>46173</v>
      </c>
      <c r="N143">
        <v>2.8249687674000001</v>
      </c>
      <c r="O143" t="s">
        <v>56</v>
      </c>
      <c r="P143" t="s">
        <v>63</v>
      </c>
      <c r="Q143" t="s">
        <v>481</v>
      </c>
      <c r="R143" t="s">
        <v>484</v>
      </c>
      <c r="S143" t="s">
        <v>67</v>
      </c>
      <c r="T143" t="s">
        <v>597</v>
      </c>
      <c r="U143" t="s">
        <v>782</v>
      </c>
      <c r="V143">
        <v>16</v>
      </c>
      <c r="W143" s="2">
        <v>492.84276501400001</v>
      </c>
    </row>
    <row r="144" spans="1:23" x14ac:dyDescent="0.25">
      <c r="A144" t="s">
        <v>31</v>
      </c>
      <c r="B144" t="s">
        <v>32</v>
      </c>
      <c r="C144" t="s">
        <v>33</v>
      </c>
      <c r="D144" t="s">
        <v>34</v>
      </c>
      <c r="E144" t="s">
        <v>35</v>
      </c>
      <c r="F144" t="s">
        <v>36</v>
      </c>
      <c r="G144">
        <v>1141685</v>
      </c>
      <c r="H144" t="s">
        <v>75</v>
      </c>
      <c r="I144" t="s">
        <v>94</v>
      </c>
      <c r="J144" t="s">
        <v>98</v>
      </c>
      <c r="K144" t="s">
        <v>108</v>
      </c>
      <c r="L144" s="1">
        <v>46143</v>
      </c>
      <c r="M144" s="1">
        <v>46173</v>
      </c>
      <c r="N144">
        <v>2.5123264999999998E-3</v>
      </c>
      <c r="O144" t="s">
        <v>56</v>
      </c>
      <c r="P144" t="s">
        <v>63</v>
      </c>
      <c r="Q144" t="s">
        <v>481</v>
      </c>
      <c r="R144" t="s">
        <v>486</v>
      </c>
      <c r="S144" t="s">
        <v>67</v>
      </c>
      <c r="T144" t="s">
        <v>598</v>
      </c>
      <c r="U144" t="s">
        <v>783</v>
      </c>
      <c r="V144">
        <v>16</v>
      </c>
      <c r="W144" s="2">
        <v>5.2584530150999997</v>
      </c>
    </row>
    <row r="145" spans="1:23" x14ac:dyDescent="0.25">
      <c r="A145" t="s">
        <v>31</v>
      </c>
      <c r="B145" t="s">
        <v>32</v>
      </c>
      <c r="C145" t="s">
        <v>33</v>
      </c>
      <c r="D145" t="s">
        <v>34</v>
      </c>
      <c r="E145" t="s">
        <v>35</v>
      </c>
      <c r="F145" t="s">
        <v>36</v>
      </c>
      <c r="G145">
        <v>1141685</v>
      </c>
      <c r="H145" t="s">
        <v>75</v>
      </c>
      <c r="I145" t="s">
        <v>94</v>
      </c>
      <c r="J145" t="s">
        <v>98</v>
      </c>
      <c r="K145" t="s">
        <v>108</v>
      </c>
      <c r="L145" s="1">
        <v>46143</v>
      </c>
      <c r="M145" s="1">
        <v>46173</v>
      </c>
      <c r="N145">
        <v>0.52640577590000004</v>
      </c>
      <c r="O145" t="s">
        <v>56</v>
      </c>
      <c r="P145" t="s">
        <v>63</v>
      </c>
      <c r="Q145" t="s">
        <v>481</v>
      </c>
      <c r="R145" t="s">
        <v>486</v>
      </c>
      <c r="S145" t="s">
        <v>67</v>
      </c>
      <c r="T145" t="s">
        <v>599</v>
      </c>
      <c r="U145" t="s">
        <v>784</v>
      </c>
      <c r="V145">
        <v>15</v>
      </c>
      <c r="W145" s="2">
        <v>1006.0266448602</v>
      </c>
    </row>
    <row r="146" spans="1:23" x14ac:dyDescent="0.25">
      <c r="A146" t="s">
        <v>31</v>
      </c>
      <c r="B146" t="s">
        <v>32</v>
      </c>
      <c r="C146" t="s">
        <v>33</v>
      </c>
      <c r="D146" t="s">
        <v>34</v>
      </c>
      <c r="E146" t="s">
        <v>35</v>
      </c>
      <c r="F146" t="s">
        <v>36</v>
      </c>
      <c r="G146">
        <v>1141685</v>
      </c>
      <c r="H146" t="s">
        <v>77</v>
      </c>
      <c r="I146" t="s">
        <v>96</v>
      </c>
      <c r="J146" t="s">
        <v>77</v>
      </c>
      <c r="K146" t="s">
        <v>111</v>
      </c>
      <c r="L146" s="1">
        <v>46143</v>
      </c>
      <c r="M146" s="1">
        <v>46173</v>
      </c>
      <c r="N146">
        <v>4.8418353124999998</v>
      </c>
      <c r="O146" t="s">
        <v>56</v>
      </c>
      <c r="P146" t="s">
        <v>63</v>
      </c>
      <c r="Q146" t="s">
        <v>481</v>
      </c>
      <c r="R146" t="s">
        <v>484</v>
      </c>
      <c r="S146" t="s">
        <v>67</v>
      </c>
      <c r="T146" t="s">
        <v>600</v>
      </c>
      <c r="U146" t="s">
        <v>785</v>
      </c>
      <c r="V146">
        <v>15</v>
      </c>
      <c r="W146" s="2">
        <v>844.70179799100003</v>
      </c>
    </row>
    <row r="147" spans="1:23" x14ac:dyDescent="0.25">
      <c r="A147" t="s">
        <v>31</v>
      </c>
      <c r="B147" t="s">
        <v>32</v>
      </c>
      <c r="C147" t="s">
        <v>33</v>
      </c>
      <c r="D147" t="s">
        <v>34</v>
      </c>
      <c r="E147" t="s">
        <v>35</v>
      </c>
      <c r="F147" t="s">
        <v>36</v>
      </c>
      <c r="G147">
        <v>1141685</v>
      </c>
      <c r="H147" t="s">
        <v>77</v>
      </c>
      <c r="I147" t="s">
        <v>96</v>
      </c>
      <c r="J147" t="s">
        <v>77</v>
      </c>
      <c r="K147" t="s">
        <v>111</v>
      </c>
      <c r="L147" s="1">
        <v>46143</v>
      </c>
      <c r="M147" s="1">
        <v>46173</v>
      </c>
      <c r="N147">
        <v>1.0943281999999999E-3</v>
      </c>
      <c r="O147" t="s">
        <v>56</v>
      </c>
      <c r="P147" t="s">
        <v>63</v>
      </c>
      <c r="Q147" t="s">
        <v>481</v>
      </c>
      <c r="R147" t="s">
        <v>484</v>
      </c>
      <c r="S147" t="s">
        <v>67</v>
      </c>
      <c r="T147" t="s">
        <v>601</v>
      </c>
      <c r="U147" t="s">
        <v>786</v>
      </c>
      <c r="V147">
        <v>16</v>
      </c>
      <c r="W147" s="2">
        <v>0.18800652400000001</v>
      </c>
    </row>
    <row r="148" spans="1:23" x14ac:dyDescent="0.25">
      <c r="A148" t="s">
        <v>31</v>
      </c>
      <c r="B148" t="s">
        <v>32</v>
      </c>
      <c r="C148" t="s">
        <v>33</v>
      </c>
      <c r="D148" t="s">
        <v>34</v>
      </c>
      <c r="E148" t="s">
        <v>35</v>
      </c>
      <c r="F148" t="s">
        <v>36</v>
      </c>
      <c r="G148">
        <v>1141685</v>
      </c>
      <c r="H148" t="s">
        <v>75</v>
      </c>
      <c r="I148" t="s">
        <v>94</v>
      </c>
      <c r="J148" t="s">
        <v>98</v>
      </c>
      <c r="K148" t="s">
        <v>108</v>
      </c>
      <c r="L148" s="1">
        <v>46143</v>
      </c>
      <c r="M148" s="1">
        <v>46173</v>
      </c>
      <c r="N148">
        <v>1.229E-7</v>
      </c>
      <c r="O148" t="s">
        <v>56</v>
      </c>
      <c r="P148" t="s">
        <v>63</v>
      </c>
      <c r="Q148" t="s">
        <v>481</v>
      </c>
      <c r="R148" t="s">
        <v>484</v>
      </c>
      <c r="S148" t="s">
        <v>67</v>
      </c>
      <c r="T148" t="s">
        <v>602</v>
      </c>
      <c r="U148" t="s">
        <v>787</v>
      </c>
      <c r="V148">
        <v>16</v>
      </c>
      <c r="W148" s="2">
        <v>2.2648199999999999E-4</v>
      </c>
    </row>
    <row r="149" spans="1:23" x14ac:dyDescent="0.25">
      <c r="A149" t="s">
        <v>31</v>
      </c>
      <c r="B149" t="s">
        <v>32</v>
      </c>
      <c r="C149" t="s">
        <v>33</v>
      </c>
      <c r="D149" t="s">
        <v>34</v>
      </c>
      <c r="E149" t="s">
        <v>35</v>
      </c>
      <c r="F149" t="s">
        <v>36</v>
      </c>
      <c r="G149">
        <v>1141685</v>
      </c>
      <c r="H149" t="s">
        <v>75</v>
      </c>
      <c r="I149" t="s">
        <v>94</v>
      </c>
      <c r="J149" t="s">
        <v>98</v>
      </c>
      <c r="K149" t="s">
        <v>108</v>
      </c>
      <c r="L149" s="1">
        <v>46143</v>
      </c>
      <c r="M149" s="1">
        <v>46173</v>
      </c>
      <c r="N149">
        <v>7.1327407000000001E-3</v>
      </c>
      <c r="O149" t="s">
        <v>56</v>
      </c>
      <c r="P149" t="s">
        <v>63</v>
      </c>
      <c r="Q149" t="s">
        <v>481</v>
      </c>
      <c r="R149" t="s">
        <v>486</v>
      </c>
      <c r="S149" t="s">
        <v>67</v>
      </c>
      <c r="T149" t="s">
        <v>603</v>
      </c>
      <c r="U149" t="s">
        <v>788</v>
      </c>
      <c r="V149">
        <v>15</v>
      </c>
      <c r="W149" s="2">
        <v>13.6046910067</v>
      </c>
    </row>
    <row r="150" spans="1:23" x14ac:dyDescent="0.25">
      <c r="A150" t="s">
        <v>31</v>
      </c>
      <c r="B150" t="s">
        <v>32</v>
      </c>
      <c r="C150" t="s">
        <v>33</v>
      </c>
      <c r="D150" t="s">
        <v>34</v>
      </c>
      <c r="E150" t="s">
        <v>35</v>
      </c>
      <c r="F150" t="s">
        <v>36</v>
      </c>
      <c r="G150">
        <v>1141685</v>
      </c>
      <c r="H150" t="s">
        <v>75</v>
      </c>
      <c r="I150" t="s">
        <v>94</v>
      </c>
      <c r="J150" t="s">
        <v>98</v>
      </c>
      <c r="K150" t="s">
        <v>108</v>
      </c>
      <c r="L150" s="1">
        <v>46143</v>
      </c>
      <c r="M150" s="1">
        <v>46173</v>
      </c>
      <c r="N150">
        <v>0.33033027970000001</v>
      </c>
      <c r="O150" t="s">
        <v>56</v>
      </c>
      <c r="P150" t="s">
        <v>63</v>
      </c>
      <c r="Q150" t="s">
        <v>481</v>
      </c>
      <c r="R150" t="s">
        <v>484</v>
      </c>
      <c r="S150" t="s">
        <v>67</v>
      </c>
      <c r="T150" t="s">
        <v>604</v>
      </c>
      <c r="U150" t="s">
        <v>789</v>
      </c>
      <c r="V150">
        <v>16</v>
      </c>
      <c r="W150" s="2">
        <v>691.55668141460001</v>
      </c>
    </row>
    <row r="151" spans="1:23" x14ac:dyDescent="0.25">
      <c r="A151" t="s">
        <v>31</v>
      </c>
      <c r="B151" t="s">
        <v>32</v>
      </c>
      <c r="C151" t="s">
        <v>33</v>
      </c>
      <c r="D151" t="s">
        <v>34</v>
      </c>
      <c r="E151" t="s">
        <v>35</v>
      </c>
      <c r="F151" t="s">
        <v>36</v>
      </c>
      <c r="G151">
        <v>1141685</v>
      </c>
      <c r="H151" t="s">
        <v>75</v>
      </c>
      <c r="I151" t="s">
        <v>94</v>
      </c>
      <c r="J151" t="s">
        <v>98</v>
      </c>
      <c r="K151" t="s">
        <v>108</v>
      </c>
      <c r="L151" s="1">
        <v>46143</v>
      </c>
      <c r="M151" s="1">
        <v>46173</v>
      </c>
      <c r="N151">
        <v>3.2361749600000003E-2</v>
      </c>
      <c r="O151" t="s">
        <v>56</v>
      </c>
      <c r="P151" t="s">
        <v>63</v>
      </c>
      <c r="Q151" t="s">
        <v>481</v>
      </c>
      <c r="R151" t="s">
        <v>486</v>
      </c>
      <c r="S151" t="s">
        <v>67</v>
      </c>
      <c r="T151" t="s">
        <v>605</v>
      </c>
      <c r="U151" t="s">
        <v>790</v>
      </c>
      <c r="V151">
        <v>16</v>
      </c>
      <c r="W151" s="2">
        <v>67.749973543999999</v>
      </c>
    </row>
    <row r="152" spans="1:23" x14ac:dyDescent="0.25">
      <c r="A152" t="s">
        <v>31</v>
      </c>
      <c r="B152" t="s">
        <v>32</v>
      </c>
      <c r="C152" t="s">
        <v>33</v>
      </c>
      <c r="D152" t="s">
        <v>34</v>
      </c>
      <c r="E152" t="s">
        <v>35</v>
      </c>
      <c r="F152" t="s">
        <v>36</v>
      </c>
      <c r="G152">
        <v>1141685</v>
      </c>
      <c r="H152" t="s">
        <v>75</v>
      </c>
      <c r="I152" t="s">
        <v>94</v>
      </c>
      <c r="J152" t="s">
        <v>98</v>
      </c>
      <c r="K152" t="s">
        <v>108</v>
      </c>
      <c r="L152" s="1">
        <v>46143</v>
      </c>
      <c r="M152" s="1">
        <v>46173</v>
      </c>
      <c r="N152">
        <v>6.1261999999999999E-6</v>
      </c>
      <c r="O152" t="s">
        <v>56</v>
      </c>
      <c r="P152" t="s">
        <v>63</v>
      </c>
      <c r="Q152" t="s">
        <v>481</v>
      </c>
      <c r="R152" t="s">
        <v>484</v>
      </c>
      <c r="S152" t="s">
        <v>67</v>
      </c>
      <c r="T152" t="s">
        <v>606</v>
      </c>
      <c r="U152" t="s">
        <v>791</v>
      </c>
      <c r="V152">
        <v>16</v>
      </c>
      <c r="W152" s="2">
        <v>1.1286356900000001E-2</v>
      </c>
    </row>
    <row r="153" spans="1:23" x14ac:dyDescent="0.25">
      <c r="A153" t="s">
        <v>31</v>
      </c>
      <c r="B153" t="s">
        <v>32</v>
      </c>
      <c r="C153" t="s">
        <v>33</v>
      </c>
      <c r="D153" t="s">
        <v>34</v>
      </c>
      <c r="E153" t="s">
        <v>35</v>
      </c>
      <c r="F153" t="s">
        <v>36</v>
      </c>
      <c r="G153">
        <v>1141685</v>
      </c>
      <c r="H153" t="s">
        <v>75</v>
      </c>
      <c r="I153" t="s">
        <v>94</v>
      </c>
      <c r="J153" t="s">
        <v>98</v>
      </c>
      <c r="K153" t="s">
        <v>108</v>
      </c>
      <c r="L153" s="1">
        <v>46143</v>
      </c>
      <c r="M153" s="1">
        <v>46173</v>
      </c>
      <c r="N153">
        <v>6.5292517699999997E-2</v>
      </c>
      <c r="O153" t="s">
        <v>56</v>
      </c>
      <c r="P153" t="s">
        <v>63</v>
      </c>
      <c r="Q153" t="s">
        <v>481</v>
      </c>
      <c r="R153" t="s">
        <v>486</v>
      </c>
      <c r="S153" t="s">
        <v>67</v>
      </c>
      <c r="T153" t="s">
        <v>607</v>
      </c>
      <c r="U153" t="s">
        <v>792</v>
      </c>
      <c r="V153">
        <v>16</v>
      </c>
      <c r="W153" s="2">
        <v>136.68824857089999</v>
      </c>
    </row>
    <row r="154" spans="1:23" x14ac:dyDescent="0.25">
      <c r="A154" t="s">
        <v>31</v>
      </c>
      <c r="B154" t="s">
        <v>32</v>
      </c>
      <c r="C154" t="s">
        <v>33</v>
      </c>
      <c r="D154" t="s">
        <v>34</v>
      </c>
      <c r="E154" t="s">
        <v>35</v>
      </c>
      <c r="F154" t="s">
        <v>36</v>
      </c>
      <c r="G154">
        <v>1141685</v>
      </c>
      <c r="H154" t="s">
        <v>79</v>
      </c>
      <c r="I154" t="s">
        <v>94</v>
      </c>
      <c r="J154" t="s">
        <v>101</v>
      </c>
      <c r="K154" t="s">
        <v>116</v>
      </c>
      <c r="L154" s="1">
        <v>46143</v>
      </c>
      <c r="M154" s="1">
        <v>46173</v>
      </c>
      <c r="N154">
        <v>2.08458E-5</v>
      </c>
      <c r="O154" t="s">
        <v>56</v>
      </c>
      <c r="P154" t="s">
        <v>63</v>
      </c>
      <c r="Q154" t="s">
        <v>481</v>
      </c>
      <c r="R154" t="s">
        <v>486</v>
      </c>
      <c r="S154" t="s">
        <v>67</v>
      </c>
      <c r="T154" t="s">
        <v>608</v>
      </c>
      <c r="U154" t="s">
        <v>793</v>
      </c>
      <c r="V154">
        <v>16</v>
      </c>
      <c r="W154" s="2">
        <v>2.56027697E-2</v>
      </c>
    </row>
    <row r="155" spans="1:23" x14ac:dyDescent="0.25">
      <c r="A155" t="s">
        <v>31</v>
      </c>
      <c r="B155" t="s">
        <v>32</v>
      </c>
      <c r="C155" t="s">
        <v>33</v>
      </c>
      <c r="D155" t="s">
        <v>34</v>
      </c>
      <c r="E155" t="s">
        <v>35</v>
      </c>
      <c r="F155" t="s">
        <v>36</v>
      </c>
      <c r="G155">
        <v>1141685</v>
      </c>
      <c r="H155" t="s">
        <v>79</v>
      </c>
      <c r="I155" t="s">
        <v>94</v>
      </c>
      <c r="J155" t="s">
        <v>101</v>
      </c>
      <c r="K155" t="s">
        <v>116</v>
      </c>
      <c r="L155" s="1">
        <v>46143</v>
      </c>
      <c r="M155" s="1">
        <v>46173</v>
      </c>
      <c r="N155">
        <v>7.1370000000000003E-5</v>
      </c>
      <c r="O155" t="s">
        <v>56</v>
      </c>
      <c r="P155" t="s">
        <v>63</v>
      </c>
      <c r="Q155" t="s">
        <v>481</v>
      </c>
      <c r="R155" t="s">
        <v>490</v>
      </c>
      <c r="S155" t="s">
        <v>67</v>
      </c>
      <c r="T155" t="s">
        <v>609</v>
      </c>
      <c r="U155" t="s">
        <v>794</v>
      </c>
      <c r="V155">
        <v>17</v>
      </c>
      <c r="W155" s="2">
        <v>9.7656572399999989E-2</v>
      </c>
    </row>
    <row r="156" spans="1:23" x14ac:dyDescent="0.25">
      <c r="A156" t="s">
        <v>31</v>
      </c>
      <c r="B156" t="s">
        <v>32</v>
      </c>
      <c r="C156" t="s">
        <v>33</v>
      </c>
      <c r="D156" t="s">
        <v>34</v>
      </c>
      <c r="E156" t="s">
        <v>35</v>
      </c>
      <c r="F156" t="s">
        <v>36</v>
      </c>
      <c r="G156">
        <v>1141685</v>
      </c>
      <c r="H156" t="s">
        <v>79</v>
      </c>
      <c r="I156" t="s">
        <v>94</v>
      </c>
      <c r="J156" t="s">
        <v>101</v>
      </c>
      <c r="K156" t="s">
        <v>116</v>
      </c>
      <c r="L156" s="1">
        <v>46143</v>
      </c>
      <c r="M156" s="1">
        <v>46173</v>
      </c>
      <c r="N156">
        <v>0.41697898230000002</v>
      </c>
      <c r="O156" t="s">
        <v>56</v>
      </c>
      <c r="P156" t="s">
        <v>63</v>
      </c>
      <c r="Q156" t="s">
        <v>481</v>
      </c>
      <c r="R156" t="s">
        <v>486</v>
      </c>
      <c r="S156" t="s">
        <v>67</v>
      </c>
      <c r="T156" t="s">
        <v>610</v>
      </c>
      <c r="U156" t="s">
        <v>795</v>
      </c>
      <c r="V156">
        <v>16</v>
      </c>
      <c r="W156" s="2">
        <v>581.97291886410005</v>
      </c>
    </row>
    <row r="157" spans="1:23" x14ac:dyDescent="0.25">
      <c r="A157" t="s">
        <v>31</v>
      </c>
      <c r="B157" t="s">
        <v>32</v>
      </c>
      <c r="C157" t="s">
        <v>33</v>
      </c>
      <c r="D157" t="s">
        <v>34</v>
      </c>
      <c r="E157" t="s">
        <v>35</v>
      </c>
      <c r="F157" t="s">
        <v>36</v>
      </c>
      <c r="G157">
        <v>1141685</v>
      </c>
      <c r="H157" t="s">
        <v>79</v>
      </c>
      <c r="I157" t="s">
        <v>94</v>
      </c>
      <c r="J157" t="s">
        <v>101</v>
      </c>
      <c r="K157" t="s">
        <v>116</v>
      </c>
      <c r="L157" s="1">
        <v>46143</v>
      </c>
      <c r="M157" s="1">
        <v>46173</v>
      </c>
      <c r="N157">
        <v>0.1436343584</v>
      </c>
      <c r="O157" t="s">
        <v>56</v>
      </c>
      <c r="P157" t="s">
        <v>63</v>
      </c>
      <c r="Q157" t="s">
        <v>481</v>
      </c>
      <c r="R157" t="s">
        <v>486</v>
      </c>
      <c r="S157" t="s">
        <v>67</v>
      </c>
      <c r="T157" t="s">
        <v>611</v>
      </c>
      <c r="U157" t="s">
        <v>796</v>
      </c>
      <c r="V157">
        <v>16</v>
      </c>
      <c r="W157" s="2">
        <v>200.47148919649999</v>
      </c>
    </row>
    <row r="158" spans="1:23" x14ac:dyDescent="0.25">
      <c r="A158" t="s">
        <v>31</v>
      </c>
      <c r="B158" t="s">
        <v>32</v>
      </c>
      <c r="C158" t="s">
        <v>33</v>
      </c>
      <c r="D158" t="s">
        <v>34</v>
      </c>
      <c r="E158" t="s">
        <v>35</v>
      </c>
      <c r="F158" t="s">
        <v>36</v>
      </c>
      <c r="G158">
        <v>1141685</v>
      </c>
      <c r="H158" t="s">
        <v>77</v>
      </c>
      <c r="I158" t="s">
        <v>96</v>
      </c>
      <c r="J158" t="s">
        <v>77</v>
      </c>
      <c r="K158" t="s">
        <v>113</v>
      </c>
      <c r="L158" s="1">
        <v>46143</v>
      </c>
      <c r="M158" s="1">
        <v>46173</v>
      </c>
      <c r="N158">
        <v>28.4707267378</v>
      </c>
      <c r="O158" t="s">
        <v>56</v>
      </c>
      <c r="P158" t="s">
        <v>63</v>
      </c>
      <c r="Q158" t="s">
        <v>481</v>
      </c>
      <c r="R158" t="s">
        <v>486</v>
      </c>
      <c r="S158" t="s">
        <v>67</v>
      </c>
      <c r="T158" t="s">
        <v>612</v>
      </c>
      <c r="U158" t="s">
        <v>797</v>
      </c>
      <c r="V158">
        <v>16</v>
      </c>
      <c r="W158" s="2">
        <v>4967.0026282681001</v>
      </c>
    </row>
    <row r="159" spans="1:23" x14ac:dyDescent="0.25">
      <c r="A159" t="s">
        <v>31</v>
      </c>
      <c r="B159" t="s">
        <v>32</v>
      </c>
      <c r="C159" t="s">
        <v>33</v>
      </c>
      <c r="D159" t="s">
        <v>34</v>
      </c>
      <c r="E159" t="s">
        <v>35</v>
      </c>
      <c r="F159" t="s">
        <v>36</v>
      </c>
      <c r="G159">
        <v>1141685</v>
      </c>
      <c r="H159" t="s">
        <v>91</v>
      </c>
      <c r="I159" t="s">
        <v>95</v>
      </c>
      <c r="J159" t="s">
        <v>106</v>
      </c>
      <c r="K159" t="s">
        <v>479</v>
      </c>
      <c r="L159" s="1">
        <v>46143</v>
      </c>
      <c r="M159" s="1">
        <v>46173</v>
      </c>
      <c r="N159">
        <v>0.21667</v>
      </c>
      <c r="O159" t="s">
        <v>58</v>
      </c>
      <c r="P159" t="s">
        <v>63</v>
      </c>
      <c r="Q159" t="s">
        <v>480</v>
      </c>
      <c r="R159" t="s">
        <v>484</v>
      </c>
      <c r="S159" t="s">
        <v>67</v>
      </c>
      <c r="T159" t="s">
        <v>613</v>
      </c>
      <c r="U159" t="s">
        <v>798</v>
      </c>
      <c r="V159">
        <v>16</v>
      </c>
      <c r="W159" s="2">
        <v>945.00546039999995</v>
      </c>
    </row>
    <row r="160" spans="1:23" x14ac:dyDescent="0.25">
      <c r="A160" t="s">
        <v>31</v>
      </c>
      <c r="B160" t="s">
        <v>32</v>
      </c>
      <c r="C160" t="s">
        <v>33</v>
      </c>
      <c r="D160" t="s">
        <v>34</v>
      </c>
      <c r="E160" t="s">
        <v>35</v>
      </c>
      <c r="F160" t="s">
        <v>36</v>
      </c>
      <c r="G160">
        <v>1141685</v>
      </c>
      <c r="H160" t="s">
        <v>77</v>
      </c>
      <c r="I160" t="s">
        <v>96</v>
      </c>
      <c r="J160" t="s">
        <v>77</v>
      </c>
      <c r="K160" t="s">
        <v>113</v>
      </c>
      <c r="L160" s="1">
        <v>46143</v>
      </c>
      <c r="M160" s="1">
        <v>46173</v>
      </c>
      <c r="N160">
        <v>51.419554945100003</v>
      </c>
      <c r="O160" t="s">
        <v>56</v>
      </c>
      <c r="P160" t="s">
        <v>63</v>
      </c>
      <c r="Q160" t="s">
        <v>481</v>
      </c>
      <c r="R160" t="s">
        <v>484</v>
      </c>
      <c r="S160" t="s">
        <v>67</v>
      </c>
      <c r="T160" t="s">
        <v>614</v>
      </c>
      <c r="U160" t="s">
        <v>799</v>
      </c>
      <c r="V160">
        <v>15</v>
      </c>
      <c r="W160" s="2">
        <v>8970.6568890325998</v>
      </c>
    </row>
    <row r="161" spans="1:23" x14ac:dyDescent="0.25">
      <c r="A161" t="s">
        <v>31</v>
      </c>
      <c r="B161" t="s">
        <v>32</v>
      </c>
      <c r="C161" t="s">
        <v>33</v>
      </c>
      <c r="D161" t="s">
        <v>34</v>
      </c>
      <c r="E161" t="s">
        <v>35</v>
      </c>
      <c r="F161" t="s">
        <v>36</v>
      </c>
      <c r="G161">
        <v>1141685</v>
      </c>
      <c r="H161" t="s">
        <v>77</v>
      </c>
      <c r="I161" t="s">
        <v>96</v>
      </c>
      <c r="J161" t="s">
        <v>77</v>
      </c>
      <c r="K161" t="s">
        <v>113</v>
      </c>
      <c r="L161" s="1">
        <v>46143</v>
      </c>
      <c r="M161" s="1">
        <v>46173</v>
      </c>
      <c r="N161">
        <v>49.251072604199997</v>
      </c>
      <c r="O161" t="s">
        <v>56</v>
      </c>
      <c r="P161" t="s">
        <v>63</v>
      </c>
      <c r="Q161" t="s">
        <v>481</v>
      </c>
      <c r="R161" t="s">
        <v>484</v>
      </c>
      <c r="S161" t="s">
        <v>67</v>
      </c>
      <c r="T161" t="s">
        <v>615</v>
      </c>
      <c r="U161" t="s">
        <v>800</v>
      </c>
      <c r="V161">
        <v>15</v>
      </c>
      <c r="W161" s="2">
        <v>8592.3410713467001</v>
      </c>
    </row>
    <row r="162" spans="1:23" x14ac:dyDescent="0.25">
      <c r="A162" t="s">
        <v>31</v>
      </c>
      <c r="B162" t="s">
        <v>32</v>
      </c>
      <c r="C162" t="s">
        <v>33</v>
      </c>
      <c r="D162" t="s">
        <v>34</v>
      </c>
      <c r="E162" t="s">
        <v>35</v>
      </c>
      <c r="F162" t="s">
        <v>36</v>
      </c>
      <c r="G162">
        <v>1141685</v>
      </c>
      <c r="H162" t="s">
        <v>90</v>
      </c>
      <c r="I162" t="s">
        <v>43</v>
      </c>
      <c r="J162" t="s">
        <v>105</v>
      </c>
      <c r="K162" t="s">
        <v>128</v>
      </c>
      <c r="L162" s="1">
        <v>46143</v>
      </c>
      <c r="M162" s="1">
        <v>46173</v>
      </c>
      <c r="N162">
        <v>0.99731182799999996</v>
      </c>
      <c r="O162" t="s">
        <v>135</v>
      </c>
      <c r="P162" t="s">
        <v>63</v>
      </c>
      <c r="Q162" t="s">
        <v>482</v>
      </c>
      <c r="R162" t="s">
        <v>501</v>
      </c>
      <c r="S162" t="s">
        <v>67</v>
      </c>
      <c r="T162" t="s">
        <v>616</v>
      </c>
      <c r="U162" t="s">
        <v>801</v>
      </c>
      <c r="V162">
        <v>7</v>
      </c>
      <c r="W162" s="2">
        <v>260986.5283870938</v>
      </c>
    </row>
    <row r="163" spans="1:23" x14ac:dyDescent="0.25">
      <c r="A163" t="s">
        <v>31</v>
      </c>
      <c r="B163" t="s">
        <v>32</v>
      </c>
      <c r="C163" t="s">
        <v>33</v>
      </c>
      <c r="D163" t="s">
        <v>34</v>
      </c>
      <c r="E163" t="s">
        <v>35</v>
      </c>
      <c r="F163" t="s">
        <v>36</v>
      </c>
      <c r="G163">
        <v>1141685</v>
      </c>
      <c r="H163" t="s">
        <v>79</v>
      </c>
      <c r="I163" t="s">
        <v>94</v>
      </c>
      <c r="J163" t="s">
        <v>101</v>
      </c>
      <c r="K163" t="s">
        <v>116</v>
      </c>
      <c r="L163" s="1">
        <v>46143</v>
      </c>
      <c r="M163" s="1">
        <v>46173</v>
      </c>
      <c r="N163">
        <v>0.17475706990000001</v>
      </c>
      <c r="O163" t="s">
        <v>56</v>
      </c>
      <c r="P163" t="s">
        <v>63</v>
      </c>
      <c r="Q163" t="s">
        <v>481</v>
      </c>
      <c r="R163" t="s">
        <v>484</v>
      </c>
      <c r="S163" t="s">
        <v>67</v>
      </c>
      <c r="T163" t="s">
        <v>617</v>
      </c>
      <c r="U163" t="s">
        <v>802</v>
      </c>
      <c r="V163">
        <v>16</v>
      </c>
      <c r="W163" s="2">
        <v>243.90635364959999</v>
      </c>
    </row>
    <row r="164" spans="1:23" x14ac:dyDescent="0.25">
      <c r="A164" t="s">
        <v>31</v>
      </c>
      <c r="B164" t="s">
        <v>32</v>
      </c>
      <c r="C164" t="s">
        <v>33</v>
      </c>
      <c r="D164" t="s">
        <v>34</v>
      </c>
      <c r="E164" t="s">
        <v>35</v>
      </c>
      <c r="F164" t="s">
        <v>36</v>
      </c>
      <c r="G164">
        <v>1141685</v>
      </c>
      <c r="H164" t="s">
        <v>77</v>
      </c>
      <c r="I164" t="s">
        <v>96</v>
      </c>
      <c r="J164" t="s">
        <v>77</v>
      </c>
      <c r="K164" t="s">
        <v>113</v>
      </c>
      <c r="L164" s="1">
        <v>46143</v>
      </c>
      <c r="M164" s="1">
        <v>46173</v>
      </c>
      <c r="N164">
        <v>3.6634656600000003E-2</v>
      </c>
      <c r="O164" t="s">
        <v>56</v>
      </c>
      <c r="P164" t="s">
        <v>63</v>
      </c>
      <c r="Q164" t="s">
        <v>481</v>
      </c>
      <c r="R164" t="s">
        <v>484</v>
      </c>
      <c r="S164" t="s">
        <v>67</v>
      </c>
      <c r="T164" t="s">
        <v>618</v>
      </c>
      <c r="U164" t="s">
        <v>803</v>
      </c>
      <c r="V164">
        <v>16</v>
      </c>
      <c r="W164" s="2">
        <v>6.3943283276000003</v>
      </c>
    </row>
    <row r="165" spans="1:23" x14ac:dyDescent="0.25">
      <c r="A165" t="s">
        <v>31</v>
      </c>
      <c r="B165" t="s">
        <v>32</v>
      </c>
      <c r="C165" t="s">
        <v>33</v>
      </c>
      <c r="D165" t="s">
        <v>34</v>
      </c>
      <c r="E165" t="s">
        <v>35</v>
      </c>
      <c r="F165" t="s">
        <v>36</v>
      </c>
      <c r="G165">
        <v>1141685</v>
      </c>
      <c r="H165" t="s">
        <v>77</v>
      </c>
      <c r="I165" t="s">
        <v>96</v>
      </c>
      <c r="J165" t="s">
        <v>77</v>
      </c>
      <c r="K165" t="s">
        <v>113</v>
      </c>
      <c r="L165" s="1">
        <v>46143</v>
      </c>
      <c r="M165" s="1">
        <v>46173</v>
      </c>
      <c r="N165">
        <v>1.6799480000000001E-4</v>
      </c>
      <c r="O165" t="s">
        <v>56</v>
      </c>
      <c r="P165" t="s">
        <v>63</v>
      </c>
      <c r="Q165" t="s">
        <v>481</v>
      </c>
      <c r="R165" t="s">
        <v>486</v>
      </c>
      <c r="S165" t="s">
        <v>67</v>
      </c>
      <c r="T165" t="s">
        <v>619</v>
      </c>
      <c r="U165" t="s">
        <v>804</v>
      </c>
      <c r="V165">
        <v>16</v>
      </c>
      <c r="W165" s="2">
        <v>2.5791361700000001E-2</v>
      </c>
    </row>
    <row r="166" spans="1:23" x14ac:dyDescent="0.25">
      <c r="A166" t="s">
        <v>31</v>
      </c>
      <c r="B166" t="s">
        <v>32</v>
      </c>
      <c r="C166" t="s">
        <v>33</v>
      </c>
      <c r="D166" t="s">
        <v>34</v>
      </c>
      <c r="E166" t="s">
        <v>35</v>
      </c>
      <c r="F166" t="s">
        <v>36</v>
      </c>
      <c r="G166">
        <v>1141685</v>
      </c>
      <c r="H166" t="s">
        <v>77</v>
      </c>
      <c r="I166" t="s">
        <v>96</v>
      </c>
      <c r="J166" t="s">
        <v>77</v>
      </c>
      <c r="K166" t="s">
        <v>113</v>
      </c>
      <c r="L166" s="1">
        <v>46143</v>
      </c>
      <c r="M166" s="1">
        <v>46173</v>
      </c>
      <c r="N166">
        <v>263.95358575969999</v>
      </c>
      <c r="O166" t="s">
        <v>56</v>
      </c>
      <c r="P166" t="s">
        <v>63</v>
      </c>
      <c r="Q166" t="s">
        <v>481</v>
      </c>
      <c r="R166" t="s">
        <v>484</v>
      </c>
      <c r="S166" t="s">
        <v>67</v>
      </c>
      <c r="T166" t="s">
        <v>620</v>
      </c>
      <c r="U166" t="s">
        <v>805</v>
      </c>
      <c r="V166">
        <v>16</v>
      </c>
      <c r="W166" s="2">
        <v>46049.341463046403</v>
      </c>
    </row>
    <row r="167" spans="1:23" x14ac:dyDescent="0.25">
      <c r="A167" t="s">
        <v>31</v>
      </c>
      <c r="B167" t="s">
        <v>32</v>
      </c>
      <c r="C167" t="s">
        <v>33</v>
      </c>
      <c r="D167" t="s">
        <v>34</v>
      </c>
      <c r="E167" t="s">
        <v>35</v>
      </c>
      <c r="F167" t="s">
        <v>36</v>
      </c>
      <c r="G167">
        <v>1141685</v>
      </c>
      <c r="H167" t="s">
        <v>88</v>
      </c>
      <c r="I167" t="s">
        <v>88</v>
      </c>
      <c r="J167" t="s">
        <v>88</v>
      </c>
      <c r="K167" t="s">
        <v>126</v>
      </c>
      <c r="L167" s="1">
        <v>46143</v>
      </c>
      <c r="M167" s="1">
        <v>46173</v>
      </c>
      <c r="N167">
        <v>744</v>
      </c>
      <c r="O167" t="s">
        <v>58</v>
      </c>
      <c r="P167" t="s">
        <v>63</v>
      </c>
      <c r="Q167" t="s">
        <v>482</v>
      </c>
      <c r="R167" t="s">
        <v>496</v>
      </c>
      <c r="S167" t="s">
        <v>67</v>
      </c>
      <c r="T167" t="s">
        <v>621</v>
      </c>
      <c r="U167" t="s">
        <v>806</v>
      </c>
      <c r="V167">
        <v>8</v>
      </c>
      <c r="W167" s="2">
        <v>389394.72360000003</v>
      </c>
    </row>
    <row r="168" spans="1:23" x14ac:dyDescent="0.25">
      <c r="A168" t="s">
        <v>31</v>
      </c>
      <c r="B168" t="s">
        <v>32</v>
      </c>
      <c r="C168" t="s">
        <v>33</v>
      </c>
      <c r="D168" t="s">
        <v>34</v>
      </c>
      <c r="E168" t="s">
        <v>35</v>
      </c>
      <c r="F168" t="s">
        <v>36</v>
      </c>
      <c r="G168">
        <v>1141685</v>
      </c>
      <c r="H168" t="s">
        <v>75</v>
      </c>
      <c r="I168" t="s">
        <v>94</v>
      </c>
      <c r="J168" t="s">
        <v>98</v>
      </c>
      <c r="K168" t="s">
        <v>108</v>
      </c>
      <c r="L168" s="1">
        <v>46143</v>
      </c>
      <c r="M168" s="1">
        <v>46173</v>
      </c>
      <c r="N168">
        <v>1.0800352000000001E-3</v>
      </c>
      <c r="O168" t="s">
        <v>56</v>
      </c>
      <c r="P168" t="s">
        <v>63</v>
      </c>
      <c r="Q168" t="s">
        <v>481</v>
      </c>
      <c r="R168" t="s">
        <v>486</v>
      </c>
      <c r="S168" t="s">
        <v>67</v>
      </c>
      <c r="T168" t="s">
        <v>622</v>
      </c>
      <c r="U168" t="s">
        <v>807</v>
      </c>
      <c r="V168">
        <v>16</v>
      </c>
      <c r="W168" s="2">
        <v>2.2597463158000002</v>
      </c>
    </row>
    <row r="169" spans="1:23" x14ac:dyDescent="0.25">
      <c r="A169" t="s">
        <v>31</v>
      </c>
      <c r="B169" t="s">
        <v>32</v>
      </c>
      <c r="C169" t="s">
        <v>33</v>
      </c>
      <c r="D169" t="s">
        <v>34</v>
      </c>
      <c r="E169" t="s">
        <v>35</v>
      </c>
      <c r="F169" t="s">
        <v>36</v>
      </c>
      <c r="G169">
        <v>1141685</v>
      </c>
      <c r="H169" t="s">
        <v>75</v>
      </c>
      <c r="I169" t="s">
        <v>94</v>
      </c>
      <c r="J169" t="s">
        <v>98</v>
      </c>
      <c r="K169" t="s">
        <v>108</v>
      </c>
      <c r="L169" s="1">
        <v>46143</v>
      </c>
      <c r="M169" s="1">
        <v>46173</v>
      </c>
      <c r="N169">
        <v>6.6435866100000004E-2</v>
      </c>
      <c r="O169" t="s">
        <v>56</v>
      </c>
      <c r="P169" t="s">
        <v>63</v>
      </c>
      <c r="Q169" t="s">
        <v>481</v>
      </c>
      <c r="R169" t="s">
        <v>484</v>
      </c>
      <c r="S169" t="s">
        <v>67</v>
      </c>
      <c r="T169" t="s">
        <v>623</v>
      </c>
      <c r="U169" t="s">
        <v>808</v>
      </c>
      <c r="V169">
        <v>15</v>
      </c>
      <c r="W169" s="2">
        <v>131.32484466060001</v>
      </c>
    </row>
    <row r="170" spans="1:23" x14ac:dyDescent="0.25">
      <c r="A170" t="s">
        <v>31</v>
      </c>
      <c r="B170" t="s">
        <v>32</v>
      </c>
      <c r="C170" t="s">
        <v>33</v>
      </c>
      <c r="D170" t="s">
        <v>34</v>
      </c>
      <c r="E170" t="s">
        <v>35</v>
      </c>
      <c r="F170" t="s">
        <v>36</v>
      </c>
      <c r="G170">
        <v>1141685</v>
      </c>
      <c r="H170" t="s">
        <v>75</v>
      </c>
      <c r="I170" t="s">
        <v>94</v>
      </c>
      <c r="J170" t="s">
        <v>98</v>
      </c>
      <c r="K170" t="s">
        <v>108</v>
      </c>
      <c r="L170" s="1">
        <v>46143</v>
      </c>
      <c r="M170" s="1">
        <v>46173</v>
      </c>
      <c r="N170">
        <v>0.3609256065</v>
      </c>
      <c r="O170" t="s">
        <v>56</v>
      </c>
      <c r="P170" t="s">
        <v>63</v>
      </c>
      <c r="Q170" t="s">
        <v>481</v>
      </c>
      <c r="R170" t="s">
        <v>484</v>
      </c>
      <c r="S170" t="s">
        <v>67</v>
      </c>
      <c r="T170" t="s">
        <v>624</v>
      </c>
      <c r="U170" t="s">
        <v>809</v>
      </c>
      <c r="V170">
        <v>16</v>
      </c>
      <c r="W170" s="2">
        <v>755.60237854280001</v>
      </c>
    </row>
    <row r="171" spans="1:23" x14ac:dyDescent="0.25">
      <c r="A171" t="s">
        <v>31</v>
      </c>
      <c r="B171" t="s">
        <v>32</v>
      </c>
      <c r="C171" t="s">
        <v>33</v>
      </c>
      <c r="D171" t="s">
        <v>34</v>
      </c>
      <c r="E171" t="s">
        <v>35</v>
      </c>
      <c r="F171" t="s">
        <v>36</v>
      </c>
      <c r="G171">
        <v>1141685</v>
      </c>
      <c r="H171" t="s">
        <v>82</v>
      </c>
      <c r="I171" t="s">
        <v>82</v>
      </c>
      <c r="J171" t="s">
        <v>82</v>
      </c>
      <c r="K171" t="s">
        <v>120</v>
      </c>
      <c r="L171" s="1">
        <v>46143</v>
      </c>
      <c r="M171" s="1">
        <v>46173</v>
      </c>
      <c r="N171">
        <v>1</v>
      </c>
      <c r="O171" t="s">
        <v>61</v>
      </c>
      <c r="P171" t="s">
        <v>63</v>
      </c>
      <c r="Q171" t="s">
        <v>483</v>
      </c>
      <c r="R171" t="s">
        <v>148</v>
      </c>
      <c r="S171" t="s">
        <v>68</v>
      </c>
      <c r="T171" t="s">
        <v>547</v>
      </c>
      <c r="U171" t="s">
        <v>732</v>
      </c>
      <c r="V171">
        <v>7</v>
      </c>
      <c r="W171" s="2">
        <v>2691.9341720419998</v>
      </c>
    </row>
    <row r="172" spans="1:23" x14ac:dyDescent="0.25">
      <c r="A172" t="s">
        <v>31</v>
      </c>
      <c r="B172" t="s">
        <v>32</v>
      </c>
      <c r="C172" t="s">
        <v>33</v>
      </c>
      <c r="D172" t="s">
        <v>34</v>
      </c>
      <c r="E172" t="s">
        <v>35</v>
      </c>
      <c r="F172" t="s">
        <v>36</v>
      </c>
      <c r="G172">
        <v>1141685</v>
      </c>
      <c r="H172" t="s">
        <v>85</v>
      </c>
      <c r="I172" t="s">
        <v>85</v>
      </c>
      <c r="J172" t="s">
        <v>85</v>
      </c>
      <c r="K172" t="s">
        <v>123</v>
      </c>
      <c r="L172" s="1">
        <v>46143</v>
      </c>
      <c r="M172" s="1">
        <v>46173</v>
      </c>
      <c r="N172">
        <v>33120</v>
      </c>
      <c r="O172" t="s">
        <v>61</v>
      </c>
      <c r="P172" t="s">
        <v>63</v>
      </c>
      <c r="Q172" t="s">
        <v>482</v>
      </c>
      <c r="R172" t="s">
        <v>502</v>
      </c>
      <c r="S172" t="s">
        <v>66</v>
      </c>
      <c r="T172" t="s">
        <v>625</v>
      </c>
      <c r="U172" t="s">
        <v>810</v>
      </c>
      <c r="V172">
        <v>6</v>
      </c>
      <c r="W172" s="2">
        <v>338019.74049599998</v>
      </c>
    </row>
    <row r="173" spans="1:23" x14ac:dyDescent="0.25">
      <c r="A173" t="s">
        <v>31</v>
      </c>
      <c r="B173" t="s">
        <v>32</v>
      </c>
      <c r="C173" t="s">
        <v>33</v>
      </c>
      <c r="D173" t="s">
        <v>34</v>
      </c>
      <c r="E173" t="s">
        <v>35</v>
      </c>
      <c r="F173" t="s">
        <v>36</v>
      </c>
      <c r="G173">
        <v>1141685</v>
      </c>
      <c r="H173" t="s">
        <v>75</v>
      </c>
      <c r="I173" t="s">
        <v>94</v>
      </c>
      <c r="J173" t="s">
        <v>98</v>
      </c>
      <c r="K173" t="s">
        <v>108</v>
      </c>
      <c r="L173" s="1">
        <v>46143</v>
      </c>
      <c r="M173" s="1">
        <v>46173</v>
      </c>
      <c r="N173">
        <v>6.98508397E-2</v>
      </c>
      <c r="O173" t="s">
        <v>56</v>
      </c>
      <c r="P173" t="s">
        <v>63</v>
      </c>
      <c r="Q173" t="s">
        <v>481</v>
      </c>
      <c r="R173" t="s">
        <v>484</v>
      </c>
      <c r="S173" t="s">
        <v>67</v>
      </c>
      <c r="T173" t="s">
        <v>626</v>
      </c>
      <c r="U173" t="s">
        <v>811</v>
      </c>
      <c r="V173">
        <v>15</v>
      </c>
      <c r="W173" s="2">
        <v>140.8615082618</v>
      </c>
    </row>
    <row r="174" spans="1:23" x14ac:dyDescent="0.25">
      <c r="A174" t="s">
        <v>31</v>
      </c>
      <c r="B174" t="s">
        <v>32</v>
      </c>
      <c r="C174" t="s">
        <v>33</v>
      </c>
      <c r="D174" t="s">
        <v>34</v>
      </c>
      <c r="E174" t="s">
        <v>35</v>
      </c>
      <c r="F174" t="s">
        <v>36</v>
      </c>
      <c r="G174">
        <v>1141685</v>
      </c>
      <c r="H174" t="s">
        <v>75</v>
      </c>
      <c r="I174" t="s">
        <v>94</v>
      </c>
      <c r="J174" t="s">
        <v>98</v>
      </c>
      <c r="K174" t="s">
        <v>108</v>
      </c>
      <c r="L174" s="1">
        <v>46143</v>
      </c>
      <c r="M174" s="1">
        <v>46173</v>
      </c>
      <c r="N174">
        <v>3.8940499999999998E-5</v>
      </c>
      <c r="O174" t="s">
        <v>56</v>
      </c>
      <c r="P174" t="s">
        <v>63</v>
      </c>
      <c r="Q174" t="s">
        <v>481</v>
      </c>
      <c r="R174" t="s">
        <v>486</v>
      </c>
      <c r="S174" t="s">
        <v>67</v>
      </c>
      <c r="T174" t="s">
        <v>627</v>
      </c>
      <c r="U174" t="s">
        <v>812</v>
      </c>
      <c r="V174">
        <v>16</v>
      </c>
      <c r="W174" s="2">
        <v>8.1739914900000002E-2</v>
      </c>
    </row>
    <row r="175" spans="1:23" x14ac:dyDescent="0.25">
      <c r="A175" t="s">
        <v>31</v>
      </c>
      <c r="B175" t="s">
        <v>32</v>
      </c>
      <c r="C175" t="s">
        <v>33</v>
      </c>
      <c r="D175" t="s">
        <v>34</v>
      </c>
      <c r="E175" t="s">
        <v>35</v>
      </c>
      <c r="F175" t="s">
        <v>36</v>
      </c>
      <c r="G175">
        <v>1141685</v>
      </c>
      <c r="H175" t="s">
        <v>75</v>
      </c>
      <c r="I175" t="s">
        <v>94</v>
      </c>
      <c r="J175" t="s">
        <v>98</v>
      </c>
      <c r="K175" t="s">
        <v>108</v>
      </c>
      <c r="L175" s="1">
        <v>46143</v>
      </c>
      <c r="M175" s="1">
        <v>46173</v>
      </c>
      <c r="N175">
        <v>2.5429598099999999E-2</v>
      </c>
      <c r="O175" t="s">
        <v>56</v>
      </c>
      <c r="P175" t="s">
        <v>63</v>
      </c>
      <c r="Q175" t="s">
        <v>481</v>
      </c>
      <c r="R175" t="s">
        <v>484</v>
      </c>
      <c r="S175" t="s">
        <v>67</v>
      </c>
      <c r="T175" t="s">
        <v>628</v>
      </c>
      <c r="U175" t="s">
        <v>813</v>
      </c>
      <c r="V175">
        <v>16</v>
      </c>
      <c r="W175" s="2">
        <v>53.238887466999998</v>
      </c>
    </row>
    <row r="176" spans="1:23" x14ac:dyDescent="0.25">
      <c r="A176" t="s">
        <v>31</v>
      </c>
      <c r="B176" t="s">
        <v>32</v>
      </c>
      <c r="C176" t="s">
        <v>33</v>
      </c>
      <c r="D176" t="s">
        <v>34</v>
      </c>
      <c r="E176" t="s">
        <v>35</v>
      </c>
      <c r="F176" t="s">
        <v>36</v>
      </c>
      <c r="G176">
        <v>1141685</v>
      </c>
      <c r="H176" t="s">
        <v>75</v>
      </c>
      <c r="I176" t="s">
        <v>94</v>
      </c>
      <c r="J176" t="s">
        <v>98</v>
      </c>
      <c r="K176" t="s">
        <v>108</v>
      </c>
      <c r="L176" s="1">
        <v>46143</v>
      </c>
      <c r="M176" s="1">
        <v>46173</v>
      </c>
      <c r="N176">
        <v>6.1500000000000001E-8</v>
      </c>
      <c r="O176" t="s">
        <v>56</v>
      </c>
      <c r="P176" t="s">
        <v>63</v>
      </c>
      <c r="Q176" t="s">
        <v>481</v>
      </c>
      <c r="R176" t="s">
        <v>484</v>
      </c>
      <c r="S176" t="s">
        <v>67</v>
      </c>
      <c r="T176" t="s">
        <v>629</v>
      </c>
      <c r="U176" t="s">
        <v>814</v>
      </c>
      <c r="V176">
        <v>16</v>
      </c>
      <c r="W176" s="2">
        <v>1.13241E-4</v>
      </c>
    </row>
    <row r="177" spans="1:23" x14ac:dyDescent="0.25">
      <c r="A177" t="s">
        <v>31</v>
      </c>
      <c r="B177" t="s">
        <v>32</v>
      </c>
      <c r="C177" t="s">
        <v>33</v>
      </c>
      <c r="D177" t="s">
        <v>34</v>
      </c>
      <c r="E177" t="s">
        <v>35</v>
      </c>
      <c r="F177" t="s">
        <v>36</v>
      </c>
      <c r="G177">
        <v>1141685</v>
      </c>
      <c r="H177" t="s">
        <v>75</v>
      </c>
      <c r="I177" t="s">
        <v>94</v>
      </c>
      <c r="J177" t="s">
        <v>98</v>
      </c>
      <c r="K177" t="s">
        <v>108</v>
      </c>
      <c r="L177" s="1">
        <v>46143</v>
      </c>
      <c r="M177" s="1">
        <v>46173</v>
      </c>
      <c r="N177">
        <v>1.15149E-5</v>
      </c>
      <c r="O177" t="s">
        <v>56</v>
      </c>
      <c r="P177" t="s">
        <v>63</v>
      </c>
      <c r="Q177" t="s">
        <v>481</v>
      </c>
      <c r="R177" t="s">
        <v>484</v>
      </c>
      <c r="S177" t="s">
        <v>67</v>
      </c>
      <c r="T177" t="s">
        <v>630</v>
      </c>
      <c r="U177" t="s">
        <v>815</v>
      </c>
      <c r="V177">
        <v>16</v>
      </c>
      <c r="W177" s="2">
        <v>2.12138215E-2</v>
      </c>
    </row>
    <row r="178" spans="1:23" x14ac:dyDescent="0.25">
      <c r="A178" t="s">
        <v>31</v>
      </c>
      <c r="B178" t="s">
        <v>32</v>
      </c>
      <c r="C178" t="s">
        <v>33</v>
      </c>
      <c r="D178" t="s">
        <v>34</v>
      </c>
      <c r="E178" t="s">
        <v>35</v>
      </c>
      <c r="F178" t="s">
        <v>36</v>
      </c>
      <c r="G178">
        <v>1141685</v>
      </c>
      <c r="H178" t="s">
        <v>88</v>
      </c>
      <c r="I178" t="s">
        <v>88</v>
      </c>
      <c r="J178" t="s">
        <v>88</v>
      </c>
      <c r="K178" t="s">
        <v>134</v>
      </c>
      <c r="L178" s="1">
        <v>46143</v>
      </c>
      <c r="M178" s="1">
        <v>46173</v>
      </c>
      <c r="N178">
        <v>1.2934019999999999</v>
      </c>
      <c r="O178" t="s">
        <v>60</v>
      </c>
      <c r="P178" t="s">
        <v>63</v>
      </c>
      <c r="Q178" t="s">
        <v>482</v>
      </c>
      <c r="R178" t="s">
        <v>496</v>
      </c>
      <c r="S178" t="s">
        <v>67</v>
      </c>
      <c r="T178" t="s">
        <v>631</v>
      </c>
      <c r="U178" t="s">
        <v>816</v>
      </c>
      <c r="V178">
        <v>8</v>
      </c>
      <c r="W178" s="2">
        <v>631.81399343359999</v>
      </c>
    </row>
    <row r="179" spans="1:23" x14ac:dyDescent="0.25">
      <c r="A179" t="s">
        <v>31</v>
      </c>
      <c r="B179" t="s">
        <v>32</v>
      </c>
      <c r="C179" t="s">
        <v>33</v>
      </c>
      <c r="D179" t="s">
        <v>34</v>
      </c>
      <c r="E179" t="s">
        <v>35</v>
      </c>
      <c r="F179" t="s">
        <v>36</v>
      </c>
      <c r="G179">
        <v>1141685</v>
      </c>
      <c r="H179" t="s">
        <v>78</v>
      </c>
      <c r="I179" t="s">
        <v>96</v>
      </c>
      <c r="J179" t="s">
        <v>100</v>
      </c>
      <c r="K179" t="s">
        <v>112</v>
      </c>
      <c r="L179" s="1">
        <v>46143</v>
      </c>
      <c r="M179" s="1">
        <v>46173</v>
      </c>
      <c r="N179">
        <v>744</v>
      </c>
      <c r="O179" t="s">
        <v>58</v>
      </c>
      <c r="P179" t="s">
        <v>63</v>
      </c>
      <c r="Q179" t="s">
        <v>481</v>
      </c>
      <c r="R179" t="s">
        <v>503</v>
      </c>
      <c r="S179" t="s">
        <v>67</v>
      </c>
      <c r="T179" t="s">
        <v>632</v>
      </c>
      <c r="U179" t="s">
        <v>817</v>
      </c>
      <c r="V179">
        <v>14</v>
      </c>
      <c r="W179" s="2">
        <v>64899.115599999997</v>
      </c>
    </row>
    <row r="180" spans="1:23" x14ac:dyDescent="0.25">
      <c r="A180" t="s">
        <v>31</v>
      </c>
      <c r="B180" t="s">
        <v>32</v>
      </c>
      <c r="C180" t="s">
        <v>33</v>
      </c>
      <c r="D180" t="s">
        <v>34</v>
      </c>
      <c r="E180" t="s">
        <v>35</v>
      </c>
      <c r="F180" t="s">
        <v>36</v>
      </c>
      <c r="G180">
        <v>1141685</v>
      </c>
      <c r="H180" t="s">
        <v>75</v>
      </c>
      <c r="I180" t="s">
        <v>94</v>
      </c>
      <c r="J180" t="s">
        <v>98</v>
      </c>
      <c r="K180" t="s">
        <v>108</v>
      </c>
      <c r="L180" s="1">
        <v>46143</v>
      </c>
      <c r="M180" s="1">
        <v>46173</v>
      </c>
      <c r="N180">
        <v>6.9701392000000003E-3</v>
      </c>
      <c r="O180" t="s">
        <v>56</v>
      </c>
      <c r="P180" t="s">
        <v>63</v>
      </c>
      <c r="Q180" t="s">
        <v>481</v>
      </c>
      <c r="R180" t="s">
        <v>490</v>
      </c>
      <c r="S180" t="s">
        <v>67</v>
      </c>
      <c r="T180" t="s">
        <v>633</v>
      </c>
      <c r="U180" t="s">
        <v>818</v>
      </c>
      <c r="V180">
        <v>16</v>
      </c>
      <c r="W180" s="2">
        <v>13.3203276086</v>
      </c>
    </row>
    <row r="181" spans="1:23" x14ac:dyDescent="0.25">
      <c r="A181" t="s">
        <v>31</v>
      </c>
      <c r="B181" t="s">
        <v>32</v>
      </c>
      <c r="C181" t="s">
        <v>33</v>
      </c>
      <c r="D181" t="s">
        <v>34</v>
      </c>
      <c r="E181" t="s">
        <v>35</v>
      </c>
      <c r="F181" t="s">
        <v>36</v>
      </c>
      <c r="G181">
        <v>1141685</v>
      </c>
      <c r="H181" t="s">
        <v>75</v>
      </c>
      <c r="I181" t="s">
        <v>94</v>
      </c>
      <c r="J181" t="s">
        <v>98</v>
      </c>
      <c r="K181" t="s">
        <v>108</v>
      </c>
      <c r="L181" s="1">
        <v>46143</v>
      </c>
      <c r="M181" s="1">
        <v>46173</v>
      </c>
      <c r="N181">
        <v>1.106067E-4</v>
      </c>
      <c r="O181" t="s">
        <v>56</v>
      </c>
      <c r="P181" t="s">
        <v>63</v>
      </c>
      <c r="Q181" t="s">
        <v>481</v>
      </c>
      <c r="R181" t="s">
        <v>484</v>
      </c>
      <c r="S181" t="s">
        <v>67</v>
      </c>
      <c r="T181" t="s">
        <v>634</v>
      </c>
      <c r="U181" t="s">
        <v>819</v>
      </c>
      <c r="V181">
        <v>16</v>
      </c>
      <c r="W181" s="2">
        <v>0.23377038950000001</v>
      </c>
    </row>
    <row r="182" spans="1:23" x14ac:dyDescent="0.25">
      <c r="A182" t="s">
        <v>31</v>
      </c>
      <c r="B182" t="s">
        <v>32</v>
      </c>
      <c r="C182" t="s">
        <v>33</v>
      </c>
      <c r="D182" t="s">
        <v>34</v>
      </c>
      <c r="E182" t="s">
        <v>35</v>
      </c>
      <c r="F182" t="s">
        <v>36</v>
      </c>
      <c r="G182">
        <v>1141685</v>
      </c>
      <c r="H182" t="s">
        <v>76</v>
      </c>
      <c r="I182" t="s">
        <v>95</v>
      </c>
      <c r="J182" t="s">
        <v>99</v>
      </c>
      <c r="K182" t="s">
        <v>109</v>
      </c>
      <c r="L182" s="1">
        <v>46143</v>
      </c>
      <c r="M182" s="1">
        <v>46173</v>
      </c>
      <c r="N182">
        <v>0.98335300000000003</v>
      </c>
      <c r="O182" t="s">
        <v>58</v>
      </c>
      <c r="P182" t="s">
        <v>63</v>
      </c>
      <c r="Q182" t="s">
        <v>480</v>
      </c>
      <c r="R182" t="s">
        <v>490</v>
      </c>
      <c r="S182" t="s">
        <v>67</v>
      </c>
      <c r="T182" t="s">
        <v>541</v>
      </c>
      <c r="U182" t="s">
        <v>726</v>
      </c>
      <c r="V182">
        <v>17</v>
      </c>
      <c r="W182" s="2">
        <v>0</v>
      </c>
    </row>
    <row r="183" spans="1:23" x14ac:dyDescent="0.25">
      <c r="A183" t="s">
        <v>31</v>
      </c>
      <c r="B183" t="s">
        <v>32</v>
      </c>
      <c r="C183" t="s">
        <v>33</v>
      </c>
      <c r="D183" t="s">
        <v>34</v>
      </c>
      <c r="E183" t="s">
        <v>35</v>
      </c>
      <c r="F183" t="s">
        <v>36</v>
      </c>
      <c r="G183">
        <v>1141685</v>
      </c>
      <c r="H183" t="s">
        <v>76</v>
      </c>
      <c r="I183" t="s">
        <v>95</v>
      </c>
      <c r="J183" t="s">
        <v>99</v>
      </c>
      <c r="K183" t="s">
        <v>109</v>
      </c>
      <c r="L183" s="1">
        <v>46143</v>
      </c>
      <c r="M183" s="1">
        <v>46173</v>
      </c>
      <c r="N183">
        <v>169</v>
      </c>
      <c r="O183" t="s">
        <v>58</v>
      </c>
      <c r="P183" t="s">
        <v>63</v>
      </c>
      <c r="Q183" t="s">
        <v>480</v>
      </c>
      <c r="R183" t="s">
        <v>490</v>
      </c>
      <c r="S183" t="s">
        <v>67</v>
      </c>
      <c r="T183" t="s">
        <v>541</v>
      </c>
      <c r="U183" t="s">
        <v>726</v>
      </c>
      <c r="V183">
        <v>17</v>
      </c>
      <c r="W183" s="2">
        <v>0</v>
      </c>
    </row>
    <row r="184" spans="1:23" x14ac:dyDescent="0.25">
      <c r="A184" t="s">
        <v>31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>
        <v>1141685</v>
      </c>
      <c r="H184" t="s">
        <v>76</v>
      </c>
      <c r="I184" t="s">
        <v>95</v>
      </c>
      <c r="J184" t="s">
        <v>99</v>
      </c>
      <c r="K184" t="s">
        <v>109</v>
      </c>
      <c r="L184" s="1">
        <v>46143</v>
      </c>
      <c r="M184" s="1">
        <v>46173</v>
      </c>
      <c r="N184">
        <v>0.98335300000000003</v>
      </c>
      <c r="O184" t="s">
        <v>58</v>
      </c>
      <c r="P184" t="s">
        <v>63</v>
      </c>
      <c r="Q184" t="s">
        <v>480</v>
      </c>
      <c r="R184" t="s">
        <v>484</v>
      </c>
      <c r="S184" t="s">
        <v>67</v>
      </c>
      <c r="T184" t="s">
        <v>507</v>
      </c>
      <c r="U184" t="s">
        <v>692</v>
      </c>
      <c r="V184">
        <v>16</v>
      </c>
      <c r="W184" s="2">
        <v>0</v>
      </c>
    </row>
    <row r="185" spans="1:23" x14ac:dyDescent="0.25">
      <c r="A185" t="s">
        <v>31</v>
      </c>
      <c r="B185" t="s">
        <v>32</v>
      </c>
      <c r="C185" t="s">
        <v>33</v>
      </c>
      <c r="D185" t="s">
        <v>34</v>
      </c>
      <c r="E185" t="s">
        <v>35</v>
      </c>
      <c r="F185" t="s">
        <v>36</v>
      </c>
      <c r="G185">
        <v>1141685</v>
      </c>
      <c r="H185" t="s">
        <v>76</v>
      </c>
      <c r="I185" t="s">
        <v>95</v>
      </c>
      <c r="J185" t="s">
        <v>99</v>
      </c>
      <c r="K185" t="s">
        <v>109</v>
      </c>
      <c r="L185" s="1">
        <v>46143</v>
      </c>
      <c r="M185" s="1">
        <v>46173</v>
      </c>
      <c r="N185">
        <v>0.79991599999999996</v>
      </c>
      <c r="O185" t="s">
        <v>58</v>
      </c>
      <c r="P185" t="s">
        <v>63</v>
      </c>
      <c r="Q185" t="s">
        <v>480</v>
      </c>
      <c r="R185" t="s">
        <v>484</v>
      </c>
      <c r="S185" t="s">
        <v>67</v>
      </c>
      <c r="T185" t="s">
        <v>508</v>
      </c>
      <c r="U185" t="s">
        <v>693</v>
      </c>
      <c r="V185">
        <v>15</v>
      </c>
      <c r="W185" s="2">
        <v>0</v>
      </c>
    </row>
    <row r="186" spans="1:23" x14ac:dyDescent="0.25">
      <c r="A186" t="s">
        <v>31</v>
      </c>
      <c r="B186" t="s">
        <v>32</v>
      </c>
      <c r="C186" t="s">
        <v>33</v>
      </c>
      <c r="D186" t="s">
        <v>34</v>
      </c>
      <c r="E186" t="s">
        <v>35</v>
      </c>
      <c r="F186" t="s">
        <v>36</v>
      </c>
      <c r="G186">
        <v>1141685</v>
      </c>
      <c r="H186" t="s">
        <v>80</v>
      </c>
      <c r="I186" t="s">
        <v>96</v>
      </c>
      <c r="J186" t="s">
        <v>80</v>
      </c>
      <c r="K186" t="s">
        <v>122</v>
      </c>
      <c r="L186" s="1">
        <v>46143</v>
      </c>
      <c r="M186" s="1">
        <v>46173</v>
      </c>
      <c r="N186">
        <v>1.1395155591999999</v>
      </c>
      <c r="O186" t="s">
        <v>56</v>
      </c>
      <c r="P186" t="s">
        <v>63</v>
      </c>
      <c r="Q186" t="s">
        <v>481</v>
      </c>
      <c r="R186" t="s">
        <v>484</v>
      </c>
      <c r="S186" t="s">
        <v>67</v>
      </c>
      <c r="T186" t="s">
        <v>635</v>
      </c>
      <c r="U186" t="s">
        <v>820</v>
      </c>
      <c r="V186">
        <v>16</v>
      </c>
      <c r="W186" s="2">
        <v>198.8038983193</v>
      </c>
    </row>
    <row r="187" spans="1:23" x14ac:dyDescent="0.25">
      <c r="A187" t="s">
        <v>31</v>
      </c>
      <c r="B187" t="s">
        <v>32</v>
      </c>
      <c r="C187" t="s">
        <v>33</v>
      </c>
      <c r="D187" t="s">
        <v>34</v>
      </c>
      <c r="E187" t="s">
        <v>35</v>
      </c>
      <c r="F187" t="s">
        <v>36</v>
      </c>
      <c r="G187">
        <v>1141685</v>
      </c>
      <c r="H187" t="s">
        <v>80</v>
      </c>
      <c r="I187" t="s">
        <v>96</v>
      </c>
      <c r="J187" t="s">
        <v>80</v>
      </c>
      <c r="K187" t="s">
        <v>122</v>
      </c>
      <c r="L187" s="1">
        <v>46143</v>
      </c>
      <c r="M187" s="1">
        <v>46173</v>
      </c>
      <c r="N187">
        <v>1.4004300000000001E-5</v>
      </c>
      <c r="O187" t="s">
        <v>56</v>
      </c>
      <c r="P187" t="s">
        <v>63</v>
      </c>
      <c r="Q187" t="s">
        <v>481</v>
      </c>
      <c r="R187" t="s">
        <v>486</v>
      </c>
      <c r="S187" t="s">
        <v>67</v>
      </c>
      <c r="T187" t="s">
        <v>636</v>
      </c>
      <c r="U187" t="s">
        <v>821</v>
      </c>
      <c r="V187">
        <v>16</v>
      </c>
      <c r="W187" s="2">
        <v>2.1500068000000002E-3</v>
      </c>
    </row>
    <row r="188" spans="1:23" x14ac:dyDescent="0.25">
      <c r="A188" t="s">
        <v>31</v>
      </c>
      <c r="B188" t="s">
        <v>32</v>
      </c>
      <c r="C188" t="s">
        <v>33</v>
      </c>
      <c r="D188" t="s">
        <v>34</v>
      </c>
      <c r="E188" t="s">
        <v>35</v>
      </c>
      <c r="F188" t="s">
        <v>36</v>
      </c>
      <c r="G188">
        <v>1141685</v>
      </c>
      <c r="H188" t="s">
        <v>80</v>
      </c>
      <c r="I188" t="s">
        <v>96</v>
      </c>
      <c r="J188" t="s">
        <v>80</v>
      </c>
      <c r="K188" t="s">
        <v>122</v>
      </c>
      <c r="L188" s="1">
        <v>46143</v>
      </c>
      <c r="M188" s="1">
        <v>46173</v>
      </c>
      <c r="N188">
        <v>4.8659452999999997E-3</v>
      </c>
      <c r="O188" t="s">
        <v>56</v>
      </c>
      <c r="P188" t="s">
        <v>63</v>
      </c>
      <c r="Q188" t="s">
        <v>481</v>
      </c>
      <c r="R188" t="s">
        <v>486</v>
      </c>
      <c r="S188" t="s">
        <v>67</v>
      </c>
      <c r="T188" t="s">
        <v>637</v>
      </c>
      <c r="U188" t="s">
        <v>822</v>
      </c>
      <c r="V188">
        <v>15</v>
      </c>
      <c r="W188" s="2">
        <v>0.84704328119999994</v>
      </c>
    </row>
    <row r="189" spans="1:23" x14ac:dyDescent="0.25">
      <c r="A189" t="s">
        <v>31</v>
      </c>
      <c r="B189" t="s">
        <v>32</v>
      </c>
      <c r="C189" t="s">
        <v>33</v>
      </c>
      <c r="D189" t="s">
        <v>34</v>
      </c>
      <c r="E189" t="s">
        <v>35</v>
      </c>
      <c r="F189" t="s">
        <v>36</v>
      </c>
      <c r="G189">
        <v>1141685</v>
      </c>
      <c r="H189" t="s">
        <v>80</v>
      </c>
      <c r="I189" t="s">
        <v>96</v>
      </c>
      <c r="J189" t="s">
        <v>80</v>
      </c>
      <c r="K189" t="s">
        <v>122</v>
      </c>
      <c r="L189" s="1">
        <v>46143</v>
      </c>
      <c r="M189" s="1">
        <v>46173</v>
      </c>
      <c r="N189">
        <v>0.15575951060000001</v>
      </c>
      <c r="O189" t="s">
        <v>56</v>
      </c>
      <c r="P189" t="s">
        <v>63</v>
      </c>
      <c r="Q189" t="s">
        <v>481</v>
      </c>
      <c r="R189" t="s">
        <v>484</v>
      </c>
      <c r="S189" t="s">
        <v>67</v>
      </c>
      <c r="T189" t="s">
        <v>638</v>
      </c>
      <c r="U189" t="s">
        <v>823</v>
      </c>
      <c r="V189">
        <v>15</v>
      </c>
      <c r="W189" s="2">
        <v>27.172947710100001</v>
      </c>
    </row>
    <row r="190" spans="1:23" x14ac:dyDescent="0.25">
      <c r="A190" t="s">
        <v>31</v>
      </c>
      <c r="B190" t="s">
        <v>32</v>
      </c>
      <c r="C190" t="s">
        <v>33</v>
      </c>
      <c r="D190" t="s">
        <v>34</v>
      </c>
      <c r="E190" t="s">
        <v>35</v>
      </c>
      <c r="F190" t="s">
        <v>36</v>
      </c>
      <c r="G190">
        <v>1141685</v>
      </c>
      <c r="H190" t="s">
        <v>80</v>
      </c>
      <c r="I190" t="s">
        <v>96</v>
      </c>
      <c r="J190" t="s">
        <v>80</v>
      </c>
      <c r="K190" t="s">
        <v>122</v>
      </c>
      <c r="L190" s="1">
        <v>46143</v>
      </c>
      <c r="M190" s="1">
        <v>46173</v>
      </c>
      <c r="N190">
        <v>0.1534994533</v>
      </c>
      <c r="O190" t="s">
        <v>56</v>
      </c>
      <c r="P190" t="s">
        <v>63</v>
      </c>
      <c r="Q190" t="s">
        <v>481</v>
      </c>
      <c r="R190" t="s">
        <v>484</v>
      </c>
      <c r="S190" t="s">
        <v>67</v>
      </c>
      <c r="T190" t="s">
        <v>639</v>
      </c>
      <c r="U190" t="s">
        <v>824</v>
      </c>
      <c r="V190">
        <v>15</v>
      </c>
      <c r="W190" s="2">
        <v>26.775972871600001</v>
      </c>
    </row>
    <row r="191" spans="1:23" x14ac:dyDescent="0.25">
      <c r="A191" t="s">
        <v>31</v>
      </c>
      <c r="B191" t="s">
        <v>32</v>
      </c>
      <c r="C191" t="s">
        <v>33</v>
      </c>
      <c r="D191" t="s">
        <v>34</v>
      </c>
      <c r="E191" t="s">
        <v>35</v>
      </c>
      <c r="F191" t="s">
        <v>36</v>
      </c>
      <c r="G191">
        <v>1141685</v>
      </c>
      <c r="H191" t="s">
        <v>80</v>
      </c>
      <c r="I191" t="s">
        <v>96</v>
      </c>
      <c r="J191" t="s">
        <v>80</v>
      </c>
      <c r="K191" t="s">
        <v>122</v>
      </c>
      <c r="L191" s="1">
        <v>46143</v>
      </c>
      <c r="M191" s="1">
        <v>46173</v>
      </c>
      <c r="N191">
        <v>0.2350897482</v>
      </c>
      <c r="O191" t="s">
        <v>56</v>
      </c>
      <c r="P191" t="s">
        <v>63</v>
      </c>
      <c r="Q191" t="s">
        <v>481</v>
      </c>
      <c r="R191" t="s">
        <v>484</v>
      </c>
      <c r="S191" t="s">
        <v>67</v>
      </c>
      <c r="T191" t="s">
        <v>640</v>
      </c>
      <c r="U191" t="s">
        <v>825</v>
      </c>
      <c r="V191">
        <v>15</v>
      </c>
      <c r="W191" s="2">
        <v>41.012106568900002</v>
      </c>
    </row>
    <row r="192" spans="1:23" x14ac:dyDescent="0.25">
      <c r="A192" t="s">
        <v>31</v>
      </c>
      <c r="B192" t="s">
        <v>32</v>
      </c>
      <c r="C192" t="s">
        <v>33</v>
      </c>
      <c r="D192" t="s">
        <v>34</v>
      </c>
      <c r="E192" t="s">
        <v>35</v>
      </c>
      <c r="F192" t="s">
        <v>36</v>
      </c>
      <c r="G192">
        <v>1141685</v>
      </c>
      <c r="H192" t="s">
        <v>80</v>
      </c>
      <c r="I192" t="s">
        <v>96</v>
      </c>
      <c r="J192" t="s">
        <v>80</v>
      </c>
      <c r="K192" t="s">
        <v>122</v>
      </c>
      <c r="L192" s="1">
        <v>46143</v>
      </c>
      <c r="M192" s="1">
        <v>46173</v>
      </c>
      <c r="N192">
        <v>6.4745499999999999E-5</v>
      </c>
      <c r="O192" t="s">
        <v>56</v>
      </c>
      <c r="P192" t="s">
        <v>63</v>
      </c>
      <c r="Q192" t="s">
        <v>481</v>
      </c>
      <c r="R192" t="s">
        <v>484</v>
      </c>
      <c r="S192" t="s">
        <v>67</v>
      </c>
      <c r="T192" t="s">
        <v>641</v>
      </c>
      <c r="U192" t="s">
        <v>826</v>
      </c>
      <c r="V192">
        <v>16</v>
      </c>
      <c r="W192" s="2">
        <v>9.9400467999999995E-3</v>
      </c>
    </row>
    <row r="193" spans="1:23" x14ac:dyDescent="0.25">
      <c r="A193" t="s">
        <v>31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>
        <v>1141685</v>
      </c>
      <c r="H193" t="s">
        <v>80</v>
      </c>
      <c r="I193" t="s">
        <v>96</v>
      </c>
      <c r="J193" t="s">
        <v>80</v>
      </c>
      <c r="K193" t="s">
        <v>122</v>
      </c>
      <c r="L193" s="1">
        <v>46143</v>
      </c>
      <c r="M193" s="1">
        <v>46173</v>
      </c>
      <c r="N193">
        <v>1.0721998792</v>
      </c>
      <c r="O193" t="s">
        <v>56</v>
      </c>
      <c r="P193" t="s">
        <v>63</v>
      </c>
      <c r="Q193" t="s">
        <v>481</v>
      </c>
      <c r="R193" t="s">
        <v>484</v>
      </c>
      <c r="S193" t="s">
        <v>67</v>
      </c>
      <c r="T193" t="s">
        <v>642</v>
      </c>
      <c r="U193" t="s">
        <v>827</v>
      </c>
      <c r="V193">
        <v>16</v>
      </c>
      <c r="W193" s="2">
        <v>187.05927201419999</v>
      </c>
    </row>
    <row r="194" spans="1:23" x14ac:dyDescent="0.25">
      <c r="A194" t="s">
        <v>31</v>
      </c>
      <c r="B194" t="s">
        <v>32</v>
      </c>
      <c r="C194" t="s">
        <v>33</v>
      </c>
      <c r="D194" t="s">
        <v>34</v>
      </c>
      <c r="E194" t="s">
        <v>35</v>
      </c>
      <c r="F194" t="s">
        <v>36</v>
      </c>
      <c r="G194">
        <v>1141685</v>
      </c>
      <c r="H194" t="s">
        <v>79</v>
      </c>
      <c r="I194" t="s">
        <v>94</v>
      </c>
      <c r="J194" t="s">
        <v>101</v>
      </c>
      <c r="K194" t="s">
        <v>116</v>
      </c>
      <c r="L194" s="1">
        <v>46143</v>
      </c>
      <c r="M194" s="1">
        <v>46173</v>
      </c>
      <c r="N194">
        <v>7.6937019999999997E-4</v>
      </c>
      <c r="O194" t="s">
        <v>56</v>
      </c>
      <c r="P194" t="s">
        <v>63</v>
      </c>
      <c r="Q194" t="s">
        <v>481</v>
      </c>
      <c r="R194" t="s">
        <v>486</v>
      </c>
      <c r="S194" t="s">
        <v>67</v>
      </c>
      <c r="T194" t="s">
        <v>643</v>
      </c>
      <c r="U194" t="s">
        <v>828</v>
      </c>
      <c r="V194">
        <v>16</v>
      </c>
      <c r="W194" s="2">
        <v>1.0749392922000001</v>
      </c>
    </row>
    <row r="195" spans="1:23" x14ac:dyDescent="0.25">
      <c r="A195" t="s">
        <v>31</v>
      </c>
      <c r="B195" t="s">
        <v>32</v>
      </c>
      <c r="C195" t="s">
        <v>33</v>
      </c>
      <c r="D195" t="s">
        <v>34</v>
      </c>
      <c r="E195" t="s">
        <v>35</v>
      </c>
      <c r="F195" t="s">
        <v>36</v>
      </c>
      <c r="G195">
        <v>1141685</v>
      </c>
      <c r="H195" t="s">
        <v>79</v>
      </c>
      <c r="I195" t="s">
        <v>94</v>
      </c>
      <c r="J195" t="s">
        <v>101</v>
      </c>
      <c r="K195" t="s">
        <v>116</v>
      </c>
      <c r="L195" s="1">
        <v>46143</v>
      </c>
      <c r="M195" s="1">
        <v>46173</v>
      </c>
      <c r="N195">
        <v>0.40512661919999998</v>
      </c>
      <c r="O195" t="s">
        <v>56</v>
      </c>
      <c r="P195" t="s">
        <v>63</v>
      </c>
      <c r="Q195" t="s">
        <v>481</v>
      </c>
      <c r="R195" t="s">
        <v>484</v>
      </c>
      <c r="S195" t="s">
        <v>67</v>
      </c>
      <c r="T195" t="s">
        <v>644</v>
      </c>
      <c r="U195" t="s">
        <v>829</v>
      </c>
      <c r="V195">
        <v>15</v>
      </c>
      <c r="W195" s="2">
        <v>463.40500316459998</v>
      </c>
    </row>
    <row r="196" spans="1:23" x14ac:dyDescent="0.25">
      <c r="A196" t="s">
        <v>31</v>
      </c>
      <c r="B196" t="s">
        <v>32</v>
      </c>
      <c r="C196" t="s">
        <v>33</v>
      </c>
      <c r="D196" t="s">
        <v>34</v>
      </c>
      <c r="E196" t="s">
        <v>35</v>
      </c>
      <c r="F196" t="s">
        <v>36</v>
      </c>
      <c r="G196">
        <v>1141685</v>
      </c>
      <c r="H196" t="s">
        <v>79</v>
      </c>
      <c r="I196" t="s">
        <v>94</v>
      </c>
      <c r="J196" t="s">
        <v>101</v>
      </c>
      <c r="K196" t="s">
        <v>116</v>
      </c>
      <c r="L196" s="1">
        <v>46143</v>
      </c>
      <c r="M196" s="1">
        <v>46173</v>
      </c>
      <c r="N196">
        <v>0.32174150089999998</v>
      </c>
      <c r="O196" t="s">
        <v>56</v>
      </c>
      <c r="P196" t="s">
        <v>63</v>
      </c>
      <c r="Q196" t="s">
        <v>481</v>
      </c>
      <c r="R196" t="s">
        <v>484</v>
      </c>
      <c r="S196" t="s">
        <v>67</v>
      </c>
      <c r="T196" t="s">
        <v>645</v>
      </c>
      <c r="U196" t="s">
        <v>830</v>
      </c>
      <c r="V196">
        <v>15</v>
      </c>
      <c r="W196" s="2">
        <v>369.51845886500001</v>
      </c>
    </row>
    <row r="197" spans="1:23" x14ac:dyDescent="0.25">
      <c r="A197" t="s">
        <v>31</v>
      </c>
      <c r="B197" t="s">
        <v>32</v>
      </c>
      <c r="C197" t="s">
        <v>33</v>
      </c>
      <c r="D197" t="s">
        <v>34</v>
      </c>
      <c r="E197" t="s">
        <v>35</v>
      </c>
      <c r="F197" t="s">
        <v>36</v>
      </c>
      <c r="G197">
        <v>1141685</v>
      </c>
      <c r="H197" t="s">
        <v>79</v>
      </c>
      <c r="I197" t="s">
        <v>94</v>
      </c>
      <c r="J197" t="s">
        <v>101</v>
      </c>
      <c r="K197" t="s">
        <v>116</v>
      </c>
      <c r="L197" s="1">
        <v>46143</v>
      </c>
      <c r="M197" s="1">
        <v>46173</v>
      </c>
      <c r="N197">
        <v>2.403781E-4</v>
      </c>
      <c r="O197" t="s">
        <v>56</v>
      </c>
      <c r="P197" t="s">
        <v>63</v>
      </c>
      <c r="Q197" t="s">
        <v>481</v>
      </c>
      <c r="R197" t="s">
        <v>484</v>
      </c>
      <c r="S197" t="s">
        <v>67</v>
      </c>
      <c r="T197" t="s">
        <v>646</v>
      </c>
      <c r="U197" t="s">
        <v>831</v>
      </c>
      <c r="V197">
        <v>16</v>
      </c>
      <c r="W197" s="2">
        <v>0.33523197539999999</v>
      </c>
    </row>
    <row r="198" spans="1:23" x14ac:dyDescent="0.25">
      <c r="A198" t="s">
        <v>31</v>
      </c>
      <c r="B198" t="s">
        <v>32</v>
      </c>
      <c r="C198" t="s">
        <v>33</v>
      </c>
      <c r="D198" t="s">
        <v>34</v>
      </c>
      <c r="E198" t="s">
        <v>35</v>
      </c>
      <c r="F198" t="s">
        <v>36</v>
      </c>
      <c r="G198">
        <v>1141685</v>
      </c>
      <c r="H198" t="s">
        <v>79</v>
      </c>
      <c r="I198" t="s">
        <v>94</v>
      </c>
      <c r="J198" t="s">
        <v>101</v>
      </c>
      <c r="K198" t="s">
        <v>116</v>
      </c>
      <c r="L198" s="1">
        <v>46143</v>
      </c>
      <c r="M198" s="1">
        <v>46173</v>
      </c>
      <c r="N198">
        <v>9.7884800000000002E-5</v>
      </c>
      <c r="O198" t="s">
        <v>56</v>
      </c>
      <c r="P198" t="s">
        <v>63</v>
      </c>
      <c r="Q198" t="s">
        <v>481</v>
      </c>
      <c r="R198" t="s">
        <v>484</v>
      </c>
      <c r="S198" t="s">
        <v>67</v>
      </c>
      <c r="T198" t="s">
        <v>647</v>
      </c>
      <c r="U198" t="s">
        <v>832</v>
      </c>
      <c r="V198">
        <v>16</v>
      </c>
      <c r="W198" s="2">
        <v>0.14022195039999999</v>
      </c>
    </row>
    <row r="199" spans="1:23" x14ac:dyDescent="0.25">
      <c r="A199" t="s">
        <v>31</v>
      </c>
      <c r="B199" t="s">
        <v>32</v>
      </c>
      <c r="C199" t="s">
        <v>33</v>
      </c>
      <c r="D199" t="s">
        <v>34</v>
      </c>
      <c r="E199" t="s">
        <v>35</v>
      </c>
      <c r="F199" t="s">
        <v>36</v>
      </c>
      <c r="G199">
        <v>1141685</v>
      </c>
      <c r="H199" t="s">
        <v>79</v>
      </c>
      <c r="I199" t="s">
        <v>94</v>
      </c>
      <c r="J199" t="s">
        <v>101</v>
      </c>
      <c r="K199" t="s">
        <v>116</v>
      </c>
      <c r="L199" s="1">
        <v>46143</v>
      </c>
      <c r="M199" s="1">
        <v>46173</v>
      </c>
      <c r="N199">
        <v>9.1830933500000003E-2</v>
      </c>
      <c r="O199" t="s">
        <v>56</v>
      </c>
      <c r="P199" t="s">
        <v>63</v>
      </c>
      <c r="Q199" t="s">
        <v>481</v>
      </c>
      <c r="R199" t="s">
        <v>486</v>
      </c>
      <c r="S199" t="s">
        <v>67</v>
      </c>
      <c r="T199" t="s">
        <v>648</v>
      </c>
      <c r="U199" t="s">
        <v>833</v>
      </c>
      <c r="V199">
        <v>15</v>
      </c>
      <c r="W199" s="2">
        <v>107.5943915046</v>
      </c>
    </row>
    <row r="200" spans="1:23" x14ac:dyDescent="0.25">
      <c r="A200" t="s">
        <v>31</v>
      </c>
      <c r="B200" t="s">
        <v>32</v>
      </c>
      <c r="C200" t="s">
        <v>33</v>
      </c>
      <c r="D200" t="s">
        <v>34</v>
      </c>
      <c r="E200" t="s">
        <v>35</v>
      </c>
      <c r="F200" t="s">
        <v>36</v>
      </c>
      <c r="G200">
        <v>1141685</v>
      </c>
      <c r="H200" t="s">
        <v>79</v>
      </c>
      <c r="I200" t="s">
        <v>94</v>
      </c>
      <c r="J200" t="s">
        <v>101</v>
      </c>
      <c r="K200" t="s">
        <v>116</v>
      </c>
      <c r="L200" s="1">
        <v>46143</v>
      </c>
      <c r="M200" s="1">
        <v>46173</v>
      </c>
      <c r="N200">
        <v>2.5332000000000001E-5</v>
      </c>
      <c r="O200" t="s">
        <v>56</v>
      </c>
      <c r="P200" t="s">
        <v>63</v>
      </c>
      <c r="Q200" t="s">
        <v>481</v>
      </c>
      <c r="R200" t="s">
        <v>484</v>
      </c>
      <c r="S200" t="s">
        <v>67</v>
      </c>
      <c r="T200" t="s">
        <v>649</v>
      </c>
      <c r="U200" t="s">
        <v>834</v>
      </c>
      <c r="V200">
        <v>16</v>
      </c>
      <c r="W200" s="2">
        <v>3.1112689900000001E-2</v>
      </c>
    </row>
    <row r="201" spans="1:23" x14ac:dyDescent="0.25">
      <c r="A201" t="s">
        <v>31</v>
      </c>
      <c r="B201" t="s">
        <v>32</v>
      </c>
      <c r="C201" t="s">
        <v>33</v>
      </c>
      <c r="D201" t="s">
        <v>34</v>
      </c>
      <c r="E201" t="s">
        <v>35</v>
      </c>
      <c r="F201" t="s">
        <v>36</v>
      </c>
      <c r="G201">
        <v>1141685</v>
      </c>
      <c r="H201" t="s">
        <v>79</v>
      </c>
      <c r="I201" t="s">
        <v>94</v>
      </c>
      <c r="J201" t="s">
        <v>101</v>
      </c>
      <c r="K201" t="s">
        <v>116</v>
      </c>
      <c r="L201" s="1">
        <v>46143</v>
      </c>
      <c r="M201" s="1">
        <v>46173</v>
      </c>
      <c r="N201">
        <v>6.4409899999999997E-4</v>
      </c>
      <c r="O201" t="s">
        <v>56</v>
      </c>
      <c r="P201" t="s">
        <v>63</v>
      </c>
      <c r="Q201" t="s">
        <v>481</v>
      </c>
      <c r="R201" t="s">
        <v>484</v>
      </c>
      <c r="S201" t="s">
        <v>67</v>
      </c>
      <c r="T201" t="s">
        <v>650</v>
      </c>
      <c r="U201" t="s">
        <v>835</v>
      </c>
      <c r="V201">
        <v>16</v>
      </c>
      <c r="W201" s="2">
        <v>0.90108132099999994</v>
      </c>
    </row>
    <row r="202" spans="1:23" x14ac:dyDescent="0.25">
      <c r="A202" t="s">
        <v>31</v>
      </c>
      <c r="B202" t="s">
        <v>32</v>
      </c>
      <c r="C202" t="s">
        <v>33</v>
      </c>
      <c r="D202" t="s">
        <v>34</v>
      </c>
      <c r="E202" t="s">
        <v>35</v>
      </c>
      <c r="F202" t="s">
        <v>36</v>
      </c>
      <c r="G202">
        <v>1141685</v>
      </c>
      <c r="H202" t="s">
        <v>79</v>
      </c>
      <c r="I202" t="s">
        <v>94</v>
      </c>
      <c r="J202" t="s">
        <v>101</v>
      </c>
      <c r="K202" t="s">
        <v>116</v>
      </c>
      <c r="L202" s="1">
        <v>46143</v>
      </c>
      <c r="M202" s="1">
        <v>46173</v>
      </c>
      <c r="N202">
        <v>7.5961499999999994E-5</v>
      </c>
      <c r="O202" t="s">
        <v>56</v>
      </c>
      <c r="P202" t="s">
        <v>63</v>
      </c>
      <c r="Q202" t="s">
        <v>481</v>
      </c>
      <c r="R202" t="s">
        <v>484</v>
      </c>
      <c r="S202" t="s">
        <v>67</v>
      </c>
      <c r="T202" t="s">
        <v>651</v>
      </c>
      <c r="U202" t="s">
        <v>836</v>
      </c>
      <c r="V202">
        <v>16</v>
      </c>
      <c r="W202" s="2">
        <v>0.1032957474</v>
      </c>
    </row>
    <row r="203" spans="1:23" x14ac:dyDescent="0.25">
      <c r="A203" t="s">
        <v>31</v>
      </c>
      <c r="B203" t="s">
        <v>32</v>
      </c>
      <c r="C203" t="s">
        <v>33</v>
      </c>
      <c r="D203" t="s">
        <v>34</v>
      </c>
      <c r="E203" t="s">
        <v>35</v>
      </c>
      <c r="F203" t="s">
        <v>36</v>
      </c>
      <c r="G203">
        <v>1141685</v>
      </c>
      <c r="H203" t="s">
        <v>79</v>
      </c>
      <c r="I203" t="s">
        <v>94</v>
      </c>
      <c r="J203" t="s">
        <v>101</v>
      </c>
      <c r="K203" t="s">
        <v>116</v>
      </c>
      <c r="L203" s="1">
        <v>46143</v>
      </c>
      <c r="M203" s="1">
        <v>46173</v>
      </c>
      <c r="N203">
        <v>1.0492299999999999E-5</v>
      </c>
      <c r="O203" t="s">
        <v>56</v>
      </c>
      <c r="P203" t="s">
        <v>63</v>
      </c>
      <c r="Q203" t="s">
        <v>481</v>
      </c>
      <c r="R203" t="s">
        <v>484</v>
      </c>
      <c r="S203" t="s">
        <v>67</v>
      </c>
      <c r="T203" t="s">
        <v>652</v>
      </c>
      <c r="U203" t="s">
        <v>837</v>
      </c>
      <c r="V203">
        <v>16</v>
      </c>
      <c r="W203" s="2">
        <v>1.2886601500000001E-2</v>
      </c>
    </row>
    <row r="204" spans="1:23" x14ac:dyDescent="0.25">
      <c r="A204" t="s">
        <v>31</v>
      </c>
      <c r="B204" t="s">
        <v>32</v>
      </c>
      <c r="C204" t="s">
        <v>33</v>
      </c>
      <c r="D204" t="s">
        <v>34</v>
      </c>
      <c r="E204" t="s">
        <v>35</v>
      </c>
      <c r="F204" t="s">
        <v>36</v>
      </c>
      <c r="G204">
        <v>1141685</v>
      </c>
      <c r="H204" t="s">
        <v>79</v>
      </c>
      <c r="I204" t="s">
        <v>94</v>
      </c>
      <c r="J204" t="s">
        <v>101</v>
      </c>
      <c r="K204" t="s">
        <v>116</v>
      </c>
      <c r="L204" s="1">
        <v>46143</v>
      </c>
      <c r="M204" s="1">
        <v>46173</v>
      </c>
      <c r="N204">
        <v>1.6318032853</v>
      </c>
      <c r="O204" t="s">
        <v>56</v>
      </c>
      <c r="P204" t="s">
        <v>63</v>
      </c>
      <c r="Q204" t="s">
        <v>481</v>
      </c>
      <c r="R204" t="s">
        <v>484</v>
      </c>
      <c r="S204" t="s">
        <v>67</v>
      </c>
      <c r="T204" t="s">
        <v>653</v>
      </c>
      <c r="U204" t="s">
        <v>838</v>
      </c>
      <c r="V204">
        <v>16</v>
      </c>
      <c r="W204" s="2">
        <v>2277.4781841554</v>
      </c>
    </row>
    <row r="205" spans="1:23" x14ac:dyDescent="0.25">
      <c r="A205" t="s">
        <v>31</v>
      </c>
      <c r="B205" t="s">
        <v>32</v>
      </c>
      <c r="C205" t="s">
        <v>33</v>
      </c>
      <c r="D205" t="s">
        <v>34</v>
      </c>
      <c r="E205" t="s">
        <v>35</v>
      </c>
      <c r="F205" t="s">
        <v>36</v>
      </c>
      <c r="G205">
        <v>1141685</v>
      </c>
      <c r="H205" t="s">
        <v>79</v>
      </c>
      <c r="I205" t="s">
        <v>94</v>
      </c>
      <c r="J205" t="s">
        <v>101</v>
      </c>
      <c r="K205" t="s">
        <v>116</v>
      </c>
      <c r="L205" s="1">
        <v>46143</v>
      </c>
      <c r="M205" s="1">
        <v>46173</v>
      </c>
      <c r="N205">
        <v>0.33130686819999999</v>
      </c>
      <c r="O205" t="s">
        <v>56</v>
      </c>
      <c r="P205" t="s">
        <v>63</v>
      </c>
      <c r="Q205" t="s">
        <v>481</v>
      </c>
      <c r="R205" t="s">
        <v>490</v>
      </c>
      <c r="S205" t="s">
        <v>67</v>
      </c>
      <c r="T205" t="s">
        <v>654</v>
      </c>
      <c r="U205" t="s">
        <v>839</v>
      </c>
      <c r="V205">
        <v>17</v>
      </c>
      <c r="W205" s="2">
        <v>462.40056547019998</v>
      </c>
    </row>
    <row r="206" spans="1:23" x14ac:dyDescent="0.25">
      <c r="A206" t="s">
        <v>31</v>
      </c>
      <c r="B206" t="s">
        <v>32</v>
      </c>
      <c r="C206" t="s">
        <v>33</v>
      </c>
      <c r="D206" t="s">
        <v>34</v>
      </c>
      <c r="E206" t="s">
        <v>35</v>
      </c>
      <c r="F206" t="s">
        <v>36</v>
      </c>
      <c r="G206">
        <v>1141685</v>
      </c>
      <c r="H206" t="s">
        <v>77</v>
      </c>
      <c r="I206" t="s">
        <v>96</v>
      </c>
      <c r="J206" t="s">
        <v>77</v>
      </c>
      <c r="K206" t="s">
        <v>111</v>
      </c>
      <c r="L206" s="1">
        <v>46143</v>
      </c>
      <c r="M206" s="1">
        <v>46173</v>
      </c>
      <c r="N206">
        <v>2.6903730800000001E-2</v>
      </c>
      <c r="O206" t="s">
        <v>56</v>
      </c>
      <c r="P206" t="s">
        <v>63</v>
      </c>
      <c r="Q206" t="s">
        <v>483</v>
      </c>
      <c r="R206" t="s">
        <v>488</v>
      </c>
      <c r="S206" t="s">
        <v>67</v>
      </c>
      <c r="T206" t="s">
        <v>655</v>
      </c>
      <c r="U206" t="s">
        <v>840</v>
      </c>
      <c r="V206">
        <v>7</v>
      </c>
      <c r="W206" s="2">
        <v>4.6903898912000006</v>
      </c>
    </row>
    <row r="207" spans="1:23" x14ac:dyDescent="0.25">
      <c r="A207" t="s">
        <v>31</v>
      </c>
      <c r="B207" t="s">
        <v>32</v>
      </c>
      <c r="C207" t="s">
        <v>33</v>
      </c>
      <c r="D207" t="s">
        <v>34</v>
      </c>
      <c r="E207" t="s">
        <v>35</v>
      </c>
      <c r="F207" t="s">
        <v>36</v>
      </c>
      <c r="G207">
        <v>1141685</v>
      </c>
      <c r="H207" t="s">
        <v>76</v>
      </c>
      <c r="I207" t="s">
        <v>95</v>
      </c>
      <c r="J207" t="s">
        <v>99</v>
      </c>
      <c r="K207" t="s">
        <v>109</v>
      </c>
      <c r="L207" s="1">
        <v>46143</v>
      </c>
      <c r="M207" s="1">
        <v>46173</v>
      </c>
      <c r="N207">
        <v>0.649953</v>
      </c>
      <c r="O207" t="s">
        <v>58</v>
      </c>
      <c r="P207" t="s">
        <v>63</v>
      </c>
      <c r="Q207" t="s">
        <v>480</v>
      </c>
      <c r="R207" t="s">
        <v>486</v>
      </c>
      <c r="S207" t="s">
        <v>67</v>
      </c>
      <c r="T207" t="s">
        <v>521</v>
      </c>
      <c r="U207" t="s">
        <v>706</v>
      </c>
      <c r="V207">
        <v>16</v>
      </c>
      <c r="W207" s="2">
        <v>0</v>
      </c>
    </row>
    <row r="208" spans="1:23" x14ac:dyDescent="0.25">
      <c r="A208" t="s">
        <v>31</v>
      </c>
      <c r="B208" t="s">
        <v>32</v>
      </c>
      <c r="C208" t="s">
        <v>33</v>
      </c>
      <c r="D208" t="s">
        <v>34</v>
      </c>
      <c r="E208" t="s">
        <v>35</v>
      </c>
      <c r="F208" t="s">
        <v>36</v>
      </c>
      <c r="G208">
        <v>1141685</v>
      </c>
      <c r="H208" t="s">
        <v>76</v>
      </c>
      <c r="I208" t="s">
        <v>95</v>
      </c>
      <c r="J208" t="s">
        <v>99</v>
      </c>
      <c r="K208" t="s">
        <v>109</v>
      </c>
      <c r="L208" s="1">
        <v>46143</v>
      </c>
      <c r="M208" s="1">
        <v>46173</v>
      </c>
      <c r="N208">
        <v>0.16667000000000001</v>
      </c>
      <c r="O208" t="s">
        <v>58</v>
      </c>
      <c r="P208" t="s">
        <v>63</v>
      </c>
      <c r="Q208" t="s">
        <v>480</v>
      </c>
      <c r="R208" t="s">
        <v>490</v>
      </c>
      <c r="S208" t="s">
        <v>67</v>
      </c>
      <c r="T208" t="s">
        <v>541</v>
      </c>
      <c r="U208" t="s">
        <v>726</v>
      </c>
      <c r="V208">
        <v>17</v>
      </c>
      <c r="W208" s="2">
        <v>0</v>
      </c>
    </row>
    <row r="209" spans="1:23" x14ac:dyDescent="0.25">
      <c r="A209" t="s">
        <v>31</v>
      </c>
      <c r="B209" t="s">
        <v>32</v>
      </c>
      <c r="C209" t="s">
        <v>33</v>
      </c>
      <c r="D209" t="s">
        <v>34</v>
      </c>
      <c r="E209" t="s">
        <v>35</v>
      </c>
      <c r="F209" t="s">
        <v>36</v>
      </c>
      <c r="G209">
        <v>1141685</v>
      </c>
      <c r="H209" t="s">
        <v>76</v>
      </c>
      <c r="I209" t="s">
        <v>95</v>
      </c>
      <c r="J209" t="s">
        <v>99</v>
      </c>
      <c r="K209" t="s">
        <v>109</v>
      </c>
      <c r="L209" s="1">
        <v>46143</v>
      </c>
      <c r="M209" s="1">
        <v>46173</v>
      </c>
      <c r="N209">
        <v>1.6667000000000001E-2</v>
      </c>
      <c r="O209" t="s">
        <v>58</v>
      </c>
      <c r="P209" t="s">
        <v>63</v>
      </c>
      <c r="Q209" t="s">
        <v>480</v>
      </c>
      <c r="R209" t="s">
        <v>486</v>
      </c>
      <c r="S209" t="s">
        <v>67</v>
      </c>
      <c r="T209" t="s">
        <v>521</v>
      </c>
      <c r="U209" t="s">
        <v>706</v>
      </c>
      <c r="V209">
        <v>16</v>
      </c>
      <c r="W209" s="2">
        <v>0</v>
      </c>
    </row>
    <row r="210" spans="1:23" x14ac:dyDescent="0.25">
      <c r="A210" t="s">
        <v>31</v>
      </c>
      <c r="B210" t="s">
        <v>32</v>
      </c>
      <c r="C210" t="s">
        <v>33</v>
      </c>
      <c r="D210" t="s">
        <v>34</v>
      </c>
      <c r="E210" t="s">
        <v>35</v>
      </c>
      <c r="F210" t="s">
        <v>36</v>
      </c>
      <c r="G210">
        <v>1141685</v>
      </c>
      <c r="H210" t="s">
        <v>76</v>
      </c>
      <c r="I210" t="s">
        <v>95</v>
      </c>
      <c r="J210" t="s">
        <v>99</v>
      </c>
      <c r="K210" t="s">
        <v>109</v>
      </c>
      <c r="L210" s="1">
        <v>46143</v>
      </c>
      <c r="M210" s="1">
        <v>46173</v>
      </c>
      <c r="N210">
        <v>0.33339999999999997</v>
      </c>
      <c r="O210" t="s">
        <v>58</v>
      </c>
      <c r="P210" t="s">
        <v>63</v>
      </c>
      <c r="Q210" t="s">
        <v>480</v>
      </c>
      <c r="R210" t="s">
        <v>486</v>
      </c>
      <c r="S210" t="s">
        <v>67</v>
      </c>
      <c r="T210" t="s">
        <v>521</v>
      </c>
      <c r="U210" t="s">
        <v>706</v>
      </c>
      <c r="V210">
        <v>16</v>
      </c>
      <c r="W210" s="2">
        <v>0</v>
      </c>
    </row>
    <row r="211" spans="1:23" x14ac:dyDescent="0.25">
      <c r="A211" t="s">
        <v>31</v>
      </c>
      <c r="B211" t="s">
        <v>32</v>
      </c>
      <c r="C211" t="s">
        <v>33</v>
      </c>
      <c r="D211" t="s">
        <v>34</v>
      </c>
      <c r="E211" t="s">
        <v>35</v>
      </c>
      <c r="F211" t="s">
        <v>36</v>
      </c>
      <c r="G211">
        <v>1141685</v>
      </c>
      <c r="H211" t="s">
        <v>76</v>
      </c>
      <c r="I211" t="s">
        <v>95</v>
      </c>
      <c r="J211" t="s">
        <v>99</v>
      </c>
      <c r="K211" t="s">
        <v>109</v>
      </c>
      <c r="L211" s="1">
        <v>46143</v>
      </c>
      <c r="M211" s="1">
        <v>46173</v>
      </c>
      <c r="N211">
        <v>14</v>
      </c>
      <c r="O211" t="s">
        <v>58</v>
      </c>
      <c r="P211" t="s">
        <v>63</v>
      </c>
      <c r="Q211" t="s">
        <v>480</v>
      </c>
      <c r="R211" t="s">
        <v>484</v>
      </c>
      <c r="S211" t="s">
        <v>67</v>
      </c>
      <c r="T211" t="s">
        <v>508</v>
      </c>
      <c r="U211" t="s">
        <v>693</v>
      </c>
      <c r="V211">
        <v>15</v>
      </c>
      <c r="W211" s="2">
        <v>0</v>
      </c>
    </row>
    <row r="212" spans="1:23" x14ac:dyDescent="0.25">
      <c r="A212" t="s">
        <v>31</v>
      </c>
      <c r="B212" t="s">
        <v>32</v>
      </c>
      <c r="C212" t="s">
        <v>33</v>
      </c>
      <c r="D212" t="s">
        <v>34</v>
      </c>
      <c r="E212" t="s">
        <v>35</v>
      </c>
      <c r="F212" t="s">
        <v>36</v>
      </c>
      <c r="G212">
        <v>1141685</v>
      </c>
      <c r="H212" t="s">
        <v>77</v>
      </c>
      <c r="I212" t="s">
        <v>96</v>
      </c>
      <c r="J212" t="s">
        <v>77</v>
      </c>
      <c r="K212" t="s">
        <v>111</v>
      </c>
      <c r="L212" s="1">
        <v>46143</v>
      </c>
      <c r="M212" s="1">
        <v>46173</v>
      </c>
      <c r="N212">
        <v>1.2256807302999999</v>
      </c>
      <c r="O212" t="s">
        <v>56</v>
      </c>
      <c r="P212" t="s">
        <v>63</v>
      </c>
      <c r="Q212" t="s">
        <v>481</v>
      </c>
      <c r="R212" t="s">
        <v>486</v>
      </c>
      <c r="S212" t="s">
        <v>67</v>
      </c>
      <c r="T212" t="s">
        <v>656</v>
      </c>
      <c r="U212" t="s">
        <v>841</v>
      </c>
      <c r="V212">
        <v>15</v>
      </c>
      <c r="W212" s="2">
        <v>213.83238898370001</v>
      </c>
    </row>
    <row r="213" spans="1:23" x14ac:dyDescent="0.25">
      <c r="A213" t="s">
        <v>31</v>
      </c>
      <c r="B213" t="s">
        <v>32</v>
      </c>
      <c r="C213" t="s">
        <v>33</v>
      </c>
      <c r="D213" t="s">
        <v>34</v>
      </c>
      <c r="E213" t="s">
        <v>35</v>
      </c>
      <c r="F213" t="s">
        <v>36</v>
      </c>
      <c r="G213">
        <v>1141685</v>
      </c>
      <c r="H213" t="s">
        <v>77</v>
      </c>
      <c r="I213" t="s">
        <v>96</v>
      </c>
      <c r="J213" t="s">
        <v>77</v>
      </c>
      <c r="K213" t="s">
        <v>111</v>
      </c>
      <c r="L213" s="1">
        <v>46143</v>
      </c>
      <c r="M213" s="1">
        <v>46173</v>
      </c>
      <c r="N213">
        <v>0.13309831920000001</v>
      </c>
      <c r="O213" t="s">
        <v>56</v>
      </c>
      <c r="P213" t="s">
        <v>63</v>
      </c>
      <c r="Q213" t="s">
        <v>481</v>
      </c>
      <c r="R213" t="s">
        <v>486</v>
      </c>
      <c r="S213" t="s">
        <v>67</v>
      </c>
      <c r="T213" t="s">
        <v>657</v>
      </c>
      <c r="U213" t="s">
        <v>842</v>
      </c>
      <c r="V213">
        <v>15</v>
      </c>
      <c r="W213" s="2">
        <v>23.223892830800001</v>
      </c>
    </row>
    <row r="214" spans="1:23" x14ac:dyDescent="0.25">
      <c r="A214" t="s">
        <v>31</v>
      </c>
      <c r="B214" t="s">
        <v>32</v>
      </c>
      <c r="C214" t="s">
        <v>33</v>
      </c>
      <c r="D214" t="s">
        <v>34</v>
      </c>
      <c r="E214" t="s">
        <v>35</v>
      </c>
      <c r="F214" t="s">
        <v>36</v>
      </c>
      <c r="G214">
        <v>1141685</v>
      </c>
      <c r="H214" t="s">
        <v>77</v>
      </c>
      <c r="I214" t="s">
        <v>96</v>
      </c>
      <c r="J214" t="s">
        <v>77</v>
      </c>
      <c r="K214" t="s">
        <v>111</v>
      </c>
      <c r="L214" s="1">
        <v>46143</v>
      </c>
      <c r="M214" s="1">
        <v>46173</v>
      </c>
      <c r="N214">
        <v>1.006E-7</v>
      </c>
      <c r="O214" t="s">
        <v>56</v>
      </c>
      <c r="P214" t="s">
        <v>63</v>
      </c>
      <c r="Q214" t="s">
        <v>481</v>
      </c>
      <c r="R214" t="s">
        <v>484</v>
      </c>
      <c r="S214" t="s">
        <v>67</v>
      </c>
      <c r="T214" t="s">
        <v>658</v>
      </c>
      <c r="U214" t="s">
        <v>843</v>
      </c>
      <c r="V214">
        <v>16</v>
      </c>
      <c r="W214" s="2">
        <v>1.5441899999999999E-5</v>
      </c>
    </row>
    <row r="215" spans="1:23" x14ac:dyDescent="0.25">
      <c r="A215" t="s">
        <v>31</v>
      </c>
      <c r="B215" t="s">
        <v>32</v>
      </c>
      <c r="C215" t="s">
        <v>33</v>
      </c>
      <c r="D215" t="s">
        <v>34</v>
      </c>
      <c r="E215" t="s">
        <v>35</v>
      </c>
      <c r="F215" t="s">
        <v>36</v>
      </c>
      <c r="G215">
        <v>1141685</v>
      </c>
      <c r="H215" t="s">
        <v>77</v>
      </c>
      <c r="I215" t="s">
        <v>96</v>
      </c>
      <c r="J215" t="s">
        <v>77</v>
      </c>
      <c r="K215" t="s">
        <v>111</v>
      </c>
      <c r="L215" s="1">
        <v>46143</v>
      </c>
      <c r="M215" s="1">
        <v>46173</v>
      </c>
      <c r="N215">
        <v>35.926603915199998</v>
      </c>
      <c r="O215" t="s">
        <v>56</v>
      </c>
      <c r="P215" t="s">
        <v>63</v>
      </c>
      <c r="Q215" t="s">
        <v>481</v>
      </c>
      <c r="R215" t="s">
        <v>484</v>
      </c>
      <c r="S215" t="s">
        <v>67</v>
      </c>
      <c r="T215" t="s">
        <v>659</v>
      </c>
      <c r="U215" t="s">
        <v>844</v>
      </c>
      <c r="V215">
        <v>16</v>
      </c>
      <c r="W215" s="2">
        <v>6267.7546807521003</v>
      </c>
    </row>
    <row r="216" spans="1:23" x14ac:dyDescent="0.25">
      <c r="A216" t="s">
        <v>31</v>
      </c>
      <c r="B216" t="s">
        <v>32</v>
      </c>
      <c r="C216" t="s">
        <v>33</v>
      </c>
      <c r="D216" t="s">
        <v>34</v>
      </c>
      <c r="E216" t="s">
        <v>35</v>
      </c>
      <c r="F216" t="s">
        <v>36</v>
      </c>
      <c r="G216">
        <v>1141685</v>
      </c>
      <c r="H216" t="s">
        <v>79</v>
      </c>
      <c r="I216" t="s">
        <v>94</v>
      </c>
      <c r="J216" t="s">
        <v>101</v>
      </c>
      <c r="K216" t="s">
        <v>114</v>
      </c>
      <c r="L216" s="1">
        <v>46143</v>
      </c>
      <c r="M216" s="1">
        <v>46173</v>
      </c>
      <c r="N216">
        <v>3.3529999999999999E-7</v>
      </c>
      <c r="O216" t="s">
        <v>56</v>
      </c>
      <c r="P216" t="s">
        <v>63</v>
      </c>
      <c r="Q216" t="s">
        <v>481</v>
      </c>
      <c r="R216" t="s">
        <v>484</v>
      </c>
      <c r="S216" t="s">
        <v>67</v>
      </c>
      <c r="T216" t="s">
        <v>512</v>
      </c>
      <c r="U216" t="s">
        <v>697</v>
      </c>
      <c r="V216">
        <v>16</v>
      </c>
      <c r="W216" s="2">
        <v>4.1178550000000002E-4</v>
      </c>
    </row>
    <row r="217" spans="1:23" x14ac:dyDescent="0.25">
      <c r="A217" t="s">
        <v>31</v>
      </c>
      <c r="B217" t="s">
        <v>32</v>
      </c>
      <c r="C217" t="s">
        <v>33</v>
      </c>
      <c r="D217" t="s">
        <v>34</v>
      </c>
      <c r="E217" t="s">
        <v>35</v>
      </c>
      <c r="F217" t="s">
        <v>36</v>
      </c>
      <c r="G217">
        <v>1141685</v>
      </c>
      <c r="H217" t="s">
        <v>76</v>
      </c>
      <c r="I217" t="s">
        <v>95</v>
      </c>
      <c r="J217" t="s">
        <v>99</v>
      </c>
      <c r="K217" t="s">
        <v>109</v>
      </c>
      <c r="L217" s="1">
        <v>46143</v>
      </c>
      <c r="M217" s="1">
        <v>46173</v>
      </c>
      <c r="N217">
        <v>3.3334000000000003E-2</v>
      </c>
      <c r="O217" t="s">
        <v>58</v>
      </c>
      <c r="P217" t="s">
        <v>63</v>
      </c>
      <c r="Q217" t="s">
        <v>480</v>
      </c>
      <c r="R217" t="s">
        <v>484</v>
      </c>
      <c r="S217" t="s">
        <v>67</v>
      </c>
      <c r="T217" t="s">
        <v>507</v>
      </c>
      <c r="U217" t="s">
        <v>692</v>
      </c>
      <c r="V217">
        <v>16</v>
      </c>
      <c r="W217" s="2">
        <v>0</v>
      </c>
    </row>
    <row r="218" spans="1:23" x14ac:dyDescent="0.25">
      <c r="A218" t="s">
        <v>31</v>
      </c>
      <c r="B218" t="s">
        <v>32</v>
      </c>
      <c r="C218" t="s">
        <v>33</v>
      </c>
      <c r="D218" t="s">
        <v>34</v>
      </c>
      <c r="E218" t="s">
        <v>35</v>
      </c>
      <c r="F218" t="s">
        <v>36</v>
      </c>
      <c r="G218">
        <v>1141685</v>
      </c>
      <c r="H218" t="s">
        <v>91</v>
      </c>
      <c r="I218" t="s">
        <v>95</v>
      </c>
      <c r="J218" t="s">
        <v>106</v>
      </c>
      <c r="K218" t="s">
        <v>479</v>
      </c>
      <c r="L218" s="1">
        <v>46143</v>
      </c>
      <c r="M218" s="1">
        <v>46173</v>
      </c>
      <c r="N218">
        <v>1.31681</v>
      </c>
      <c r="O218" t="s">
        <v>58</v>
      </c>
      <c r="P218" t="s">
        <v>63</v>
      </c>
      <c r="Q218" t="s">
        <v>480</v>
      </c>
      <c r="R218" t="s">
        <v>484</v>
      </c>
      <c r="S218" t="s">
        <v>67</v>
      </c>
      <c r="T218" t="s">
        <v>660</v>
      </c>
      <c r="U218" t="s">
        <v>845</v>
      </c>
      <c r="V218">
        <v>16</v>
      </c>
      <c r="W218" s="2">
        <v>5743.2647972000004</v>
      </c>
    </row>
    <row r="219" spans="1:23" x14ac:dyDescent="0.25">
      <c r="A219" t="s">
        <v>31</v>
      </c>
      <c r="B219" t="s">
        <v>32</v>
      </c>
      <c r="C219" t="s">
        <v>33</v>
      </c>
      <c r="D219" t="s">
        <v>34</v>
      </c>
      <c r="E219" t="s">
        <v>35</v>
      </c>
      <c r="F219" t="s">
        <v>36</v>
      </c>
      <c r="G219">
        <v>1141685</v>
      </c>
      <c r="H219" t="s">
        <v>91</v>
      </c>
      <c r="I219" t="s">
        <v>95</v>
      </c>
      <c r="J219" t="s">
        <v>106</v>
      </c>
      <c r="K219" t="s">
        <v>479</v>
      </c>
      <c r="L219" s="1">
        <v>46143</v>
      </c>
      <c r="M219" s="1">
        <v>46173</v>
      </c>
      <c r="N219">
        <v>2.3000000000000001E-4</v>
      </c>
      <c r="O219" t="s">
        <v>58</v>
      </c>
      <c r="P219" t="s">
        <v>63</v>
      </c>
      <c r="Q219" t="s">
        <v>480</v>
      </c>
      <c r="R219" t="s">
        <v>484</v>
      </c>
      <c r="S219" t="s">
        <v>67</v>
      </c>
      <c r="T219" t="s">
        <v>661</v>
      </c>
      <c r="U219" t="s">
        <v>846</v>
      </c>
      <c r="V219">
        <v>16</v>
      </c>
      <c r="W219" s="2">
        <v>1.0027676000000001</v>
      </c>
    </row>
    <row r="220" spans="1:23" x14ac:dyDescent="0.25">
      <c r="A220" t="s">
        <v>31</v>
      </c>
      <c r="B220" t="s">
        <v>32</v>
      </c>
      <c r="C220" t="s">
        <v>33</v>
      </c>
      <c r="D220" t="s">
        <v>34</v>
      </c>
      <c r="E220" t="s">
        <v>35</v>
      </c>
      <c r="F220" t="s">
        <v>36</v>
      </c>
      <c r="G220">
        <v>1141685</v>
      </c>
      <c r="H220" t="s">
        <v>81</v>
      </c>
      <c r="I220" t="s">
        <v>97</v>
      </c>
      <c r="J220" t="s">
        <v>102</v>
      </c>
      <c r="K220" t="s">
        <v>117</v>
      </c>
      <c r="L220" s="1">
        <v>46143</v>
      </c>
      <c r="M220" s="1">
        <v>46173</v>
      </c>
      <c r="N220">
        <v>2103</v>
      </c>
      <c r="O220" t="s">
        <v>58</v>
      </c>
      <c r="P220" t="s">
        <v>63</v>
      </c>
      <c r="Q220" t="s">
        <v>482</v>
      </c>
      <c r="R220" t="s">
        <v>485</v>
      </c>
      <c r="S220" t="s">
        <v>67</v>
      </c>
      <c r="T220" t="s">
        <v>70</v>
      </c>
      <c r="U220" t="s">
        <v>73</v>
      </c>
      <c r="V220">
        <v>6</v>
      </c>
      <c r="W220" s="2">
        <v>0</v>
      </c>
    </row>
    <row r="221" spans="1:23" x14ac:dyDescent="0.25">
      <c r="A221" t="s">
        <v>31</v>
      </c>
      <c r="B221" t="s">
        <v>32</v>
      </c>
      <c r="C221" t="s">
        <v>33</v>
      </c>
      <c r="D221" t="s">
        <v>34</v>
      </c>
      <c r="E221" t="s">
        <v>35</v>
      </c>
      <c r="F221" t="s">
        <v>36</v>
      </c>
      <c r="G221">
        <v>1141685</v>
      </c>
      <c r="H221" t="s">
        <v>76</v>
      </c>
      <c r="I221" t="s">
        <v>95</v>
      </c>
      <c r="J221" t="s">
        <v>99</v>
      </c>
      <c r="K221" t="s">
        <v>109</v>
      </c>
      <c r="L221" s="1">
        <v>46143</v>
      </c>
      <c r="M221" s="1">
        <v>46173</v>
      </c>
      <c r="N221">
        <v>0.83333000000000002</v>
      </c>
      <c r="O221" t="s">
        <v>58</v>
      </c>
      <c r="P221" t="s">
        <v>63</v>
      </c>
      <c r="Q221" t="s">
        <v>480</v>
      </c>
      <c r="R221" t="s">
        <v>486</v>
      </c>
      <c r="S221" t="s">
        <v>67</v>
      </c>
      <c r="T221" t="s">
        <v>521</v>
      </c>
      <c r="U221" t="s">
        <v>706</v>
      </c>
      <c r="V221">
        <v>16</v>
      </c>
      <c r="W221" s="2">
        <v>0</v>
      </c>
    </row>
    <row r="222" spans="1:23" x14ac:dyDescent="0.25">
      <c r="A222" t="s">
        <v>31</v>
      </c>
      <c r="B222" t="s">
        <v>32</v>
      </c>
      <c r="C222" t="s">
        <v>33</v>
      </c>
      <c r="D222" t="s">
        <v>34</v>
      </c>
      <c r="E222" t="s">
        <v>35</v>
      </c>
      <c r="F222" t="s">
        <v>36</v>
      </c>
      <c r="G222">
        <v>1141685</v>
      </c>
      <c r="H222" t="s">
        <v>76</v>
      </c>
      <c r="I222" t="s">
        <v>95</v>
      </c>
      <c r="J222" t="s">
        <v>99</v>
      </c>
      <c r="K222" t="s">
        <v>109</v>
      </c>
      <c r="L222" s="1">
        <v>46143</v>
      </c>
      <c r="M222" s="1">
        <v>46173</v>
      </c>
      <c r="N222">
        <v>136</v>
      </c>
      <c r="O222" t="s">
        <v>58</v>
      </c>
      <c r="P222" t="s">
        <v>63</v>
      </c>
      <c r="Q222" t="s">
        <v>480</v>
      </c>
      <c r="R222" t="s">
        <v>486</v>
      </c>
      <c r="S222" t="s">
        <v>67</v>
      </c>
      <c r="T222" t="s">
        <v>560</v>
      </c>
      <c r="U222" t="s">
        <v>745</v>
      </c>
      <c r="V222">
        <v>15</v>
      </c>
      <c r="W222" s="2">
        <v>0</v>
      </c>
    </row>
    <row r="223" spans="1:23" x14ac:dyDescent="0.25">
      <c r="A223" t="s">
        <v>31</v>
      </c>
      <c r="B223" t="s">
        <v>32</v>
      </c>
      <c r="C223" t="s">
        <v>33</v>
      </c>
      <c r="D223" t="s">
        <v>34</v>
      </c>
      <c r="E223" t="s">
        <v>35</v>
      </c>
      <c r="F223" t="s">
        <v>36</v>
      </c>
      <c r="G223">
        <v>1141685</v>
      </c>
      <c r="H223" t="s">
        <v>80</v>
      </c>
      <c r="I223" t="s">
        <v>96</v>
      </c>
      <c r="J223" t="s">
        <v>80</v>
      </c>
      <c r="K223" t="s">
        <v>122</v>
      </c>
      <c r="L223" s="1">
        <v>46143</v>
      </c>
      <c r="M223" s="1">
        <v>46173</v>
      </c>
      <c r="N223">
        <v>2.224827E-4</v>
      </c>
      <c r="O223" t="s">
        <v>56</v>
      </c>
      <c r="P223" t="s">
        <v>63</v>
      </c>
      <c r="Q223" t="s">
        <v>481</v>
      </c>
      <c r="R223" t="s">
        <v>484</v>
      </c>
      <c r="S223" t="s">
        <v>67</v>
      </c>
      <c r="T223" t="s">
        <v>662</v>
      </c>
      <c r="U223" t="s">
        <v>847</v>
      </c>
      <c r="V223">
        <v>16</v>
      </c>
      <c r="W223" s="2">
        <v>3.4156614699999997E-2</v>
      </c>
    </row>
    <row r="224" spans="1:23" x14ac:dyDescent="0.25">
      <c r="A224" t="s">
        <v>31</v>
      </c>
      <c r="B224" t="s">
        <v>32</v>
      </c>
      <c r="C224" t="s">
        <v>33</v>
      </c>
      <c r="D224" t="s">
        <v>34</v>
      </c>
      <c r="E224" t="s">
        <v>35</v>
      </c>
      <c r="F224" t="s">
        <v>36</v>
      </c>
      <c r="G224">
        <v>1141685</v>
      </c>
      <c r="H224" t="s">
        <v>80</v>
      </c>
      <c r="I224" t="s">
        <v>96</v>
      </c>
      <c r="J224" t="s">
        <v>80</v>
      </c>
      <c r="K224" t="s">
        <v>122</v>
      </c>
      <c r="L224" s="1">
        <v>46143</v>
      </c>
      <c r="M224" s="1">
        <v>46173</v>
      </c>
      <c r="N224">
        <v>1.019491E-4</v>
      </c>
      <c r="O224" t="s">
        <v>56</v>
      </c>
      <c r="P224" t="s">
        <v>63</v>
      </c>
      <c r="Q224" t="s">
        <v>481</v>
      </c>
      <c r="R224" t="s">
        <v>486</v>
      </c>
      <c r="S224" t="s">
        <v>67</v>
      </c>
      <c r="T224" t="s">
        <v>663</v>
      </c>
      <c r="U224" t="s">
        <v>848</v>
      </c>
      <c r="V224">
        <v>16</v>
      </c>
      <c r="W224" s="2">
        <v>1.56517134E-2</v>
      </c>
    </row>
    <row r="225" spans="1:23" x14ac:dyDescent="0.25">
      <c r="A225" t="s">
        <v>31</v>
      </c>
      <c r="B225" t="s">
        <v>32</v>
      </c>
      <c r="C225" t="s">
        <v>33</v>
      </c>
      <c r="D225" t="s">
        <v>34</v>
      </c>
      <c r="E225" t="s">
        <v>35</v>
      </c>
      <c r="F225" t="s">
        <v>36</v>
      </c>
      <c r="G225">
        <v>1141685</v>
      </c>
      <c r="H225" t="s">
        <v>80</v>
      </c>
      <c r="I225" t="s">
        <v>96</v>
      </c>
      <c r="J225" t="s">
        <v>80</v>
      </c>
      <c r="K225" t="s">
        <v>122</v>
      </c>
      <c r="L225" s="1">
        <v>46143</v>
      </c>
      <c r="M225" s="1">
        <v>46173</v>
      </c>
      <c r="N225">
        <v>0.120100026</v>
      </c>
      <c r="O225" t="s">
        <v>56</v>
      </c>
      <c r="P225" t="s">
        <v>63</v>
      </c>
      <c r="Q225" t="s">
        <v>481</v>
      </c>
      <c r="R225" t="s">
        <v>486</v>
      </c>
      <c r="S225" t="s">
        <v>67</v>
      </c>
      <c r="T225" t="s">
        <v>664</v>
      </c>
      <c r="U225" t="s">
        <v>849</v>
      </c>
      <c r="V225">
        <v>16</v>
      </c>
      <c r="W225" s="2">
        <v>20.948332473499999</v>
      </c>
    </row>
    <row r="226" spans="1:23" x14ac:dyDescent="0.25">
      <c r="A226" t="s">
        <v>31</v>
      </c>
      <c r="B226" t="s">
        <v>32</v>
      </c>
      <c r="C226" t="s">
        <v>33</v>
      </c>
      <c r="D226" t="s">
        <v>34</v>
      </c>
      <c r="E226" t="s">
        <v>35</v>
      </c>
      <c r="F226" t="s">
        <v>36</v>
      </c>
      <c r="G226">
        <v>1141685</v>
      </c>
      <c r="H226" t="s">
        <v>80</v>
      </c>
      <c r="I226" t="s">
        <v>96</v>
      </c>
      <c r="J226" t="s">
        <v>80</v>
      </c>
      <c r="K226" t="s">
        <v>122</v>
      </c>
      <c r="L226" s="1">
        <v>46143</v>
      </c>
      <c r="M226" s="1">
        <v>46173</v>
      </c>
      <c r="N226">
        <v>6.4849440899999999E-2</v>
      </c>
      <c r="O226" t="s">
        <v>56</v>
      </c>
      <c r="P226" t="s">
        <v>63</v>
      </c>
      <c r="Q226" t="s">
        <v>481</v>
      </c>
      <c r="R226" t="s">
        <v>484</v>
      </c>
      <c r="S226" t="s">
        <v>67</v>
      </c>
      <c r="T226" t="s">
        <v>665</v>
      </c>
      <c r="U226" t="s">
        <v>850</v>
      </c>
      <c r="V226">
        <v>16</v>
      </c>
      <c r="W226" s="2">
        <v>11.315997450199999</v>
      </c>
    </row>
    <row r="227" spans="1:23" x14ac:dyDescent="0.25">
      <c r="A227" t="s">
        <v>31</v>
      </c>
      <c r="B227" t="s">
        <v>32</v>
      </c>
      <c r="C227" t="s">
        <v>33</v>
      </c>
      <c r="D227" t="s">
        <v>34</v>
      </c>
      <c r="E227" t="s">
        <v>35</v>
      </c>
      <c r="F227" t="s">
        <v>36</v>
      </c>
      <c r="G227">
        <v>1141685</v>
      </c>
      <c r="H227" t="s">
        <v>79</v>
      </c>
      <c r="I227" t="s">
        <v>94</v>
      </c>
      <c r="J227" t="s">
        <v>101</v>
      </c>
      <c r="K227" t="s">
        <v>116</v>
      </c>
      <c r="L227" s="1">
        <v>46143</v>
      </c>
      <c r="M227" s="1">
        <v>46173</v>
      </c>
      <c r="N227">
        <v>7.1323039899999996E-2</v>
      </c>
      <c r="O227" t="s">
        <v>56</v>
      </c>
      <c r="P227" t="s">
        <v>63</v>
      </c>
      <c r="Q227" t="s">
        <v>481</v>
      </c>
      <c r="R227" t="s">
        <v>490</v>
      </c>
      <c r="S227" t="s">
        <v>67</v>
      </c>
      <c r="T227" t="s">
        <v>666</v>
      </c>
      <c r="U227" t="s">
        <v>851</v>
      </c>
      <c r="V227">
        <v>16</v>
      </c>
      <c r="W227" s="2">
        <v>83.389210667200004</v>
      </c>
    </row>
    <row r="228" spans="1:23" x14ac:dyDescent="0.25">
      <c r="A228" t="s">
        <v>31</v>
      </c>
      <c r="B228" t="s">
        <v>32</v>
      </c>
      <c r="C228" t="s">
        <v>33</v>
      </c>
      <c r="D228" t="s">
        <v>34</v>
      </c>
      <c r="E228" t="s">
        <v>35</v>
      </c>
      <c r="F228" t="s">
        <v>36</v>
      </c>
      <c r="G228">
        <v>1141685</v>
      </c>
      <c r="H228" t="s">
        <v>79</v>
      </c>
      <c r="I228" t="s">
        <v>94</v>
      </c>
      <c r="J228" t="s">
        <v>101</v>
      </c>
      <c r="K228" t="s">
        <v>116</v>
      </c>
      <c r="L228" s="1">
        <v>46143</v>
      </c>
      <c r="M228" s="1">
        <v>46173</v>
      </c>
      <c r="N228">
        <v>4.7347256900000002E-2</v>
      </c>
      <c r="O228" t="s">
        <v>56</v>
      </c>
      <c r="P228" t="s">
        <v>63</v>
      </c>
      <c r="Q228" t="s">
        <v>481</v>
      </c>
      <c r="R228" t="s">
        <v>486</v>
      </c>
      <c r="S228" t="s">
        <v>67</v>
      </c>
      <c r="T228" t="s">
        <v>667</v>
      </c>
      <c r="U228" t="s">
        <v>852</v>
      </c>
      <c r="V228">
        <v>15</v>
      </c>
      <c r="W228" s="2">
        <v>54.442473057599997</v>
      </c>
    </row>
    <row r="229" spans="1:23" x14ac:dyDescent="0.25">
      <c r="A229" t="s">
        <v>31</v>
      </c>
      <c r="B229" t="s">
        <v>32</v>
      </c>
      <c r="C229" t="s">
        <v>33</v>
      </c>
      <c r="D229" t="s">
        <v>34</v>
      </c>
      <c r="E229" t="s">
        <v>35</v>
      </c>
      <c r="F229" t="s">
        <v>36</v>
      </c>
      <c r="G229">
        <v>1141685</v>
      </c>
      <c r="H229" t="s">
        <v>79</v>
      </c>
      <c r="I229" t="s">
        <v>94</v>
      </c>
      <c r="J229" t="s">
        <v>101</v>
      </c>
      <c r="K229" t="s">
        <v>116</v>
      </c>
      <c r="L229" s="1">
        <v>46143</v>
      </c>
      <c r="M229" s="1">
        <v>46173</v>
      </c>
      <c r="N229">
        <v>7.8978899999999997E-5</v>
      </c>
      <c r="O229" t="s">
        <v>56</v>
      </c>
      <c r="P229" t="s">
        <v>63</v>
      </c>
      <c r="Q229" t="s">
        <v>481</v>
      </c>
      <c r="R229" t="s">
        <v>486</v>
      </c>
      <c r="S229" t="s">
        <v>67</v>
      </c>
      <c r="T229" t="s">
        <v>668</v>
      </c>
      <c r="U229" t="s">
        <v>853</v>
      </c>
      <c r="V229">
        <v>16</v>
      </c>
      <c r="W229" s="2">
        <v>0.1070018179</v>
      </c>
    </row>
    <row r="230" spans="1:23" x14ac:dyDescent="0.25">
      <c r="A230" t="s">
        <v>31</v>
      </c>
      <c r="B230" t="s">
        <v>32</v>
      </c>
      <c r="C230" t="s">
        <v>33</v>
      </c>
      <c r="D230" t="s">
        <v>34</v>
      </c>
      <c r="E230" t="s">
        <v>35</v>
      </c>
      <c r="F230" t="s">
        <v>36</v>
      </c>
      <c r="G230">
        <v>1141685</v>
      </c>
      <c r="H230" t="s">
        <v>79</v>
      </c>
      <c r="I230" t="s">
        <v>94</v>
      </c>
      <c r="J230" t="s">
        <v>101</v>
      </c>
      <c r="K230" t="s">
        <v>116</v>
      </c>
      <c r="L230" s="1">
        <v>46143</v>
      </c>
      <c r="M230" s="1">
        <v>46173</v>
      </c>
      <c r="N230">
        <v>1.1118099999999999E-5</v>
      </c>
      <c r="O230" t="s">
        <v>56</v>
      </c>
      <c r="P230" t="s">
        <v>63</v>
      </c>
      <c r="Q230" t="s">
        <v>481</v>
      </c>
      <c r="R230" t="s">
        <v>484</v>
      </c>
      <c r="S230" t="s">
        <v>67</v>
      </c>
      <c r="T230" t="s">
        <v>669</v>
      </c>
      <c r="U230" t="s">
        <v>854</v>
      </c>
      <c r="V230">
        <v>16</v>
      </c>
      <c r="W230" s="2">
        <v>1.3655268E-2</v>
      </c>
    </row>
    <row r="231" spans="1:23" x14ac:dyDescent="0.25">
      <c r="A231" t="s">
        <v>31</v>
      </c>
      <c r="B231" t="s">
        <v>32</v>
      </c>
      <c r="C231" t="s">
        <v>33</v>
      </c>
      <c r="D231" t="s">
        <v>34</v>
      </c>
      <c r="E231" t="s">
        <v>35</v>
      </c>
      <c r="F231" t="s">
        <v>36</v>
      </c>
      <c r="G231">
        <v>1141685</v>
      </c>
      <c r="H231" t="s">
        <v>79</v>
      </c>
      <c r="I231" t="s">
        <v>94</v>
      </c>
      <c r="J231" t="s">
        <v>101</v>
      </c>
      <c r="K231" t="s">
        <v>116</v>
      </c>
      <c r="L231" s="1">
        <v>46143</v>
      </c>
      <c r="M231" s="1">
        <v>46173</v>
      </c>
      <c r="N231">
        <v>1.3105410673</v>
      </c>
      <c r="O231" t="s">
        <v>56</v>
      </c>
      <c r="P231" t="s">
        <v>63</v>
      </c>
      <c r="Q231" t="s">
        <v>481</v>
      </c>
      <c r="R231" t="s">
        <v>484</v>
      </c>
      <c r="S231" t="s">
        <v>67</v>
      </c>
      <c r="T231" t="s">
        <v>670</v>
      </c>
      <c r="U231" t="s">
        <v>855</v>
      </c>
      <c r="V231">
        <v>16</v>
      </c>
      <c r="W231" s="2">
        <v>1829.0944419560999</v>
      </c>
    </row>
    <row r="232" spans="1:23" x14ac:dyDescent="0.25">
      <c r="A232" t="s">
        <v>31</v>
      </c>
      <c r="B232" t="s">
        <v>32</v>
      </c>
      <c r="C232" t="s">
        <v>33</v>
      </c>
      <c r="D232" t="s">
        <v>34</v>
      </c>
      <c r="E232" t="s">
        <v>35</v>
      </c>
      <c r="F232" t="s">
        <v>36</v>
      </c>
      <c r="G232">
        <v>1141685</v>
      </c>
      <c r="H232" t="s">
        <v>76</v>
      </c>
      <c r="I232" t="s">
        <v>95</v>
      </c>
      <c r="J232" t="s">
        <v>99</v>
      </c>
      <c r="K232" t="s">
        <v>109</v>
      </c>
      <c r="L232" s="1">
        <v>46143</v>
      </c>
      <c r="M232" s="1">
        <v>46173</v>
      </c>
      <c r="N232">
        <v>360</v>
      </c>
      <c r="O232" t="s">
        <v>58</v>
      </c>
      <c r="P232" t="s">
        <v>63</v>
      </c>
      <c r="Q232" t="s">
        <v>480</v>
      </c>
      <c r="R232" t="s">
        <v>490</v>
      </c>
      <c r="S232" t="s">
        <v>67</v>
      </c>
      <c r="T232" t="s">
        <v>541</v>
      </c>
      <c r="U232" t="s">
        <v>726</v>
      </c>
      <c r="V232">
        <v>17</v>
      </c>
      <c r="W232" s="2">
        <v>0</v>
      </c>
    </row>
    <row r="233" spans="1:23" x14ac:dyDescent="0.25">
      <c r="A233" t="s">
        <v>31</v>
      </c>
      <c r="B233" t="s">
        <v>32</v>
      </c>
      <c r="C233" t="s">
        <v>33</v>
      </c>
      <c r="D233" t="s">
        <v>34</v>
      </c>
      <c r="E233" t="s">
        <v>35</v>
      </c>
      <c r="F233" t="s">
        <v>36</v>
      </c>
      <c r="G233">
        <v>1141685</v>
      </c>
      <c r="H233" t="s">
        <v>79</v>
      </c>
      <c r="I233" t="s">
        <v>94</v>
      </c>
      <c r="J233" t="s">
        <v>101</v>
      </c>
      <c r="K233" t="s">
        <v>114</v>
      </c>
      <c r="L233" s="1">
        <v>46143</v>
      </c>
      <c r="M233" s="1">
        <v>46173</v>
      </c>
      <c r="N233">
        <v>0.51824939810000004</v>
      </c>
      <c r="O233" t="s">
        <v>56</v>
      </c>
      <c r="P233" t="s">
        <v>63</v>
      </c>
      <c r="Q233" t="s">
        <v>481</v>
      </c>
      <c r="R233" t="s">
        <v>484</v>
      </c>
      <c r="S233" t="s">
        <v>67</v>
      </c>
      <c r="T233" t="s">
        <v>671</v>
      </c>
      <c r="U233" t="s">
        <v>856</v>
      </c>
      <c r="V233">
        <v>16</v>
      </c>
      <c r="W233" s="2">
        <v>723.3130815438999</v>
      </c>
    </row>
    <row r="234" spans="1:23" x14ac:dyDescent="0.25">
      <c r="A234" t="s">
        <v>31</v>
      </c>
      <c r="B234" t="s">
        <v>32</v>
      </c>
      <c r="C234" t="s">
        <v>33</v>
      </c>
      <c r="D234" t="s">
        <v>34</v>
      </c>
      <c r="E234" t="s">
        <v>35</v>
      </c>
      <c r="F234" t="s">
        <v>36</v>
      </c>
      <c r="G234">
        <v>1141685</v>
      </c>
      <c r="H234" t="s">
        <v>79</v>
      </c>
      <c r="I234" t="s">
        <v>94</v>
      </c>
      <c r="J234" t="s">
        <v>101</v>
      </c>
      <c r="K234" t="s">
        <v>114</v>
      </c>
      <c r="L234" s="1">
        <v>46143</v>
      </c>
      <c r="M234" s="1">
        <v>46173</v>
      </c>
      <c r="N234">
        <v>2.6289777094</v>
      </c>
      <c r="O234" t="s">
        <v>56</v>
      </c>
      <c r="P234" t="s">
        <v>63</v>
      </c>
      <c r="Q234" t="s">
        <v>481</v>
      </c>
      <c r="R234" t="s">
        <v>484</v>
      </c>
      <c r="S234" t="s">
        <v>67</v>
      </c>
      <c r="T234" t="s">
        <v>672</v>
      </c>
      <c r="U234" t="s">
        <v>857</v>
      </c>
      <c r="V234">
        <v>16</v>
      </c>
      <c r="W234" s="2">
        <v>3669.2162163796002</v>
      </c>
    </row>
    <row r="235" spans="1:23" x14ac:dyDescent="0.25">
      <c r="A235" t="s">
        <v>31</v>
      </c>
      <c r="B235" t="s">
        <v>32</v>
      </c>
      <c r="C235" t="s">
        <v>33</v>
      </c>
      <c r="D235" t="s">
        <v>34</v>
      </c>
      <c r="E235" t="s">
        <v>35</v>
      </c>
      <c r="F235" t="s">
        <v>36</v>
      </c>
      <c r="G235">
        <v>1141685</v>
      </c>
      <c r="H235" t="s">
        <v>76</v>
      </c>
      <c r="I235" t="s">
        <v>95</v>
      </c>
      <c r="J235" t="s">
        <v>99</v>
      </c>
      <c r="K235" t="s">
        <v>109</v>
      </c>
      <c r="L235" s="1">
        <v>46143</v>
      </c>
      <c r="M235" s="1">
        <v>46173</v>
      </c>
      <c r="N235">
        <v>0.20000399999999999</v>
      </c>
      <c r="O235" t="s">
        <v>58</v>
      </c>
      <c r="P235" t="s">
        <v>63</v>
      </c>
      <c r="Q235" t="s">
        <v>480</v>
      </c>
      <c r="R235" t="s">
        <v>486</v>
      </c>
      <c r="S235" t="s">
        <v>67</v>
      </c>
      <c r="T235" t="s">
        <v>521</v>
      </c>
      <c r="U235" t="s">
        <v>706</v>
      </c>
      <c r="V235">
        <v>16</v>
      </c>
      <c r="W235" s="2">
        <v>0</v>
      </c>
    </row>
    <row r="236" spans="1:23" x14ac:dyDescent="0.25">
      <c r="A236" t="s">
        <v>31</v>
      </c>
      <c r="B236" t="s">
        <v>32</v>
      </c>
      <c r="C236" t="s">
        <v>33</v>
      </c>
      <c r="D236" t="s">
        <v>34</v>
      </c>
      <c r="E236" t="s">
        <v>35</v>
      </c>
      <c r="F236" t="s">
        <v>36</v>
      </c>
      <c r="G236">
        <v>1141685</v>
      </c>
      <c r="H236" t="s">
        <v>79</v>
      </c>
      <c r="I236" t="s">
        <v>94</v>
      </c>
      <c r="J236" t="s">
        <v>101</v>
      </c>
      <c r="K236" t="s">
        <v>114</v>
      </c>
      <c r="L236" s="1">
        <v>46143</v>
      </c>
      <c r="M236" s="1">
        <v>46173</v>
      </c>
      <c r="N236">
        <v>2.5229439999999999E-4</v>
      </c>
      <c r="O236" t="s">
        <v>56</v>
      </c>
      <c r="P236" t="s">
        <v>63</v>
      </c>
      <c r="Q236" t="s">
        <v>481</v>
      </c>
      <c r="R236" t="s">
        <v>484</v>
      </c>
      <c r="S236" t="s">
        <v>67</v>
      </c>
      <c r="T236" t="s">
        <v>673</v>
      </c>
      <c r="U236" t="s">
        <v>858</v>
      </c>
      <c r="V236">
        <v>16</v>
      </c>
      <c r="W236" s="2">
        <v>0.34986752209999999</v>
      </c>
    </row>
    <row r="237" spans="1:23" x14ac:dyDescent="0.25">
      <c r="A237" t="s">
        <v>31</v>
      </c>
      <c r="B237" t="s">
        <v>32</v>
      </c>
      <c r="C237" t="s">
        <v>33</v>
      </c>
      <c r="D237" t="s">
        <v>34</v>
      </c>
      <c r="E237" t="s">
        <v>35</v>
      </c>
      <c r="F237" t="s">
        <v>36</v>
      </c>
      <c r="G237">
        <v>1141685</v>
      </c>
      <c r="H237" t="s">
        <v>76</v>
      </c>
      <c r="I237" t="s">
        <v>95</v>
      </c>
      <c r="J237" t="s">
        <v>99</v>
      </c>
      <c r="K237" t="s">
        <v>109</v>
      </c>
      <c r="L237" s="1">
        <v>46143</v>
      </c>
      <c r="M237" s="1">
        <v>46173</v>
      </c>
      <c r="N237">
        <v>245.983352</v>
      </c>
      <c r="O237" t="s">
        <v>58</v>
      </c>
      <c r="P237" t="s">
        <v>63</v>
      </c>
      <c r="Q237" t="s">
        <v>480</v>
      </c>
      <c r="R237" t="s">
        <v>486</v>
      </c>
      <c r="S237" t="s">
        <v>67</v>
      </c>
      <c r="T237" t="s">
        <v>521</v>
      </c>
      <c r="U237" t="s">
        <v>706</v>
      </c>
      <c r="V237">
        <v>16</v>
      </c>
      <c r="W237" s="2">
        <v>0</v>
      </c>
    </row>
    <row r="238" spans="1:23" x14ac:dyDescent="0.25">
      <c r="A238" t="s">
        <v>31</v>
      </c>
      <c r="B238" t="s">
        <v>32</v>
      </c>
      <c r="C238" t="s">
        <v>33</v>
      </c>
      <c r="D238" t="s">
        <v>34</v>
      </c>
      <c r="E238" t="s">
        <v>35</v>
      </c>
      <c r="F238" t="s">
        <v>36</v>
      </c>
      <c r="G238">
        <v>1141685</v>
      </c>
      <c r="H238" t="s">
        <v>76</v>
      </c>
      <c r="I238" t="s">
        <v>95</v>
      </c>
      <c r="J238" t="s">
        <v>99</v>
      </c>
      <c r="K238" t="s">
        <v>109</v>
      </c>
      <c r="L238" s="1">
        <v>46143</v>
      </c>
      <c r="M238" s="1">
        <v>46173</v>
      </c>
      <c r="N238">
        <v>15.117914000000001</v>
      </c>
      <c r="O238" t="s">
        <v>58</v>
      </c>
      <c r="P238" t="s">
        <v>63</v>
      </c>
      <c r="Q238" t="s">
        <v>480</v>
      </c>
      <c r="R238" t="s">
        <v>484</v>
      </c>
      <c r="S238" t="s">
        <v>67</v>
      </c>
      <c r="T238" t="s">
        <v>508</v>
      </c>
      <c r="U238" t="s">
        <v>693</v>
      </c>
      <c r="V238">
        <v>15</v>
      </c>
      <c r="W238" s="2">
        <v>0</v>
      </c>
    </row>
    <row r="239" spans="1:23" x14ac:dyDescent="0.25">
      <c r="A239" t="s">
        <v>31</v>
      </c>
      <c r="B239" t="s">
        <v>32</v>
      </c>
      <c r="C239" t="s">
        <v>33</v>
      </c>
      <c r="D239" t="s">
        <v>34</v>
      </c>
      <c r="E239" t="s">
        <v>35</v>
      </c>
      <c r="F239" t="s">
        <v>36</v>
      </c>
      <c r="G239">
        <v>1141685</v>
      </c>
      <c r="H239" t="s">
        <v>76</v>
      </c>
      <c r="I239" t="s">
        <v>95</v>
      </c>
      <c r="J239" t="s">
        <v>99</v>
      </c>
      <c r="K239" t="s">
        <v>109</v>
      </c>
      <c r="L239" s="1">
        <v>46143</v>
      </c>
      <c r="M239" s="1">
        <v>46173</v>
      </c>
      <c r="N239">
        <v>1</v>
      </c>
      <c r="O239" t="s">
        <v>58</v>
      </c>
      <c r="P239" t="s">
        <v>63</v>
      </c>
      <c r="Q239" t="s">
        <v>480</v>
      </c>
      <c r="R239" t="s">
        <v>484</v>
      </c>
      <c r="S239" t="s">
        <v>67</v>
      </c>
      <c r="T239" t="s">
        <v>507</v>
      </c>
      <c r="U239" t="s">
        <v>692</v>
      </c>
      <c r="V239">
        <v>16</v>
      </c>
      <c r="W239" s="2">
        <v>0</v>
      </c>
    </row>
    <row r="240" spans="1:23" x14ac:dyDescent="0.25">
      <c r="A240" t="s">
        <v>31</v>
      </c>
      <c r="B240" t="s">
        <v>32</v>
      </c>
      <c r="C240" t="s">
        <v>33</v>
      </c>
      <c r="D240" t="s">
        <v>34</v>
      </c>
      <c r="E240" t="s">
        <v>35</v>
      </c>
      <c r="F240" t="s">
        <v>36</v>
      </c>
      <c r="G240">
        <v>1141685</v>
      </c>
      <c r="H240" t="s">
        <v>76</v>
      </c>
      <c r="I240" t="s">
        <v>95</v>
      </c>
      <c r="J240" t="s">
        <v>99</v>
      </c>
      <c r="K240" t="s">
        <v>109</v>
      </c>
      <c r="L240" s="1">
        <v>46143</v>
      </c>
      <c r="M240" s="1">
        <v>46173</v>
      </c>
      <c r="N240">
        <v>1</v>
      </c>
      <c r="O240" t="s">
        <v>58</v>
      </c>
      <c r="P240" t="s">
        <v>63</v>
      </c>
      <c r="Q240" t="s">
        <v>480</v>
      </c>
      <c r="R240" t="s">
        <v>484</v>
      </c>
      <c r="S240" t="s">
        <v>67</v>
      </c>
      <c r="T240" t="s">
        <v>507</v>
      </c>
      <c r="U240" t="s">
        <v>692</v>
      </c>
      <c r="V240">
        <v>16</v>
      </c>
      <c r="W240" s="2">
        <v>0</v>
      </c>
    </row>
    <row r="241" spans="1:23" x14ac:dyDescent="0.25">
      <c r="A241" t="s">
        <v>31</v>
      </c>
      <c r="B241" t="s">
        <v>32</v>
      </c>
      <c r="C241" t="s">
        <v>33</v>
      </c>
      <c r="D241" t="s">
        <v>34</v>
      </c>
      <c r="E241" t="s">
        <v>35</v>
      </c>
      <c r="F241" t="s">
        <v>36</v>
      </c>
      <c r="G241">
        <v>1141685</v>
      </c>
      <c r="H241" t="s">
        <v>76</v>
      </c>
      <c r="I241" t="s">
        <v>95</v>
      </c>
      <c r="J241" t="s">
        <v>99</v>
      </c>
      <c r="K241" t="s">
        <v>109</v>
      </c>
      <c r="L241" s="1">
        <v>46143</v>
      </c>
      <c r="M241" s="1">
        <v>46173</v>
      </c>
      <c r="N241">
        <v>165.88623200000001</v>
      </c>
      <c r="O241" t="s">
        <v>58</v>
      </c>
      <c r="P241" t="s">
        <v>63</v>
      </c>
      <c r="Q241" t="s">
        <v>480</v>
      </c>
      <c r="R241" t="s">
        <v>484</v>
      </c>
      <c r="S241" t="s">
        <v>67</v>
      </c>
      <c r="T241" t="s">
        <v>507</v>
      </c>
      <c r="U241" t="s">
        <v>692</v>
      </c>
      <c r="V241">
        <v>16</v>
      </c>
      <c r="W241" s="2">
        <v>0</v>
      </c>
    </row>
    <row r="242" spans="1:23" x14ac:dyDescent="0.25">
      <c r="A242" t="s">
        <v>31</v>
      </c>
      <c r="B242" t="s">
        <v>32</v>
      </c>
      <c r="C242" t="s">
        <v>33</v>
      </c>
      <c r="D242" t="s">
        <v>34</v>
      </c>
      <c r="E242" t="s">
        <v>35</v>
      </c>
      <c r="F242" t="s">
        <v>36</v>
      </c>
      <c r="G242">
        <v>1141685</v>
      </c>
      <c r="H242" t="s">
        <v>76</v>
      </c>
      <c r="I242" t="s">
        <v>95</v>
      </c>
      <c r="J242" t="s">
        <v>99</v>
      </c>
      <c r="K242" t="s">
        <v>109</v>
      </c>
      <c r="L242" s="1">
        <v>46143</v>
      </c>
      <c r="M242" s="1">
        <v>46173</v>
      </c>
      <c r="N242">
        <v>13.534079999999999</v>
      </c>
      <c r="O242" t="s">
        <v>58</v>
      </c>
      <c r="P242" t="s">
        <v>63</v>
      </c>
      <c r="Q242" t="s">
        <v>480</v>
      </c>
      <c r="R242" t="s">
        <v>484</v>
      </c>
      <c r="S242" t="s">
        <v>67</v>
      </c>
      <c r="T242" t="s">
        <v>507</v>
      </c>
      <c r="U242" t="s">
        <v>692</v>
      </c>
      <c r="V242">
        <v>16</v>
      </c>
      <c r="W242" s="2">
        <v>0</v>
      </c>
    </row>
    <row r="243" spans="1:23" x14ac:dyDescent="0.25">
      <c r="A243" t="s">
        <v>31</v>
      </c>
      <c r="B243" t="s">
        <v>32</v>
      </c>
      <c r="C243" t="s">
        <v>33</v>
      </c>
      <c r="D243" t="s">
        <v>34</v>
      </c>
      <c r="E243" t="s">
        <v>35</v>
      </c>
      <c r="F243" t="s">
        <v>36</v>
      </c>
      <c r="G243">
        <v>1141685</v>
      </c>
      <c r="H243" t="s">
        <v>76</v>
      </c>
      <c r="I243" t="s">
        <v>95</v>
      </c>
      <c r="J243" t="s">
        <v>99</v>
      </c>
      <c r="K243" t="s">
        <v>109</v>
      </c>
      <c r="L243" s="1">
        <v>46143</v>
      </c>
      <c r="M243" s="1">
        <v>46173</v>
      </c>
      <c r="N243">
        <v>0.23333699999999999</v>
      </c>
      <c r="O243" t="s">
        <v>58</v>
      </c>
      <c r="P243" t="s">
        <v>63</v>
      </c>
      <c r="Q243" t="s">
        <v>480</v>
      </c>
      <c r="R243" t="s">
        <v>484</v>
      </c>
      <c r="S243" t="s">
        <v>67</v>
      </c>
      <c r="T243" t="s">
        <v>507</v>
      </c>
      <c r="U243" t="s">
        <v>692</v>
      </c>
      <c r="V243">
        <v>16</v>
      </c>
      <c r="W243" s="2">
        <v>0</v>
      </c>
    </row>
    <row r="244" spans="1:23" x14ac:dyDescent="0.25">
      <c r="A244" t="s">
        <v>31</v>
      </c>
      <c r="B244" t="s">
        <v>32</v>
      </c>
      <c r="C244" t="s">
        <v>33</v>
      </c>
      <c r="D244" t="s">
        <v>34</v>
      </c>
      <c r="E244" t="s">
        <v>35</v>
      </c>
      <c r="F244" t="s">
        <v>36</v>
      </c>
      <c r="G244">
        <v>1141685</v>
      </c>
      <c r="H244" t="s">
        <v>79</v>
      </c>
      <c r="I244" t="s">
        <v>94</v>
      </c>
      <c r="J244" t="s">
        <v>101</v>
      </c>
      <c r="K244" t="s">
        <v>114</v>
      </c>
      <c r="L244" s="1">
        <v>46143</v>
      </c>
      <c r="M244" s="1">
        <v>46173</v>
      </c>
      <c r="N244">
        <v>1.118E-7</v>
      </c>
      <c r="O244" t="s">
        <v>56</v>
      </c>
      <c r="P244" t="s">
        <v>63</v>
      </c>
      <c r="Q244" t="s">
        <v>481</v>
      </c>
      <c r="R244" t="s">
        <v>484</v>
      </c>
      <c r="S244" t="s">
        <v>67</v>
      </c>
      <c r="T244" t="s">
        <v>567</v>
      </c>
      <c r="U244" t="s">
        <v>752</v>
      </c>
      <c r="V244">
        <v>16</v>
      </c>
      <c r="W244" s="2">
        <v>1.3726179999999999E-4</v>
      </c>
    </row>
    <row r="245" spans="1:23" x14ac:dyDescent="0.25">
      <c r="A245" t="s">
        <v>31</v>
      </c>
      <c r="B245" t="s">
        <v>32</v>
      </c>
      <c r="C245" t="s">
        <v>33</v>
      </c>
      <c r="D245" t="s">
        <v>34</v>
      </c>
      <c r="E245" t="s">
        <v>35</v>
      </c>
      <c r="F245" t="s">
        <v>36</v>
      </c>
      <c r="G245">
        <v>1141685</v>
      </c>
      <c r="H245" t="s">
        <v>79</v>
      </c>
      <c r="I245" t="s">
        <v>94</v>
      </c>
      <c r="J245" t="s">
        <v>101</v>
      </c>
      <c r="K245" t="s">
        <v>114</v>
      </c>
      <c r="L245" s="1">
        <v>46143</v>
      </c>
      <c r="M245" s="1">
        <v>46173</v>
      </c>
      <c r="N245">
        <v>2.2425412042000001</v>
      </c>
      <c r="O245" t="s">
        <v>56</v>
      </c>
      <c r="P245" t="s">
        <v>63</v>
      </c>
      <c r="Q245" t="s">
        <v>481</v>
      </c>
      <c r="R245" t="s">
        <v>484</v>
      </c>
      <c r="S245" t="s">
        <v>67</v>
      </c>
      <c r="T245" t="s">
        <v>674</v>
      </c>
      <c r="U245" t="s">
        <v>859</v>
      </c>
      <c r="V245">
        <v>16</v>
      </c>
      <c r="W245" s="2">
        <v>3129.8655189387</v>
      </c>
    </row>
    <row r="246" spans="1:23" x14ac:dyDescent="0.25">
      <c r="A246" t="s">
        <v>31</v>
      </c>
      <c r="B246" t="s">
        <v>32</v>
      </c>
      <c r="C246" t="s">
        <v>33</v>
      </c>
      <c r="D246" t="s">
        <v>34</v>
      </c>
      <c r="E246" t="s">
        <v>35</v>
      </c>
      <c r="F246" t="s">
        <v>36</v>
      </c>
      <c r="G246">
        <v>1141685</v>
      </c>
      <c r="H246" t="s">
        <v>77</v>
      </c>
      <c r="I246" t="s">
        <v>96</v>
      </c>
      <c r="J246" t="s">
        <v>77</v>
      </c>
      <c r="K246" t="s">
        <v>111</v>
      </c>
      <c r="L246" s="1">
        <v>46143</v>
      </c>
      <c r="M246" s="1">
        <v>46173</v>
      </c>
      <c r="N246">
        <v>2.2080961511999999</v>
      </c>
      <c r="O246" t="s">
        <v>56</v>
      </c>
      <c r="P246" t="s">
        <v>63</v>
      </c>
      <c r="Q246" t="s">
        <v>481</v>
      </c>
      <c r="R246" t="s">
        <v>486</v>
      </c>
      <c r="S246" t="s">
        <v>67</v>
      </c>
      <c r="T246" t="s">
        <v>675</v>
      </c>
      <c r="U246" t="s">
        <v>860</v>
      </c>
      <c r="V246">
        <v>16</v>
      </c>
      <c r="W246" s="2">
        <v>385.2275199975</v>
      </c>
    </row>
    <row r="247" spans="1:23" x14ac:dyDescent="0.25">
      <c r="A247" t="s">
        <v>31</v>
      </c>
      <c r="B247" t="s">
        <v>32</v>
      </c>
      <c r="C247" t="s">
        <v>33</v>
      </c>
      <c r="D247" t="s">
        <v>34</v>
      </c>
      <c r="E247" t="s">
        <v>35</v>
      </c>
      <c r="F247" t="s">
        <v>36</v>
      </c>
      <c r="G247">
        <v>1141685</v>
      </c>
      <c r="H247" t="s">
        <v>79</v>
      </c>
      <c r="I247" t="s">
        <v>94</v>
      </c>
      <c r="J247" t="s">
        <v>101</v>
      </c>
      <c r="K247" t="s">
        <v>114</v>
      </c>
      <c r="L247" s="1">
        <v>46143</v>
      </c>
      <c r="M247" s="1">
        <v>46173</v>
      </c>
      <c r="N247">
        <v>1.118E-7</v>
      </c>
      <c r="O247" t="s">
        <v>56</v>
      </c>
      <c r="P247" t="s">
        <v>63</v>
      </c>
      <c r="Q247" t="s">
        <v>481</v>
      </c>
      <c r="R247" t="s">
        <v>486</v>
      </c>
      <c r="S247" t="s">
        <v>67</v>
      </c>
      <c r="T247" t="s">
        <v>676</v>
      </c>
      <c r="U247" t="s">
        <v>861</v>
      </c>
      <c r="V247">
        <v>16</v>
      </c>
      <c r="W247" s="2">
        <v>1.3726179999999999E-4</v>
      </c>
    </row>
    <row r="248" spans="1:23" x14ac:dyDescent="0.25">
      <c r="A248" t="s">
        <v>31</v>
      </c>
      <c r="B248" t="s">
        <v>32</v>
      </c>
      <c r="C248" t="s">
        <v>33</v>
      </c>
      <c r="D248" t="s">
        <v>34</v>
      </c>
      <c r="E248" t="s">
        <v>35</v>
      </c>
      <c r="F248" t="s">
        <v>36</v>
      </c>
      <c r="G248">
        <v>1141685</v>
      </c>
      <c r="H248" t="s">
        <v>79</v>
      </c>
      <c r="I248" t="s">
        <v>94</v>
      </c>
      <c r="J248" t="s">
        <v>101</v>
      </c>
      <c r="K248" t="s">
        <v>114</v>
      </c>
      <c r="L248" s="1">
        <v>46143</v>
      </c>
      <c r="M248" s="1">
        <v>46173</v>
      </c>
      <c r="N248">
        <v>0.4156573247</v>
      </c>
      <c r="O248" t="s">
        <v>56</v>
      </c>
      <c r="P248" t="s">
        <v>63</v>
      </c>
      <c r="Q248" t="s">
        <v>481</v>
      </c>
      <c r="R248" t="s">
        <v>486</v>
      </c>
      <c r="S248" t="s">
        <v>67</v>
      </c>
      <c r="T248" t="s">
        <v>677</v>
      </c>
      <c r="U248" t="s">
        <v>862</v>
      </c>
      <c r="V248">
        <v>16</v>
      </c>
      <c r="W248" s="2">
        <v>580.11966116379995</v>
      </c>
    </row>
    <row r="249" spans="1:23" x14ac:dyDescent="0.25">
      <c r="A249" t="s">
        <v>31</v>
      </c>
      <c r="B249" t="s">
        <v>32</v>
      </c>
      <c r="C249" t="s">
        <v>33</v>
      </c>
      <c r="D249" t="s">
        <v>34</v>
      </c>
      <c r="E249" t="s">
        <v>35</v>
      </c>
      <c r="F249" t="s">
        <v>36</v>
      </c>
      <c r="G249">
        <v>1141685</v>
      </c>
      <c r="H249" t="s">
        <v>79</v>
      </c>
      <c r="I249" t="s">
        <v>94</v>
      </c>
      <c r="J249" t="s">
        <v>101</v>
      </c>
      <c r="K249" t="s">
        <v>114</v>
      </c>
      <c r="L249" s="1">
        <v>46143</v>
      </c>
      <c r="M249" s="1">
        <v>46173</v>
      </c>
      <c r="N249">
        <v>7.2546265100000007E-2</v>
      </c>
      <c r="O249" t="s">
        <v>56</v>
      </c>
      <c r="P249" t="s">
        <v>63</v>
      </c>
      <c r="Q249" t="s">
        <v>481</v>
      </c>
      <c r="R249" t="s">
        <v>486</v>
      </c>
      <c r="S249" t="s">
        <v>67</v>
      </c>
      <c r="T249" t="s">
        <v>678</v>
      </c>
      <c r="U249" t="s">
        <v>863</v>
      </c>
      <c r="V249">
        <v>16</v>
      </c>
      <c r="W249" s="2">
        <v>101.25120670459999</v>
      </c>
    </row>
    <row r="250" spans="1:23" x14ac:dyDescent="0.25">
      <c r="A250" t="s">
        <v>31</v>
      </c>
      <c r="B250" t="s">
        <v>32</v>
      </c>
      <c r="C250" t="s">
        <v>33</v>
      </c>
      <c r="D250" t="s">
        <v>34</v>
      </c>
      <c r="E250" t="s">
        <v>35</v>
      </c>
      <c r="F250" t="s">
        <v>36</v>
      </c>
      <c r="G250">
        <v>1141685</v>
      </c>
      <c r="H250" t="s">
        <v>77</v>
      </c>
      <c r="I250" t="s">
        <v>96</v>
      </c>
      <c r="J250" t="s">
        <v>77</v>
      </c>
      <c r="K250" t="s">
        <v>113</v>
      </c>
      <c r="L250" s="1">
        <v>46143</v>
      </c>
      <c r="M250" s="1">
        <v>46173</v>
      </c>
      <c r="N250">
        <v>1.2548900199999999E-2</v>
      </c>
      <c r="O250" t="s">
        <v>56</v>
      </c>
      <c r="P250" t="s">
        <v>63</v>
      </c>
      <c r="Q250" t="s">
        <v>481</v>
      </c>
      <c r="R250" t="s">
        <v>486</v>
      </c>
      <c r="S250" t="s">
        <v>67</v>
      </c>
      <c r="T250" t="s">
        <v>679</v>
      </c>
      <c r="U250" t="s">
        <v>864</v>
      </c>
      <c r="V250">
        <v>16</v>
      </c>
      <c r="W250" s="2">
        <v>2.1865673946999999</v>
      </c>
    </row>
    <row r="251" spans="1:23" x14ac:dyDescent="0.25">
      <c r="A251" t="s">
        <v>31</v>
      </c>
      <c r="B251" t="s">
        <v>32</v>
      </c>
      <c r="C251" t="s">
        <v>33</v>
      </c>
      <c r="D251" t="s">
        <v>34</v>
      </c>
      <c r="E251" t="s">
        <v>35</v>
      </c>
      <c r="F251" t="s">
        <v>36</v>
      </c>
      <c r="G251">
        <v>1141685</v>
      </c>
      <c r="H251" t="s">
        <v>77</v>
      </c>
      <c r="I251" t="s">
        <v>96</v>
      </c>
      <c r="J251" t="s">
        <v>77</v>
      </c>
      <c r="K251" t="s">
        <v>113</v>
      </c>
      <c r="L251" s="1">
        <v>46143</v>
      </c>
      <c r="M251" s="1">
        <v>46173</v>
      </c>
      <c r="N251">
        <v>7.7109837905000003</v>
      </c>
      <c r="O251" t="s">
        <v>56</v>
      </c>
      <c r="P251" t="s">
        <v>63</v>
      </c>
      <c r="Q251" t="s">
        <v>481</v>
      </c>
      <c r="R251" t="s">
        <v>486</v>
      </c>
      <c r="S251" t="s">
        <v>67</v>
      </c>
      <c r="T251" t="s">
        <v>680</v>
      </c>
      <c r="U251" t="s">
        <v>865</v>
      </c>
      <c r="V251">
        <v>16</v>
      </c>
      <c r="W251" s="2">
        <v>1345.2572442308999</v>
      </c>
    </row>
    <row r="252" spans="1:23" x14ac:dyDescent="0.25">
      <c r="A252" t="s">
        <v>31</v>
      </c>
      <c r="B252" t="s">
        <v>32</v>
      </c>
      <c r="C252" t="s">
        <v>33</v>
      </c>
      <c r="D252" t="s">
        <v>34</v>
      </c>
      <c r="E252" t="s">
        <v>35</v>
      </c>
      <c r="F252" t="s">
        <v>36</v>
      </c>
      <c r="G252">
        <v>1141685</v>
      </c>
      <c r="H252" t="s">
        <v>77</v>
      </c>
      <c r="I252" t="s">
        <v>96</v>
      </c>
      <c r="J252" t="s">
        <v>77</v>
      </c>
      <c r="K252" t="s">
        <v>113</v>
      </c>
      <c r="L252" s="1">
        <v>46143</v>
      </c>
      <c r="M252" s="1">
        <v>46173</v>
      </c>
      <c r="N252">
        <v>55.5246531656</v>
      </c>
      <c r="O252" t="s">
        <v>56</v>
      </c>
      <c r="P252" t="s">
        <v>63</v>
      </c>
      <c r="Q252" t="s">
        <v>481</v>
      </c>
      <c r="R252" t="s">
        <v>484</v>
      </c>
      <c r="S252" t="s">
        <v>67</v>
      </c>
      <c r="T252" t="s">
        <v>681</v>
      </c>
      <c r="U252" t="s">
        <v>866</v>
      </c>
      <c r="V252">
        <v>15</v>
      </c>
      <c r="W252" s="2">
        <v>9686.8312723183008</v>
      </c>
    </row>
    <row r="253" spans="1:23" x14ac:dyDescent="0.25">
      <c r="A253" t="s">
        <v>31</v>
      </c>
      <c r="B253" t="s">
        <v>32</v>
      </c>
      <c r="C253" t="s">
        <v>33</v>
      </c>
      <c r="D253" t="s">
        <v>34</v>
      </c>
      <c r="E253" t="s">
        <v>35</v>
      </c>
      <c r="F253" t="s">
        <v>36</v>
      </c>
      <c r="G253">
        <v>1141685</v>
      </c>
      <c r="H253" t="s">
        <v>87</v>
      </c>
      <c r="I253" t="s">
        <v>87</v>
      </c>
      <c r="J253" t="s">
        <v>87</v>
      </c>
      <c r="K253" t="s">
        <v>125</v>
      </c>
      <c r="L253" s="1">
        <v>46143</v>
      </c>
      <c r="M253" s="1">
        <v>46173</v>
      </c>
      <c r="N253">
        <v>744</v>
      </c>
      <c r="O253" t="s">
        <v>58</v>
      </c>
      <c r="P253" t="s">
        <v>63</v>
      </c>
      <c r="Q253" t="s">
        <v>481</v>
      </c>
      <c r="R253" t="s">
        <v>158</v>
      </c>
      <c r="S253" t="s">
        <v>67</v>
      </c>
      <c r="T253" t="s">
        <v>682</v>
      </c>
      <c r="U253" t="s">
        <v>867</v>
      </c>
      <c r="V253">
        <v>12</v>
      </c>
      <c r="W253" s="2">
        <v>324495.598</v>
      </c>
    </row>
    <row r="254" spans="1:23" x14ac:dyDescent="0.25">
      <c r="A254" t="s">
        <v>31</v>
      </c>
      <c r="B254" t="s">
        <v>32</v>
      </c>
      <c r="C254" t="s">
        <v>33</v>
      </c>
      <c r="D254" t="s">
        <v>34</v>
      </c>
      <c r="E254" t="s">
        <v>35</v>
      </c>
      <c r="F254" t="s">
        <v>36</v>
      </c>
      <c r="G254">
        <v>1141685</v>
      </c>
      <c r="H254" t="s">
        <v>75</v>
      </c>
      <c r="I254" t="s">
        <v>94</v>
      </c>
      <c r="J254" t="s">
        <v>98</v>
      </c>
      <c r="K254" t="s">
        <v>108</v>
      </c>
      <c r="L254" s="1">
        <v>46143</v>
      </c>
      <c r="M254" s="1">
        <v>46173</v>
      </c>
      <c r="N254">
        <v>5.8480170000000005E-4</v>
      </c>
      <c r="O254" t="s">
        <v>56</v>
      </c>
      <c r="P254" t="s">
        <v>63</v>
      </c>
      <c r="Q254" t="s">
        <v>481</v>
      </c>
      <c r="R254" t="s">
        <v>490</v>
      </c>
      <c r="S254" t="s">
        <v>67</v>
      </c>
      <c r="T254" t="s">
        <v>683</v>
      </c>
      <c r="U254" t="s">
        <v>868</v>
      </c>
      <c r="V254">
        <v>17</v>
      </c>
      <c r="W254" s="2">
        <v>1.2273786927000001</v>
      </c>
    </row>
    <row r="255" spans="1:23" x14ac:dyDescent="0.25">
      <c r="A255" t="s">
        <v>31</v>
      </c>
      <c r="B255" t="s">
        <v>32</v>
      </c>
      <c r="C255" t="s">
        <v>33</v>
      </c>
      <c r="D255" t="s">
        <v>34</v>
      </c>
      <c r="E255" t="s">
        <v>35</v>
      </c>
      <c r="F255" t="s">
        <v>36</v>
      </c>
      <c r="G255">
        <v>1141685</v>
      </c>
      <c r="H255" t="s">
        <v>75</v>
      </c>
      <c r="I255" t="s">
        <v>94</v>
      </c>
      <c r="J255" t="s">
        <v>98</v>
      </c>
      <c r="K255" t="s">
        <v>108</v>
      </c>
      <c r="L255" s="1">
        <v>46143</v>
      </c>
      <c r="M255" s="1">
        <v>46173</v>
      </c>
      <c r="N255">
        <v>6.1500000000000001E-8</v>
      </c>
      <c r="O255" t="s">
        <v>56</v>
      </c>
      <c r="P255" t="s">
        <v>63</v>
      </c>
      <c r="Q255" t="s">
        <v>481</v>
      </c>
      <c r="R255" t="s">
        <v>484</v>
      </c>
      <c r="S255" t="s">
        <v>67</v>
      </c>
      <c r="T255" t="s">
        <v>629</v>
      </c>
      <c r="U255" t="s">
        <v>814</v>
      </c>
      <c r="V255">
        <v>16</v>
      </c>
      <c r="W255" s="2">
        <v>1.13241E-4</v>
      </c>
    </row>
    <row r="256" spans="1:23" x14ac:dyDescent="0.25">
      <c r="A256" t="s">
        <v>31</v>
      </c>
      <c r="B256" t="s">
        <v>32</v>
      </c>
      <c r="C256" t="s">
        <v>33</v>
      </c>
      <c r="D256" t="s">
        <v>34</v>
      </c>
      <c r="E256" t="s">
        <v>35</v>
      </c>
      <c r="F256" t="s">
        <v>36</v>
      </c>
      <c r="G256">
        <v>1141685</v>
      </c>
      <c r="H256" t="s">
        <v>82</v>
      </c>
      <c r="I256" t="s">
        <v>82</v>
      </c>
      <c r="J256" t="s">
        <v>82</v>
      </c>
      <c r="K256" t="s">
        <v>118</v>
      </c>
      <c r="L256" s="1">
        <v>46143</v>
      </c>
      <c r="M256" s="1">
        <v>46173</v>
      </c>
      <c r="N256">
        <v>0.14267099999999999</v>
      </c>
      <c r="O256" t="s">
        <v>60</v>
      </c>
      <c r="P256" t="s">
        <v>63</v>
      </c>
      <c r="Q256" t="s">
        <v>483</v>
      </c>
      <c r="R256" t="s">
        <v>149</v>
      </c>
      <c r="S256" t="s">
        <v>68</v>
      </c>
      <c r="T256" t="s">
        <v>684</v>
      </c>
      <c r="U256" t="s">
        <v>869</v>
      </c>
      <c r="V256">
        <v>7</v>
      </c>
      <c r="W256" s="2">
        <v>995.61146962860005</v>
      </c>
    </row>
    <row r="257" spans="1:23" x14ac:dyDescent="0.25">
      <c r="A257" t="s">
        <v>31</v>
      </c>
      <c r="B257" t="s">
        <v>32</v>
      </c>
      <c r="C257" t="s">
        <v>33</v>
      </c>
      <c r="D257" t="s">
        <v>34</v>
      </c>
      <c r="E257" t="s">
        <v>35</v>
      </c>
      <c r="F257" t="s">
        <v>36</v>
      </c>
      <c r="G257">
        <v>1141685</v>
      </c>
      <c r="H257" t="s">
        <v>86</v>
      </c>
      <c r="I257" t="s">
        <v>42</v>
      </c>
      <c r="J257" t="s">
        <v>86</v>
      </c>
      <c r="K257" t="s">
        <v>124</v>
      </c>
      <c r="L257" s="1">
        <v>46143</v>
      </c>
      <c r="M257" s="1">
        <v>46173</v>
      </c>
      <c r="N257">
        <v>8.7399999999999999E-4</v>
      </c>
      <c r="O257" t="s">
        <v>135</v>
      </c>
      <c r="P257" t="s">
        <v>63</v>
      </c>
      <c r="Q257" t="s">
        <v>480</v>
      </c>
      <c r="R257" t="s">
        <v>504</v>
      </c>
      <c r="S257" t="s">
        <v>67</v>
      </c>
      <c r="T257" t="s">
        <v>685</v>
      </c>
      <c r="U257" t="s">
        <v>870</v>
      </c>
      <c r="V257">
        <v>17</v>
      </c>
      <c r="W257" s="2">
        <v>300.53011081919999</v>
      </c>
    </row>
    <row r="258" spans="1:23" x14ac:dyDescent="0.25">
      <c r="A258" t="s">
        <v>31</v>
      </c>
      <c r="B258" t="s">
        <v>32</v>
      </c>
      <c r="C258" t="s">
        <v>33</v>
      </c>
      <c r="D258" t="s">
        <v>34</v>
      </c>
      <c r="E258" t="s">
        <v>35</v>
      </c>
      <c r="F258" t="s">
        <v>36</v>
      </c>
      <c r="G258">
        <v>1141685</v>
      </c>
      <c r="H258" t="s">
        <v>92</v>
      </c>
      <c r="I258" t="s">
        <v>97</v>
      </c>
      <c r="J258" t="s">
        <v>107</v>
      </c>
      <c r="K258" t="s">
        <v>130</v>
      </c>
      <c r="L258" s="1">
        <v>46143</v>
      </c>
      <c r="M258" s="1">
        <v>46173</v>
      </c>
      <c r="N258">
        <v>65</v>
      </c>
      <c r="O258" t="s">
        <v>57</v>
      </c>
      <c r="P258" t="s">
        <v>63</v>
      </c>
      <c r="Q258" t="s">
        <v>482</v>
      </c>
      <c r="R258" t="s">
        <v>485</v>
      </c>
      <c r="S258" t="s">
        <v>67</v>
      </c>
      <c r="T258" t="s">
        <v>686</v>
      </c>
      <c r="U258" t="s">
        <v>871</v>
      </c>
      <c r="V258">
        <v>6</v>
      </c>
      <c r="W258" s="2">
        <v>156490.6155999935</v>
      </c>
    </row>
    <row r="259" spans="1:23" x14ac:dyDescent="0.25">
      <c r="A259" t="s">
        <v>31</v>
      </c>
      <c r="B259" t="s">
        <v>32</v>
      </c>
      <c r="C259" t="s">
        <v>33</v>
      </c>
      <c r="D259" t="s">
        <v>34</v>
      </c>
      <c r="E259" t="s">
        <v>35</v>
      </c>
      <c r="F259" t="s">
        <v>36</v>
      </c>
      <c r="G259">
        <v>1141685</v>
      </c>
      <c r="H259" t="s">
        <v>86</v>
      </c>
      <c r="I259" t="s">
        <v>42</v>
      </c>
      <c r="J259" t="s">
        <v>86</v>
      </c>
      <c r="K259" t="s">
        <v>124</v>
      </c>
      <c r="L259" s="1">
        <v>46143</v>
      </c>
      <c r="M259" s="1">
        <v>46173</v>
      </c>
      <c r="N259">
        <v>1.2899999999999999E-4</v>
      </c>
      <c r="O259" t="s">
        <v>135</v>
      </c>
      <c r="P259" t="s">
        <v>63</v>
      </c>
      <c r="Q259" t="s">
        <v>480</v>
      </c>
      <c r="R259" t="s">
        <v>505</v>
      </c>
      <c r="S259" t="s">
        <v>67</v>
      </c>
      <c r="T259" t="s">
        <v>687</v>
      </c>
      <c r="U259" t="s">
        <v>872</v>
      </c>
      <c r="V259">
        <v>17</v>
      </c>
      <c r="W259" s="2">
        <v>44.3550621232</v>
      </c>
    </row>
    <row r="260" spans="1:23" x14ac:dyDescent="0.25">
      <c r="A260" t="s">
        <v>31</v>
      </c>
      <c r="B260" t="s">
        <v>32</v>
      </c>
      <c r="C260" t="s">
        <v>33</v>
      </c>
      <c r="D260" t="s">
        <v>34</v>
      </c>
      <c r="E260" t="s">
        <v>35</v>
      </c>
      <c r="F260" t="s">
        <v>36</v>
      </c>
      <c r="G260">
        <v>1141685</v>
      </c>
      <c r="H260" t="s">
        <v>78</v>
      </c>
      <c r="I260" t="s">
        <v>96</v>
      </c>
      <c r="J260" t="s">
        <v>100</v>
      </c>
      <c r="K260" t="s">
        <v>112</v>
      </c>
      <c r="L260" s="1">
        <v>46143</v>
      </c>
      <c r="M260" s="1">
        <v>46173</v>
      </c>
      <c r="N260">
        <v>744</v>
      </c>
      <c r="O260" t="s">
        <v>58</v>
      </c>
      <c r="P260" t="s">
        <v>63</v>
      </c>
      <c r="Q260" t="s">
        <v>481</v>
      </c>
      <c r="R260" t="s">
        <v>506</v>
      </c>
      <c r="S260" t="s">
        <v>67</v>
      </c>
      <c r="T260" t="s">
        <v>688</v>
      </c>
      <c r="U260" t="s">
        <v>873</v>
      </c>
      <c r="V260">
        <v>13</v>
      </c>
      <c r="W260" s="2">
        <v>64899.115599999997</v>
      </c>
    </row>
    <row r="261" spans="1:23" x14ac:dyDescent="0.25">
      <c r="A261" t="s">
        <v>31</v>
      </c>
      <c r="B261" t="s">
        <v>32</v>
      </c>
      <c r="C261" t="s">
        <v>33</v>
      </c>
      <c r="D261" t="s">
        <v>34</v>
      </c>
      <c r="E261" t="s">
        <v>35</v>
      </c>
      <c r="F261" t="s">
        <v>36</v>
      </c>
      <c r="G261">
        <v>1141685</v>
      </c>
      <c r="H261" t="s">
        <v>76</v>
      </c>
      <c r="I261" t="s">
        <v>95</v>
      </c>
      <c r="J261" t="s">
        <v>99</v>
      </c>
      <c r="K261" t="s">
        <v>109</v>
      </c>
      <c r="L261" s="1">
        <v>46143</v>
      </c>
      <c r="M261" s="1">
        <v>46173</v>
      </c>
      <c r="N261">
        <v>0.983352</v>
      </c>
      <c r="O261" t="s">
        <v>58</v>
      </c>
      <c r="P261" t="s">
        <v>63</v>
      </c>
      <c r="Q261" t="s">
        <v>480</v>
      </c>
      <c r="R261" t="s">
        <v>486</v>
      </c>
      <c r="S261" t="s">
        <v>67</v>
      </c>
      <c r="T261" t="s">
        <v>521</v>
      </c>
      <c r="U261" t="s">
        <v>706</v>
      </c>
      <c r="V261">
        <v>16</v>
      </c>
      <c r="W261" s="2">
        <v>0</v>
      </c>
    </row>
    <row r="262" spans="1:23" x14ac:dyDescent="0.25">
      <c r="A262" t="s">
        <v>31</v>
      </c>
      <c r="B262" t="s">
        <v>32</v>
      </c>
      <c r="C262" t="s">
        <v>33</v>
      </c>
      <c r="D262" t="s">
        <v>34</v>
      </c>
      <c r="E262" t="s">
        <v>35</v>
      </c>
      <c r="F262" t="s">
        <v>36</v>
      </c>
      <c r="G262">
        <v>1141685</v>
      </c>
      <c r="H262" t="s">
        <v>76</v>
      </c>
      <c r="I262" t="s">
        <v>95</v>
      </c>
      <c r="J262" t="s">
        <v>99</v>
      </c>
      <c r="K262" t="s">
        <v>109</v>
      </c>
      <c r="L262" s="1">
        <v>46143</v>
      </c>
      <c r="M262" s="1">
        <v>46173</v>
      </c>
      <c r="N262">
        <v>0.216671</v>
      </c>
      <c r="O262" t="s">
        <v>58</v>
      </c>
      <c r="P262" t="s">
        <v>63</v>
      </c>
      <c r="Q262" t="s">
        <v>480</v>
      </c>
      <c r="R262" t="s">
        <v>486</v>
      </c>
      <c r="S262" t="s">
        <v>67</v>
      </c>
      <c r="T262" t="s">
        <v>521</v>
      </c>
      <c r="U262" t="s">
        <v>706</v>
      </c>
      <c r="V262">
        <v>16</v>
      </c>
      <c r="W262" s="2">
        <v>0</v>
      </c>
    </row>
    <row r="263" spans="1:23" x14ac:dyDescent="0.25">
      <c r="A263" t="s">
        <v>31</v>
      </c>
      <c r="B263" t="s">
        <v>32</v>
      </c>
      <c r="C263" t="s">
        <v>33</v>
      </c>
      <c r="D263" t="s">
        <v>34</v>
      </c>
      <c r="E263" t="s">
        <v>35</v>
      </c>
      <c r="F263" t="s">
        <v>36</v>
      </c>
      <c r="G263">
        <v>1141685</v>
      </c>
      <c r="H263" t="s">
        <v>76</v>
      </c>
      <c r="I263" t="s">
        <v>95</v>
      </c>
      <c r="J263" t="s">
        <v>99</v>
      </c>
      <c r="K263" t="s">
        <v>109</v>
      </c>
      <c r="L263" s="1">
        <v>46143</v>
      </c>
      <c r="M263" s="1">
        <v>46173</v>
      </c>
      <c r="N263">
        <v>2.8332739999999998</v>
      </c>
      <c r="O263" t="s">
        <v>58</v>
      </c>
      <c r="P263" t="s">
        <v>63</v>
      </c>
      <c r="Q263" t="s">
        <v>480</v>
      </c>
      <c r="R263" t="s">
        <v>484</v>
      </c>
      <c r="S263" t="s">
        <v>67</v>
      </c>
      <c r="T263" t="s">
        <v>507</v>
      </c>
      <c r="U263" t="s">
        <v>692</v>
      </c>
      <c r="V263">
        <v>16</v>
      </c>
      <c r="W263" s="2">
        <v>0</v>
      </c>
    </row>
    <row r="264" spans="1:23" x14ac:dyDescent="0.25">
      <c r="A264" t="s">
        <v>31</v>
      </c>
      <c r="B264" t="s">
        <v>32</v>
      </c>
      <c r="C264" t="s">
        <v>33</v>
      </c>
      <c r="D264" t="s">
        <v>34</v>
      </c>
      <c r="E264" t="s">
        <v>35</v>
      </c>
      <c r="F264" t="s">
        <v>36</v>
      </c>
      <c r="G264">
        <v>1141685</v>
      </c>
      <c r="H264" t="s">
        <v>76</v>
      </c>
      <c r="I264" t="s">
        <v>95</v>
      </c>
      <c r="J264" t="s">
        <v>99</v>
      </c>
      <c r="K264" t="s">
        <v>109</v>
      </c>
      <c r="L264" s="1">
        <v>46143</v>
      </c>
      <c r="M264" s="1">
        <v>46173</v>
      </c>
      <c r="N264">
        <v>77.765949000000006</v>
      </c>
      <c r="O264" t="s">
        <v>58</v>
      </c>
      <c r="P264" t="s">
        <v>63</v>
      </c>
      <c r="Q264" t="s">
        <v>480</v>
      </c>
      <c r="R264" t="s">
        <v>484</v>
      </c>
      <c r="S264" t="s">
        <v>67</v>
      </c>
      <c r="T264" t="s">
        <v>507</v>
      </c>
      <c r="U264" t="s">
        <v>692</v>
      </c>
      <c r="V264">
        <v>16</v>
      </c>
      <c r="W264" s="2">
        <v>0</v>
      </c>
    </row>
    <row r="265" spans="1:23" x14ac:dyDescent="0.25">
      <c r="A265" t="s">
        <v>31</v>
      </c>
      <c r="B265" t="s">
        <v>32</v>
      </c>
      <c r="C265" t="s">
        <v>33</v>
      </c>
      <c r="D265" t="s">
        <v>34</v>
      </c>
      <c r="E265" t="s">
        <v>35</v>
      </c>
      <c r="F265" t="s">
        <v>36</v>
      </c>
      <c r="G265">
        <v>1141685</v>
      </c>
      <c r="H265" t="s">
        <v>76</v>
      </c>
      <c r="I265" t="s">
        <v>95</v>
      </c>
      <c r="J265" t="s">
        <v>99</v>
      </c>
      <c r="K265" t="s">
        <v>109</v>
      </c>
      <c r="L265" s="1">
        <v>46143</v>
      </c>
      <c r="M265" s="1">
        <v>46173</v>
      </c>
      <c r="N265">
        <v>118.882086</v>
      </c>
      <c r="O265" t="s">
        <v>58</v>
      </c>
      <c r="P265" t="s">
        <v>63</v>
      </c>
      <c r="Q265" t="s">
        <v>480</v>
      </c>
      <c r="R265" t="s">
        <v>484</v>
      </c>
      <c r="S265" t="s">
        <v>67</v>
      </c>
      <c r="T265" t="s">
        <v>508</v>
      </c>
      <c r="U265" t="s">
        <v>693</v>
      </c>
      <c r="V265">
        <v>15</v>
      </c>
      <c r="W265" s="2">
        <v>0</v>
      </c>
    </row>
    <row r="266" spans="1:23" x14ac:dyDescent="0.25">
      <c r="A266" t="s">
        <v>31</v>
      </c>
      <c r="B266" t="s">
        <v>32</v>
      </c>
      <c r="C266" t="s">
        <v>33</v>
      </c>
      <c r="D266" t="s">
        <v>34</v>
      </c>
      <c r="E266" t="s">
        <v>35</v>
      </c>
      <c r="F266" t="s">
        <v>36</v>
      </c>
      <c r="G266">
        <v>1141685</v>
      </c>
      <c r="H266" t="s">
        <v>76</v>
      </c>
      <c r="I266" t="s">
        <v>95</v>
      </c>
      <c r="J266" t="s">
        <v>99</v>
      </c>
      <c r="K266" t="s">
        <v>109</v>
      </c>
      <c r="L266" s="1">
        <v>46143</v>
      </c>
      <c r="M266" s="1">
        <v>46173</v>
      </c>
      <c r="N266">
        <v>94.899561000000006</v>
      </c>
      <c r="O266" t="s">
        <v>58</v>
      </c>
      <c r="P266" t="s">
        <v>63</v>
      </c>
      <c r="Q266" t="s">
        <v>480</v>
      </c>
      <c r="R266" t="s">
        <v>484</v>
      </c>
      <c r="S266" t="s">
        <v>67</v>
      </c>
      <c r="T266" t="s">
        <v>507</v>
      </c>
      <c r="U266" t="s">
        <v>692</v>
      </c>
      <c r="V266">
        <v>16</v>
      </c>
      <c r="W266" s="2">
        <v>0</v>
      </c>
    </row>
    <row r="267" spans="1:23" x14ac:dyDescent="0.25">
      <c r="A267" t="s">
        <v>31</v>
      </c>
      <c r="B267" t="s">
        <v>32</v>
      </c>
      <c r="C267" t="s">
        <v>33</v>
      </c>
      <c r="D267" t="s">
        <v>34</v>
      </c>
      <c r="E267" t="s">
        <v>35</v>
      </c>
      <c r="F267" t="s">
        <v>36</v>
      </c>
      <c r="G267">
        <v>1141685</v>
      </c>
      <c r="H267" t="s">
        <v>76</v>
      </c>
      <c r="I267" t="s">
        <v>95</v>
      </c>
      <c r="J267" t="s">
        <v>99</v>
      </c>
      <c r="K267" t="s">
        <v>109</v>
      </c>
      <c r="L267" s="1">
        <v>46143</v>
      </c>
      <c r="M267" s="1">
        <v>46173</v>
      </c>
      <c r="N267">
        <v>20.949356999999999</v>
      </c>
      <c r="O267" t="s">
        <v>58</v>
      </c>
      <c r="P267" t="s">
        <v>63</v>
      </c>
      <c r="Q267" t="s">
        <v>480</v>
      </c>
      <c r="R267" t="s">
        <v>484</v>
      </c>
      <c r="S267" t="s">
        <v>67</v>
      </c>
      <c r="T267" t="s">
        <v>507</v>
      </c>
      <c r="U267" t="s">
        <v>692</v>
      </c>
      <c r="V267">
        <v>16</v>
      </c>
      <c r="W267" s="2">
        <v>0</v>
      </c>
    </row>
    <row r="268" spans="1:23" x14ac:dyDescent="0.25">
      <c r="A268" t="s">
        <v>31</v>
      </c>
      <c r="B268" t="s">
        <v>32</v>
      </c>
      <c r="C268" t="s">
        <v>33</v>
      </c>
      <c r="D268" t="s">
        <v>34</v>
      </c>
      <c r="E268" t="s">
        <v>35</v>
      </c>
      <c r="F268" t="s">
        <v>36</v>
      </c>
      <c r="G268">
        <v>1141685</v>
      </c>
      <c r="H268" t="s">
        <v>76</v>
      </c>
      <c r="I268" t="s">
        <v>95</v>
      </c>
      <c r="J268" t="s">
        <v>99</v>
      </c>
      <c r="K268" t="s">
        <v>109</v>
      </c>
      <c r="L268" s="1">
        <v>46143</v>
      </c>
      <c r="M268" s="1">
        <v>46173</v>
      </c>
      <c r="N268">
        <v>21.432732000000001</v>
      </c>
      <c r="O268" t="s">
        <v>58</v>
      </c>
      <c r="P268" t="s">
        <v>63</v>
      </c>
      <c r="Q268" t="s">
        <v>480</v>
      </c>
      <c r="R268" t="s">
        <v>484</v>
      </c>
      <c r="S268" t="s">
        <v>67</v>
      </c>
      <c r="T268" t="s">
        <v>507</v>
      </c>
      <c r="U268" t="s">
        <v>692</v>
      </c>
      <c r="V268">
        <v>16</v>
      </c>
      <c r="W268" s="2">
        <v>0</v>
      </c>
    </row>
    <row r="269" spans="1:23" x14ac:dyDescent="0.25">
      <c r="A269" t="s">
        <v>31</v>
      </c>
      <c r="B269" t="s">
        <v>32</v>
      </c>
      <c r="C269" t="s">
        <v>33</v>
      </c>
      <c r="D269" t="s">
        <v>34</v>
      </c>
      <c r="E269" t="s">
        <v>35</v>
      </c>
      <c r="F269" t="s">
        <v>36</v>
      </c>
      <c r="G269">
        <v>1141685</v>
      </c>
      <c r="H269" t="s">
        <v>76</v>
      </c>
      <c r="I269" t="s">
        <v>95</v>
      </c>
      <c r="J269" t="s">
        <v>99</v>
      </c>
      <c r="K269" t="s">
        <v>109</v>
      </c>
      <c r="L269" s="1">
        <v>46143</v>
      </c>
      <c r="M269" s="1">
        <v>46173</v>
      </c>
      <c r="N269">
        <v>280.28354300000001</v>
      </c>
      <c r="O269" t="s">
        <v>58</v>
      </c>
      <c r="P269" t="s">
        <v>63</v>
      </c>
      <c r="Q269" t="s">
        <v>480</v>
      </c>
      <c r="R269" t="s">
        <v>484</v>
      </c>
      <c r="S269" t="s">
        <v>67</v>
      </c>
      <c r="T269" t="s">
        <v>507</v>
      </c>
      <c r="U269" t="s">
        <v>692</v>
      </c>
      <c r="V269">
        <v>16</v>
      </c>
      <c r="W269" s="2">
        <v>0</v>
      </c>
    </row>
    <row r="270" spans="1:23" x14ac:dyDescent="0.25">
      <c r="A270" t="s">
        <v>31</v>
      </c>
      <c r="B270" t="s">
        <v>32</v>
      </c>
      <c r="C270" t="s">
        <v>33</v>
      </c>
      <c r="D270" t="s">
        <v>34</v>
      </c>
      <c r="E270" t="s">
        <v>35</v>
      </c>
      <c r="F270" t="s">
        <v>36</v>
      </c>
      <c r="G270">
        <v>1141685</v>
      </c>
      <c r="H270" t="s">
        <v>76</v>
      </c>
      <c r="I270" t="s">
        <v>95</v>
      </c>
      <c r="J270" t="s">
        <v>99</v>
      </c>
      <c r="K270" t="s">
        <v>109</v>
      </c>
      <c r="L270" s="1">
        <v>46143</v>
      </c>
      <c r="M270" s="1">
        <v>46173</v>
      </c>
      <c r="N270">
        <v>0.18310000000000001</v>
      </c>
      <c r="O270" t="s">
        <v>58</v>
      </c>
      <c r="P270" t="s">
        <v>63</v>
      </c>
      <c r="Q270" t="s">
        <v>480</v>
      </c>
      <c r="R270" t="s">
        <v>484</v>
      </c>
      <c r="S270" t="s">
        <v>67</v>
      </c>
      <c r="T270" t="s">
        <v>507</v>
      </c>
      <c r="U270" t="s">
        <v>692</v>
      </c>
      <c r="V270">
        <v>16</v>
      </c>
      <c r="W270" s="2">
        <v>0</v>
      </c>
    </row>
    <row r="271" spans="1:23" x14ac:dyDescent="0.25">
      <c r="A271" t="s">
        <v>31</v>
      </c>
      <c r="B271" t="s">
        <v>32</v>
      </c>
      <c r="C271" t="s">
        <v>33</v>
      </c>
      <c r="D271" t="s">
        <v>34</v>
      </c>
      <c r="E271" t="s">
        <v>35</v>
      </c>
      <c r="F271" t="s">
        <v>36</v>
      </c>
      <c r="G271">
        <v>1141685</v>
      </c>
      <c r="H271" t="s">
        <v>38</v>
      </c>
      <c r="I271" t="s">
        <v>38</v>
      </c>
      <c r="J271" t="s">
        <v>38</v>
      </c>
      <c r="K271" t="s">
        <v>53</v>
      </c>
      <c r="L271" s="1">
        <v>46143</v>
      </c>
      <c r="M271" s="1">
        <v>46173</v>
      </c>
      <c r="N271">
        <v>1.7486586200000001E-2</v>
      </c>
      <c r="O271" t="s">
        <v>57</v>
      </c>
      <c r="P271" t="s">
        <v>63</v>
      </c>
      <c r="Q271" t="s">
        <v>482</v>
      </c>
      <c r="R271" t="s">
        <v>497</v>
      </c>
      <c r="S271" t="s">
        <v>66</v>
      </c>
      <c r="T271" t="s">
        <v>689</v>
      </c>
      <c r="U271" t="s">
        <v>874</v>
      </c>
      <c r="V271">
        <v>6</v>
      </c>
      <c r="W271" s="2">
        <v>42.832130148600001</v>
      </c>
    </row>
    <row r="272" spans="1:23" x14ac:dyDescent="0.25">
      <c r="A272" t="s">
        <v>31</v>
      </c>
      <c r="B272" t="s">
        <v>32</v>
      </c>
      <c r="C272" t="s">
        <v>33</v>
      </c>
      <c r="D272" t="s">
        <v>34</v>
      </c>
      <c r="E272" t="s">
        <v>35</v>
      </c>
      <c r="F272" t="s">
        <v>36</v>
      </c>
      <c r="G272">
        <v>1141685</v>
      </c>
      <c r="H272" t="s">
        <v>76</v>
      </c>
      <c r="I272" t="s">
        <v>95</v>
      </c>
      <c r="J272" t="s">
        <v>99</v>
      </c>
      <c r="K272" t="s">
        <v>109</v>
      </c>
      <c r="L272" s="1">
        <v>46143</v>
      </c>
      <c r="M272" s="1">
        <v>46173</v>
      </c>
      <c r="N272">
        <v>0.16667000000000001</v>
      </c>
      <c r="O272" t="s">
        <v>58</v>
      </c>
      <c r="P272" t="s">
        <v>63</v>
      </c>
      <c r="Q272" t="s">
        <v>480</v>
      </c>
      <c r="R272" t="s">
        <v>486</v>
      </c>
      <c r="S272" t="s">
        <v>67</v>
      </c>
      <c r="T272" t="s">
        <v>521</v>
      </c>
      <c r="U272" t="s">
        <v>706</v>
      </c>
      <c r="V272">
        <v>16</v>
      </c>
      <c r="W272" s="2">
        <v>0</v>
      </c>
    </row>
    <row r="273" spans="1:23" x14ac:dyDescent="0.25">
      <c r="A273" t="s">
        <v>31</v>
      </c>
      <c r="B273" t="s">
        <v>32</v>
      </c>
      <c r="C273" t="s">
        <v>33</v>
      </c>
      <c r="D273" t="s">
        <v>34</v>
      </c>
      <c r="E273" t="s">
        <v>35</v>
      </c>
      <c r="F273" t="s">
        <v>36</v>
      </c>
      <c r="G273">
        <v>1141685</v>
      </c>
      <c r="H273" t="s">
        <v>76</v>
      </c>
      <c r="I273" t="s">
        <v>95</v>
      </c>
      <c r="J273" t="s">
        <v>99</v>
      </c>
      <c r="K273" t="s">
        <v>109</v>
      </c>
      <c r="L273" s="1">
        <v>46143</v>
      </c>
      <c r="M273" s="1">
        <v>46173</v>
      </c>
      <c r="N273">
        <v>1.966704</v>
      </c>
      <c r="O273" t="s">
        <v>58</v>
      </c>
      <c r="P273" t="s">
        <v>63</v>
      </c>
      <c r="Q273" t="s">
        <v>480</v>
      </c>
      <c r="R273" t="s">
        <v>490</v>
      </c>
      <c r="S273" t="s">
        <v>67</v>
      </c>
      <c r="T273" t="s">
        <v>541</v>
      </c>
      <c r="U273" t="s">
        <v>726</v>
      </c>
      <c r="V273">
        <v>17</v>
      </c>
      <c r="W273" s="2">
        <v>0</v>
      </c>
    </row>
    <row r="274" spans="1:23" x14ac:dyDescent="0.25">
      <c r="A274" t="s">
        <v>31</v>
      </c>
      <c r="B274" t="s">
        <v>32</v>
      </c>
      <c r="C274" t="s">
        <v>33</v>
      </c>
      <c r="D274" t="s">
        <v>34</v>
      </c>
      <c r="E274" t="s">
        <v>35</v>
      </c>
      <c r="F274" t="s">
        <v>36</v>
      </c>
      <c r="G274">
        <v>1141685</v>
      </c>
      <c r="H274" t="s">
        <v>76</v>
      </c>
      <c r="I274" t="s">
        <v>95</v>
      </c>
      <c r="J274" t="s">
        <v>99</v>
      </c>
      <c r="K274" t="s">
        <v>109</v>
      </c>
      <c r="L274" s="1">
        <v>46143</v>
      </c>
      <c r="M274" s="1">
        <v>46173</v>
      </c>
      <c r="N274">
        <v>8.7502010000000006</v>
      </c>
      <c r="O274" t="s">
        <v>58</v>
      </c>
      <c r="P274" t="s">
        <v>63</v>
      </c>
      <c r="Q274" t="s">
        <v>480</v>
      </c>
      <c r="R274" t="s">
        <v>484</v>
      </c>
      <c r="S274" t="s">
        <v>67</v>
      </c>
      <c r="T274" t="s">
        <v>507</v>
      </c>
      <c r="U274" t="s">
        <v>692</v>
      </c>
      <c r="V274">
        <v>16</v>
      </c>
      <c r="W274" s="2">
        <v>0</v>
      </c>
    </row>
    <row r="275" spans="1:23" x14ac:dyDescent="0.25">
      <c r="A275" t="s">
        <v>31</v>
      </c>
      <c r="B275" t="s">
        <v>32</v>
      </c>
      <c r="C275" t="s">
        <v>33</v>
      </c>
      <c r="D275" t="s">
        <v>34</v>
      </c>
      <c r="E275" t="s">
        <v>35</v>
      </c>
      <c r="F275" t="s">
        <v>36</v>
      </c>
      <c r="G275">
        <v>1141685</v>
      </c>
      <c r="H275" t="s">
        <v>76</v>
      </c>
      <c r="I275" t="s">
        <v>95</v>
      </c>
      <c r="J275" t="s">
        <v>99</v>
      </c>
      <c r="K275" t="s">
        <v>109</v>
      </c>
      <c r="L275" s="1">
        <v>46143</v>
      </c>
      <c r="M275" s="1">
        <v>46173</v>
      </c>
      <c r="N275">
        <v>76</v>
      </c>
      <c r="O275" t="s">
        <v>58</v>
      </c>
      <c r="P275" t="s">
        <v>63</v>
      </c>
      <c r="Q275" t="s">
        <v>480</v>
      </c>
      <c r="R275" t="s">
        <v>486</v>
      </c>
      <c r="S275" t="s">
        <v>67</v>
      </c>
      <c r="T275" t="s">
        <v>521</v>
      </c>
      <c r="U275" t="s">
        <v>706</v>
      </c>
      <c r="V275">
        <v>16</v>
      </c>
      <c r="W275" s="2">
        <v>0</v>
      </c>
    </row>
    <row r="276" spans="1:23" x14ac:dyDescent="0.25">
      <c r="A276" t="s">
        <v>31</v>
      </c>
      <c r="B276" t="s">
        <v>32</v>
      </c>
      <c r="C276" t="s">
        <v>33</v>
      </c>
      <c r="D276" t="s">
        <v>34</v>
      </c>
      <c r="E276" t="s">
        <v>35</v>
      </c>
      <c r="F276" t="s">
        <v>36</v>
      </c>
      <c r="G276">
        <v>1141685</v>
      </c>
      <c r="H276" t="s">
        <v>76</v>
      </c>
      <c r="I276" t="s">
        <v>95</v>
      </c>
      <c r="J276" t="s">
        <v>99</v>
      </c>
      <c r="K276" t="s">
        <v>109</v>
      </c>
      <c r="L276" s="1">
        <v>46143</v>
      </c>
      <c r="M276" s="1">
        <v>46173</v>
      </c>
      <c r="N276">
        <v>244.300027</v>
      </c>
      <c r="O276" t="s">
        <v>58</v>
      </c>
      <c r="P276" t="s">
        <v>63</v>
      </c>
      <c r="Q276" t="s">
        <v>480</v>
      </c>
      <c r="R276" t="s">
        <v>486</v>
      </c>
      <c r="S276" t="s">
        <v>67</v>
      </c>
      <c r="T276" t="s">
        <v>521</v>
      </c>
      <c r="U276" t="s">
        <v>706</v>
      </c>
      <c r="V276">
        <v>16</v>
      </c>
      <c r="W276" s="2">
        <v>0</v>
      </c>
    </row>
    <row r="277" spans="1:23" x14ac:dyDescent="0.25">
      <c r="A277" t="s">
        <v>31</v>
      </c>
      <c r="B277" t="s">
        <v>32</v>
      </c>
      <c r="C277" t="s">
        <v>33</v>
      </c>
      <c r="D277" t="s">
        <v>34</v>
      </c>
      <c r="E277" t="s">
        <v>35</v>
      </c>
      <c r="F277" t="s">
        <v>36</v>
      </c>
      <c r="G277">
        <v>1141685</v>
      </c>
      <c r="H277" t="s">
        <v>76</v>
      </c>
      <c r="I277" t="s">
        <v>95</v>
      </c>
      <c r="J277" t="s">
        <v>99</v>
      </c>
      <c r="K277" t="s">
        <v>109</v>
      </c>
      <c r="L277" s="1">
        <v>46143</v>
      </c>
      <c r="M277" s="1">
        <v>46173</v>
      </c>
      <c r="N277">
        <v>0.38353900000000002</v>
      </c>
      <c r="O277" t="s">
        <v>58</v>
      </c>
      <c r="P277" t="s">
        <v>63</v>
      </c>
      <c r="Q277" t="s">
        <v>480</v>
      </c>
      <c r="R277" t="s">
        <v>484</v>
      </c>
      <c r="S277" t="s">
        <v>67</v>
      </c>
      <c r="T277" t="s">
        <v>508</v>
      </c>
      <c r="U277" t="s">
        <v>693</v>
      </c>
      <c r="V277">
        <v>15</v>
      </c>
      <c r="W277" s="2">
        <v>0</v>
      </c>
    </row>
    <row r="278" spans="1:23" x14ac:dyDescent="0.25">
      <c r="A278" t="s">
        <v>31</v>
      </c>
      <c r="B278" t="s">
        <v>32</v>
      </c>
      <c r="C278" t="s">
        <v>33</v>
      </c>
      <c r="D278" t="s">
        <v>34</v>
      </c>
      <c r="E278" t="s">
        <v>35</v>
      </c>
      <c r="F278" t="s">
        <v>36</v>
      </c>
      <c r="G278">
        <v>1141685</v>
      </c>
      <c r="H278" t="s">
        <v>76</v>
      </c>
      <c r="I278" t="s">
        <v>95</v>
      </c>
      <c r="J278" t="s">
        <v>99</v>
      </c>
      <c r="K278" t="s">
        <v>109</v>
      </c>
      <c r="L278" s="1">
        <v>46143</v>
      </c>
      <c r="M278" s="1">
        <v>46173</v>
      </c>
      <c r="N278">
        <v>75.765798000000004</v>
      </c>
      <c r="O278" t="s">
        <v>58</v>
      </c>
      <c r="P278" t="s">
        <v>63</v>
      </c>
      <c r="Q278" t="s">
        <v>480</v>
      </c>
      <c r="R278" t="s">
        <v>484</v>
      </c>
      <c r="S278" t="s">
        <v>67</v>
      </c>
      <c r="T278" t="s">
        <v>507</v>
      </c>
      <c r="U278" t="s">
        <v>692</v>
      </c>
      <c r="V278">
        <v>16</v>
      </c>
      <c r="W278" s="2">
        <v>0</v>
      </c>
    </row>
    <row r="279" spans="1:23" x14ac:dyDescent="0.25">
      <c r="A279" t="s">
        <v>31</v>
      </c>
      <c r="B279" t="s">
        <v>32</v>
      </c>
      <c r="C279" t="s">
        <v>33</v>
      </c>
      <c r="D279" t="s">
        <v>34</v>
      </c>
      <c r="E279" t="s">
        <v>35</v>
      </c>
      <c r="F279" t="s">
        <v>36</v>
      </c>
      <c r="G279">
        <v>1141685</v>
      </c>
      <c r="H279" t="s">
        <v>76</v>
      </c>
      <c r="I279" t="s">
        <v>95</v>
      </c>
      <c r="J279" t="s">
        <v>99</v>
      </c>
      <c r="K279" t="s">
        <v>109</v>
      </c>
      <c r="L279" s="1">
        <v>46143</v>
      </c>
      <c r="M279" s="1">
        <v>46173</v>
      </c>
      <c r="N279">
        <v>203.15143599999999</v>
      </c>
      <c r="O279" t="s">
        <v>58</v>
      </c>
      <c r="P279" t="s">
        <v>63</v>
      </c>
      <c r="Q279" t="s">
        <v>480</v>
      </c>
      <c r="R279" t="s">
        <v>484</v>
      </c>
      <c r="S279" t="s">
        <v>67</v>
      </c>
      <c r="T279" t="s">
        <v>507</v>
      </c>
      <c r="U279" t="s">
        <v>692</v>
      </c>
      <c r="V279">
        <v>16</v>
      </c>
      <c r="W279" s="2">
        <v>0</v>
      </c>
    </row>
    <row r="280" spans="1:23" x14ac:dyDescent="0.25">
      <c r="A280" t="s">
        <v>31</v>
      </c>
      <c r="B280" t="s">
        <v>32</v>
      </c>
      <c r="C280" t="s">
        <v>33</v>
      </c>
      <c r="D280" t="s">
        <v>34</v>
      </c>
      <c r="E280" t="s">
        <v>35</v>
      </c>
      <c r="F280" t="s">
        <v>36</v>
      </c>
      <c r="G280">
        <v>1141685</v>
      </c>
      <c r="H280" t="s">
        <v>76</v>
      </c>
      <c r="I280" t="s">
        <v>95</v>
      </c>
      <c r="J280" t="s">
        <v>99</v>
      </c>
      <c r="K280" t="s">
        <v>109</v>
      </c>
      <c r="L280" s="1">
        <v>46143</v>
      </c>
      <c r="M280" s="1">
        <v>46173</v>
      </c>
      <c r="N280">
        <v>1.966704</v>
      </c>
      <c r="O280" t="s">
        <v>58</v>
      </c>
      <c r="P280" t="s">
        <v>63</v>
      </c>
      <c r="Q280" t="s">
        <v>480</v>
      </c>
      <c r="R280" t="s">
        <v>484</v>
      </c>
      <c r="S280" t="s">
        <v>67</v>
      </c>
      <c r="T280" t="s">
        <v>507</v>
      </c>
      <c r="U280" t="s">
        <v>692</v>
      </c>
      <c r="V280">
        <v>16</v>
      </c>
      <c r="W280" s="2">
        <v>0</v>
      </c>
    </row>
    <row r="281" spans="1:23" x14ac:dyDescent="0.25">
      <c r="A281" t="s">
        <v>31</v>
      </c>
      <c r="B281" t="s">
        <v>32</v>
      </c>
      <c r="C281" t="s">
        <v>33</v>
      </c>
      <c r="D281" t="s">
        <v>34</v>
      </c>
      <c r="E281" t="s">
        <v>35</v>
      </c>
      <c r="F281" t="s">
        <v>36</v>
      </c>
      <c r="G281">
        <v>1141685</v>
      </c>
      <c r="H281" t="s">
        <v>76</v>
      </c>
      <c r="I281" t="s">
        <v>95</v>
      </c>
      <c r="J281" t="s">
        <v>99</v>
      </c>
      <c r="K281" t="s">
        <v>109</v>
      </c>
      <c r="L281" s="1">
        <v>46143</v>
      </c>
      <c r="M281" s="1">
        <v>46173</v>
      </c>
      <c r="N281">
        <v>0.38334099999999999</v>
      </c>
      <c r="O281" t="s">
        <v>58</v>
      </c>
      <c r="P281" t="s">
        <v>63</v>
      </c>
      <c r="Q281" t="s">
        <v>480</v>
      </c>
      <c r="R281" t="s">
        <v>484</v>
      </c>
      <c r="S281" t="s">
        <v>67</v>
      </c>
      <c r="T281" t="s">
        <v>507</v>
      </c>
      <c r="U281" t="s">
        <v>692</v>
      </c>
      <c r="V281">
        <v>16</v>
      </c>
      <c r="W281" s="2">
        <v>0</v>
      </c>
    </row>
    <row r="282" spans="1:23" x14ac:dyDescent="0.25">
      <c r="A282" t="s">
        <v>31</v>
      </c>
      <c r="B282" t="s">
        <v>32</v>
      </c>
      <c r="C282" t="s">
        <v>33</v>
      </c>
      <c r="D282" t="s">
        <v>34</v>
      </c>
      <c r="E282" t="s">
        <v>35</v>
      </c>
      <c r="F282" t="s">
        <v>36</v>
      </c>
      <c r="G282">
        <v>1141685</v>
      </c>
      <c r="H282" t="s">
        <v>76</v>
      </c>
      <c r="I282" t="s">
        <v>95</v>
      </c>
      <c r="J282" t="s">
        <v>99</v>
      </c>
      <c r="K282" t="s">
        <v>109</v>
      </c>
      <c r="L282" s="1">
        <v>46143</v>
      </c>
      <c r="M282" s="1">
        <v>46173</v>
      </c>
      <c r="N282">
        <v>98.782775000000001</v>
      </c>
      <c r="O282" t="s">
        <v>58</v>
      </c>
      <c r="P282" t="s">
        <v>63</v>
      </c>
      <c r="Q282" t="s">
        <v>480</v>
      </c>
      <c r="R282" t="s">
        <v>484</v>
      </c>
      <c r="S282" t="s">
        <v>67</v>
      </c>
      <c r="T282" t="s">
        <v>507</v>
      </c>
      <c r="U282" t="s">
        <v>692</v>
      </c>
      <c r="V282">
        <v>16</v>
      </c>
      <c r="W282" s="2">
        <v>0</v>
      </c>
    </row>
    <row r="283" spans="1:23" x14ac:dyDescent="0.25">
      <c r="A283" t="s">
        <v>31</v>
      </c>
      <c r="B283" t="s">
        <v>32</v>
      </c>
      <c r="C283" t="s">
        <v>33</v>
      </c>
      <c r="D283" t="s">
        <v>34</v>
      </c>
      <c r="E283" t="s">
        <v>35</v>
      </c>
      <c r="F283" t="s">
        <v>36</v>
      </c>
      <c r="G283">
        <v>1141685</v>
      </c>
      <c r="H283" t="s">
        <v>76</v>
      </c>
      <c r="I283" t="s">
        <v>95</v>
      </c>
      <c r="J283" t="s">
        <v>99</v>
      </c>
      <c r="K283" t="s">
        <v>109</v>
      </c>
      <c r="L283" s="1">
        <v>46143</v>
      </c>
      <c r="M283" s="1">
        <v>46173</v>
      </c>
      <c r="N283">
        <v>53.966887</v>
      </c>
      <c r="O283" t="s">
        <v>58</v>
      </c>
      <c r="P283" t="s">
        <v>63</v>
      </c>
      <c r="Q283" t="s">
        <v>480</v>
      </c>
      <c r="R283" t="s">
        <v>484</v>
      </c>
      <c r="S283" t="s">
        <v>67</v>
      </c>
      <c r="T283" t="s">
        <v>507</v>
      </c>
      <c r="U283" t="s">
        <v>692</v>
      </c>
      <c r="V283">
        <v>16</v>
      </c>
      <c r="W283" s="2">
        <v>0</v>
      </c>
    </row>
    <row r="284" spans="1:23" x14ac:dyDescent="0.25">
      <c r="A284" t="s">
        <v>31</v>
      </c>
      <c r="B284" t="s">
        <v>32</v>
      </c>
      <c r="C284" t="s">
        <v>33</v>
      </c>
      <c r="D284" t="s">
        <v>34</v>
      </c>
      <c r="E284" t="s">
        <v>35</v>
      </c>
      <c r="F284" t="s">
        <v>36</v>
      </c>
      <c r="G284">
        <v>1141685</v>
      </c>
      <c r="H284" t="s">
        <v>76</v>
      </c>
      <c r="I284" t="s">
        <v>95</v>
      </c>
      <c r="J284" t="s">
        <v>99</v>
      </c>
      <c r="K284" t="s">
        <v>109</v>
      </c>
      <c r="L284" s="1">
        <v>46143</v>
      </c>
      <c r="M284" s="1">
        <v>46173</v>
      </c>
      <c r="N284">
        <v>0.20000299999999999</v>
      </c>
      <c r="O284" t="s">
        <v>58</v>
      </c>
      <c r="P284" t="s">
        <v>63</v>
      </c>
      <c r="Q284" t="s">
        <v>480</v>
      </c>
      <c r="R284" t="s">
        <v>484</v>
      </c>
      <c r="S284" t="s">
        <v>67</v>
      </c>
      <c r="T284" t="s">
        <v>507</v>
      </c>
      <c r="U284" t="s">
        <v>692</v>
      </c>
      <c r="V284">
        <v>16</v>
      </c>
      <c r="W284" s="2">
        <v>0</v>
      </c>
    </row>
    <row r="285" spans="1:23" x14ac:dyDescent="0.25">
      <c r="A285" t="s">
        <v>31</v>
      </c>
      <c r="B285" t="s">
        <v>32</v>
      </c>
      <c r="C285" t="s">
        <v>33</v>
      </c>
      <c r="D285" t="s">
        <v>34</v>
      </c>
      <c r="E285" t="s">
        <v>35</v>
      </c>
      <c r="F285" t="s">
        <v>36</v>
      </c>
      <c r="G285">
        <v>1141685</v>
      </c>
      <c r="H285" t="s">
        <v>76</v>
      </c>
      <c r="I285" t="s">
        <v>95</v>
      </c>
      <c r="J285" t="s">
        <v>99</v>
      </c>
      <c r="K285" t="s">
        <v>109</v>
      </c>
      <c r="L285" s="1">
        <v>46143</v>
      </c>
      <c r="M285" s="1">
        <v>46173</v>
      </c>
      <c r="N285">
        <v>16.150106000000001</v>
      </c>
      <c r="O285" t="s">
        <v>58</v>
      </c>
      <c r="P285" t="s">
        <v>63</v>
      </c>
      <c r="Q285" t="s">
        <v>480</v>
      </c>
      <c r="R285" t="s">
        <v>484</v>
      </c>
      <c r="S285" t="s">
        <v>67</v>
      </c>
      <c r="T285" t="s">
        <v>507</v>
      </c>
      <c r="U285" t="s">
        <v>692</v>
      </c>
      <c r="V285">
        <v>16</v>
      </c>
      <c r="W285" s="2">
        <v>0</v>
      </c>
    </row>
    <row r="286" spans="1:23" x14ac:dyDescent="0.25">
      <c r="A286" t="s">
        <v>31</v>
      </c>
      <c r="B286" t="s">
        <v>32</v>
      </c>
      <c r="C286" t="s">
        <v>33</v>
      </c>
      <c r="D286" t="s">
        <v>34</v>
      </c>
      <c r="E286" t="s">
        <v>35</v>
      </c>
      <c r="F286" t="s">
        <v>36</v>
      </c>
      <c r="G286">
        <v>1141685</v>
      </c>
      <c r="H286" t="s">
        <v>76</v>
      </c>
      <c r="I286" t="s">
        <v>95</v>
      </c>
      <c r="J286" t="s">
        <v>99</v>
      </c>
      <c r="K286" t="s">
        <v>109</v>
      </c>
      <c r="L286" s="1">
        <v>46143</v>
      </c>
      <c r="M286" s="1">
        <v>46173</v>
      </c>
      <c r="N286">
        <v>20.083611999999999</v>
      </c>
      <c r="O286" t="s">
        <v>58</v>
      </c>
      <c r="P286" t="s">
        <v>63</v>
      </c>
      <c r="Q286" t="s">
        <v>480</v>
      </c>
      <c r="R286" t="s">
        <v>484</v>
      </c>
      <c r="S286" t="s">
        <v>67</v>
      </c>
      <c r="T286" t="s">
        <v>507</v>
      </c>
      <c r="U286" t="s">
        <v>692</v>
      </c>
      <c r="V286">
        <v>16</v>
      </c>
      <c r="W286" s="2">
        <v>0</v>
      </c>
    </row>
    <row r="287" spans="1:23" x14ac:dyDescent="0.25">
      <c r="A287" t="s">
        <v>31</v>
      </c>
      <c r="B287" t="s">
        <v>32</v>
      </c>
      <c r="C287" t="s">
        <v>33</v>
      </c>
      <c r="D287" t="s">
        <v>34</v>
      </c>
      <c r="E287" t="s">
        <v>35</v>
      </c>
      <c r="F287" t="s">
        <v>36</v>
      </c>
      <c r="G287">
        <v>1141685</v>
      </c>
      <c r="H287" t="s">
        <v>76</v>
      </c>
      <c r="I287" t="s">
        <v>95</v>
      </c>
      <c r="J287" t="s">
        <v>99</v>
      </c>
      <c r="K287" t="s">
        <v>109</v>
      </c>
      <c r="L287" s="1">
        <v>46143</v>
      </c>
      <c r="M287" s="1">
        <v>46173</v>
      </c>
      <c r="N287">
        <v>38.417161999999998</v>
      </c>
      <c r="O287" t="s">
        <v>58</v>
      </c>
      <c r="P287" t="s">
        <v>63</v>
      </c>
      <c r="Q287" t="s">
        <v>480</v>
      </c>
      <c r="R287" t="s">
        <v>484</v>
      </c>
      <c r="S287" t="s">
        <v>67</v>
      </c>
      <c r="T287" t="s">
        <v>507</v>
      </c>
      <c r="U287" t="s">
        <v>692</v>
      </c>
      <c r="V287">
        <v>16</v>
      </c>
      <c r="W287" s="2">
        <v>0</v>
      </c>
    </row>
    <row r="288" spans="1:23" x14ac:dyDescent="0.25">
      <c r="A288" t="s">
        <v>31</v>
      </c>
      <c r="B288" t="s">
        <v>32</v>
      </c>
      <c r="C288" t="s">
        <v>33</v>
      </c>
      <c r="D288" t="s">
        <v>34</v>
      </c>
      <c r="E288" t="s">
        <v>35</v>
      </c>
      <c r="F288" t="s">
        <v>36</v>
      </c>
      <c r="G288">
        <v>1141685</v>
      </c>
      <c r="H288" t="s">
        <v>75</v>
      </c>
      <c r="I288" t="s">
        <v>94</v>
      </c>
      <c r="J288" t="s">
        <v>98</v>
      </c>
      <c r="K288" t="s">
        <v>108</v>
      </c>
      <c r="L288" s="1">
        <v>46143</v>
      </c>
      <c r="M288" s="1">
        <v>46173</v>
      </c>
      <c r="N288">
        <v>8.4555000000000006E-6</v>
      </c>
      <c r="O288" t="s">
        <v>56</v>
      </c>
      <c r="P288" t="s">
        <v>63</v>
      </c>
      <c r="Q288" t="s">
        <v>481</v>
      </c>
      <c r="R288" t="s">
        <v>484</v>
      </c>
      <c r="S288" t="s">
        <v>67</v>
      </c>
      <c r="T288" t="s">
        <v>690</v>
      </c>
      <c r="U288" t="s">
        <v>875</v>
      </c>
      <c r="V288">
        <v>16</v>
      </c>
      <c r="W288" s="2">
        <v>1.5577506200000001E-2</v>
      </c>
    </row>
    <row r="289" spans="1:23" x14ac:dyDescent="0.25">
      <c r="A289" t="s">
        <v>31</v>
      </c>
      <c r="B289" t="s">
        <v>32</v>
      </c>
      <c r="C289" t="s">
        <v>33</v>
      </c>
      <c r="D289" t="s">
        <v>34</v>
      </c>
      <c r="E289" t="s">
        <v>35</v>
      </c>
      <c r="F289" t="s">
        <v>36</v>
      </c>
      <c r="G289">
        <v>1141685</v>
      </c>
      <c r="H289" t="s">
        <v>82</v>
      </c>
      <c r="I289" t="s">
        <v>82</v>
      </c>
      <c r="J289" t="s">
        <v>82</v>
      </c>
      <c r="K289" t="s">
        <v>118</v>
      </c>
      <c r="L289" s="1">
        <v>46143</v>
      </c>
      <c r="M289" s="1">
        <v>46173</v>
      </c>
      <c r="N289">
        <v>0.13546800000000001</v>
      </c>
      <c r="O289" t="s">
        <v>60</v>
      </c>
      <c r="P289" t="s">
        <v>63</v>
      </c>
      <c r="Q289" t="s">
        <v>483</v>
      </c>
      <c r="R289" t="s">
        <v>148</v>
      </c>
      <c r="S289" t="s">
        <v>68</v>
      </c>
      <c r="T289" t="s">
        <v>691</v>
      </c>
      <c r="U289" t="s">
        <v>876</v>
      </c>
      <c r="V289">
        <v>7</v>
      </c>
      <c r="W289" s="2">
        <v>945.34790425599999</v>
      </c>
    </row>
    <row r="290" spans="1:23" x14ac:dyDescent="0.25">
      <c r="A290" t="s">
        <v>31</v>
      </c>
      <c r="B290" t="s">
        <v>32</v>
      </c>
      <c r="C290" t="s">
        <v>33</v>
      </c>
      <c r="D290" t="s">
        <v>34</v>
      </c>
      <c r="E290" t="s">
        <v>35</v>
      </c>
      <c r="F290" t="s">
        <v>36</v>
      </c>
      <c r="G290">
        <v>1141685</v>
      </c>
      <c r="H290" t="s">
        <v>3065</v>
      </c>
      <c r="I290" t="s">
        <v>42</v>
      </c>
      <c r="J290" t="s">
        <v>3065</v>
      </c>
      <c r="K290" t="s">
        <v>3066</v>
      </c>
      <c r="L290" s="4">
        <v>46173</v>
      </c>
      <c r="M290" s="4">
        <v>46173</v>
      </c>
      <c r="N290">
        <v>1143.22</v>
      </c>
      <c r="O290" t="s">
        <v>59</v>
      </c>
      <c r="P290" t="s">
        <v>63</v>
      </c>
      <c r="Q290" t="s">
        <v>3876</v>
      </c>
      <c r="R290" t="s">
        <v>3877</v>
      </c>
      <c r="S290" t="s">
        <v>66</v>
      </c>
      <c r="T290" t="s">
        <v>3878</v>
      </c>
      <c r="U290" t="s">
        <v>3879</v>
      </c>
      <c r="V290">
        <v>7</v>
      </c>
      <c r="W290" s="2">
        <v>29016</v>
      </c>
    </row>
    <row r="291" spans="1:23" x14ac:dyDescent="0.25">
      <c r="A291" t="s">
        <v>31</v>
      </c>
      <c r="B291" t="s">
        <v>32</v>
      </c>
      <c r="C291" t="s">
        <v>33</v>
      </c>
      <c r="D291" t="s">
        <v>34</v>
      </c>
      <c r="E291" t="s">
        <v>35</v>
      </c>
      <c r="F291" t="s">
        <v>36</v>
      </c>
      <c r="G291">
        <v>1141685</v>
      </c>
      <c r="H291" t="s">
        <v>3065</v>
      </c>
      <c r="I291" t="s">
        <v>42</v>
      </c>
      <c r="J291" t="s">
        <v>3065</v>
      </c>
      <c r="K291" t="s">
        <v>3066</v>
      </c>
      <c r="L291" s="4">
        <v>46173</v>
      </c>
      <c r="M291" s="4">
        <v>46173</v>
      </c>
      <c r="N291">
        <v>1143.22</v>
      </c>
      <c r="O291" t="s">
        <v>59</v>
      </c>
      <c r="P291" t="s">
        <v>63</v>
      </c>
      <c r="Q291" t="s">
        <v>3876</v>
      </c>
      <c r="R291" t="s">
        <v>3877</v>
      </c>
      <c r="S291" t="s">
        <v>66</v>
      </c>
      <c r="T291" t="s">
        <v>3878</v>
      </c>
      <c r="U291" t="s">
        <v>3879</v>
      </c>
      <c r="V291">
        <v>7</v>
      </c>
      <c r="W291" s="2">
        <v>29016</v>
      </c>
    </row>
    <row r="292" spans="1:23" x14ac:dyDescent="0.25">
      <c r="A292" t="s">
        <v>31</v>
      </c>
      <c r="B292" t="s">
        <v>32</v>
      </c>
      <c r="C292" t="s">
        <v>33</v>
      </c>
      <c r="D292" t="s">
        <v>34</v>
      </c>
      <c r="E292" t="s">
        <v>35</v>
      </c>
      <c r="F292" t="s">
        <v>36</v>
      </c>
      <c r="G292">
        <v>1141685</v>
      </c>
      <c r="H292" t="s">
        <v>3065</v>
      </c>
      <c r="I292" t="s">
        <v>42</v>
      </c>
      <c r="J292" t="s">
        <v>3065</v>
      </c>
      <c r="K292" t="s">
        <v>3066</v>
      </c>
      <c r="L292" s="4">
        <v>46173</v>
      </c>
      <c r="M292" s="4">
        <v>46173</v>
      </c>
      <c r="N292">
        <v>1143.22</v>
      </c>
      <c r="O292" t="s">
        <v>59</v>
      </c>
      <c r="P292" t="s">
        <v>63</v>
      </c>
      <c r="Q292" t="s">
        <v>3876</v>
      </c>
      <c r="R292" t="s">
        <v>3877</v>
      </c>
      <c r="S292" t="s">
        <v>66</v>
      </c>
      <c r="T292" t="s">
        <v>3878</v>
      </c>
      <c r="U292" t="s">
        <v>3879</v>
      </c>
      <c r="V292">
        <v>7</v>
      </c>
      <c r="W292" s="2">
        <v>29016</v>
      </c>
    </row>
    <row r="293" spans="1:23" x14ac:dyDescent="0.25">
      <c r="A293" t="s">
        <v>31</v>
      </c>
      <c r="B293" t="s">
        <v>32</v>
      </c>
      <c r="C293" t="s">
        <v>33</v>
      </c>
      <c r="D293" t="s">
        <v>34</v>
      </c>
      <c r="E293" t="s">
        <v>35</v>
      </c>
      <c r="F293" t="s">
        <v>36</v>
      </c>
      <c r="G293">
        <v>1141685</v>
      </c>
      <c r="H293" t="s">
        <v>3065</v>
      </c>
      <c r="I293" t="s">
        <v>42</v>
      </c>
      <c r="J293" t="s">
        <v>3065</v>
      </c>
      <c r="K293" t="s">
        <v>3066</v>
      </c>
      <c r="L293" s="4">
        <v>46173</v>
      </c>
      <c r="M293" s="4">
        <v>46173</v>
      </c>
      <c r="N293">
        <v>1143.22</v>
      </c>
      <c r="O293" t="s">
        <v>59</v>
      </c>
      <c r="P293" t="s">
        <v>63</v>
      </c>
      <c r="Q293" t="s">
        <v>3876</v>
      </c>
      <c r="R293" t="s">
        <v>3877</v>
      </c>
      <c r="S293" t="s">
        <v>66</v>
      </c>
      <c r="T293" t="s">
        <v>3878</v>
      </c>
      <c r="U293" t="s">
        <v>3879</v>
      </c>
      <c r="V293">
        <v>7</v>
      </c>
      <c r="W293" s="2">
        <v>29016</v>
      </c>
    </row>
    <row r="294" spans="1:23" x14ac:dyDescent="0.25">
      <c r="A294" t="s">
        <v>31</v>
      </c>
      <c r="B294" t="s">
        <v>32</v>
      </c>
      <c r="C294" t="s">
        <v>33</v>
      </c>
      <c r="D294" t="s">
        <v>34</v>
      </c>
      <c r="E294" t="s">
        <v>35</v>
      </c>
      <c r="F294" t="s">
        <v>36</v>
      </c>
      <c r="G294">
        <v>1141685</v>
      </c>
      <c r="H294" t="s">
        <v>3065</v>
      </c>
      <c r="I294" t="s">
        <v>42</v>
      </c>
      <c r="J294" t="s">
        <v>3065</v>
      </c>
      <c r="K294" t="s">
        <v>3066</v>
      </c>
      <c r="L294" s="4">
        <v>46173</v>
      </c>
      <c r="M294" s="4">
        <v>46173</v>
      </c>
      <c r="N294">
        <v>1143.22</v>
      </c>
      <c r="O294" t="s">
        <v>59</v>
      </c>
      <c r="P294" t="s">
        <v>63</v>
      </c>
      <c r="Q294" t="s">
        <v>3876</v>
      </c>
      <c r="R294" t="s">
        <v>3877</v>
      </c>
      <c r="S294" t="s">
        <v>66</v>
      </c>
      <c r="T294" t="s">
        <v>3878</v>
      </c>
      <c r="U294" t="s">
        <v>3879</v>
      </c>
      <c r="V294">
        <v>7</v>
      </c>
      <c r="W294" s="2">
        <v>29016</v>
      </c>
    </row>
    <row r="295" spans="1:23" x14ac:dyDescent="0.25">
      <c r="A295" t="s">
        <v>31</v>
      </c>
      <c r="B295" t="s">
        <v>32</v>
      </c>
      <c r="C295" t="s">
        <v>33</v>
      </c>
      <c r="D295" t="s">
        <v>34</v>
      </c>
      <c r="E295" t="s">
        <v>35</v>
      </c>
      <c r="F295" t="s">
        <v>36</v>
      </c>
      <c r="G295">
        <v>1141685</v>
      </c>
      <c r="H295" t="s">
        <v>3065</v>
      </c>
      <c r="I295" t="s">
        <v>42</v>
      </c>
      <c r="J295" t="s">
        <v>3065</v>
      </c>
      <c r="K295" t="s">
        <v>3066</v>
      </c>
      <c r="L295" s="4">
        <v>46173</v>
      </c>
      <c r="M295" s="4">
        <v>46173</v>
      </c>
      <c r="N295">
        <v>1143.22</v>
      </c>
      <c r="O295" t="s">
        <v>59</v>
      </c>
      <c r="P295" t="s">
        <v>63</v>
      </c>
      <c r="Q295" t="s">
        <v>3876</v>
      </c>
      <c r="R295" t="s">
        <v>3877</v>
      </c>
      <c r="S295" t="s">
        <v>66</v>
      </c>
      <c r="T295" t="s">
        <v>3878</v>
      </c>
      <c r="U295" t="s">
        <v>3879</v>
      </c>
      <c r="V295">
        <v>7</v>
      </c>
      <c r="W295" s="2">
        <v>29016</v>
      </c>
    </row>
    <row r="296" spans="1:23" x14ac:dyDescent="0.25">
      <c r="A296" t="s">
        <v>31</v>
      </c>
      <c r="B296" t="s">
        <v>32</v>
      </c>
      <c r="C296" t="s">
        <v>33</v>
      </c>
      <c r="D296" t="s">
        <v>34</v>
      </c>
      <c r="E296" t="s">
        <v>35</v>
      </c>
      <c r="F296" t="s">
        <v>36</v>
      </c>
      <c r="G296">
        <v>1141685</v>
      </c>
      <c r="H296" t="s">
        <v>3065</v>
      </c>
      <c r="I296" t="s">
        <v>42</v>
      </c>
      <c r="J296" t="s">
        <v>3065</v>
      </c>
      <c r="K296" t="s">
        <v>3066</v>
      </c>
      <c r="L296" s="4">
        <v>46173</v>
      </c>
      <c r="M296" s="4">
        <v>46173</v>
      </c>
      <c r="N296">
        <v>1143.22</v>
      </c>
      <c r="O296" t="s">
        <v>59</v>
      </c>
      <c r="P296" t="s">
        <v>63</v>
      </c>
      <c r="Q296" t="s">
        <v>3876</v>
      </c>
      <c r="R296" t="s">
        <v>3877</v>
      </c>
      <c r="S296" t="s">
        <v>66</v>
      </c>
      <c r="T296" t="s">
        <v>3878</v>
      </c>
      <c r="U296" t="s">
        <v>3879</v>
      </c>
      <c r="V296">
        <v>7</v>
      </c>
      <c r="W296" s="2">
        <v>29016</v>
      </c>
    </row>
    <row r="297" spans="1:23" x14ac:dyDescent="0.25">
      <c r="A297" t="s">
        <v>31</v>
      </c>
      <c r="B297" t="s">
        <v>32</v>
      </c>
      <c r="C297" t="s">
        <v>33</v>
      </c>
      <c r="D297" t="s">
        <v>34</v>
      </c>
      <c r="E297" t="s">
        <v>35</v>
      </c>
      <c r="F297" t="s">
        <v>36</v>
      </c>
      <c r="G297">
        <v>1141685</v>
      </c>
      <c r="H297" t="s">
        <v>3065</v>
      </c>
      <c r="I297" t="s">
        <v>42</v>
      </c>
      <c r="J297" t="s">
        <v>3065</v>
      </c>
      <c r="K297" t="s">
        <v>3066</v>
      </c>
      <c r="L297" s="4">
        <v>46173</v>
      </c>
      <c r="M297" s="4">
        <v>46173</v>
      </c>
      <c r="N297">
        <v>1143.22</v>
      </c>
      <c r="O297" t="s">
        <v>59</v>
      </c>
      <c r="P297" t="s">
        <v>63</v>
      </c>
      <c r="Q297" t="s">
        <v>3876</v>
      </c>
      <c r="R297" t="s">
        <v>3877</v>
      </c>
      <c r="S297" t="s">
        <v>66</v>
      </c>
      <c r="T297" t="s">
        <v>3878</v>
      </c>
      <c r="U297" t="s">
        <v>3879</v>
      </c>
      <c r="V297">
        <v>7</v>
      </c>
      <c r="W297" s="2">
        <v>29016</v>
      </c>
    </row>
    <row r="298" spans="1:23" x14ac:dyDescent="0.25">
      <c r="A298" t="s">
        <v>31</v>
      </c>
      <c r="B298" t="s">
        <v>32</v>
      </c>
      <c r="C298" t="s">
        <v>33</v>
      </c>
      <c r="D298" t="s">
        <v>34</v>
      </c>
      <c r="E298" t="s">
        <v>35</v>
      </c>
      <c r="F298" t="s">
        <v>36</v>
      </c>
      <c r="G298">
        <v>1141685</v>
      </c>
      <c r="H298" t="s">
        <v>3065</v>
      </c>
      <c r="I298" t="s">
        <v>42</v>
      </c>
      <c r="J298" t="s">
        <v>3065</v>
      </c>
      <c r="K298" t="s">
        <v>3066</v>
      </c>
      <c r="L298" s="4">
        <v>46173</v>
      </c>
      <c r="M298" s="4">
        <v>46173</v>
      </c>
      <c r="N298">
        <v>1143.22</v>
      </c>
      <c r="O298" t="s">
        <v>59</v>
      </c>
      <c r="P298" t="s">
        <v>63</v>
      </c>
      <c r="Q298" t="s">
        <v>3876</v>
      </c>
      <c r="R298" t="s">
        <v>3877</v>
      </c>
      <c r="S298" t="s">
        <v>66</v>
      </c>
      <c r="T298" t="s">
        <v>3878</v>
      </c>
      <c r="U298" t="s">
        <v>3879</v>
      </c>
      <c r="V298">
        <v>7</v>
      </c>
      <c r="W298" s="2">
        <v>29016</v>
      </c>
    </row>
    <row r="299" spans="1:23" x14ac:dyDescent="0.25">
      <c r="A299" t="s">
        <v>31</v>
      </c>
      <c r="B299" t="s">
        <v>32</v>
      </c>
      <c r="C299" t="s">
        <v>33</v>
      </c>
      <c r="D299" t="s">
        <v>34</v>
      </c>
      <c r="E299" t="s">
        <v>35</v>
      </c>
      <c r="F299" t="s">
        <v>36</v>
      </c>
      <c r="G299">
        <v>1141685</v>
      </c>
      <c r="H299" t="s">
        <v>3065</v>
      </c>
      <c r="I299" t="s">
        <v>42</v>
      </c>
      <c r="J299" t="s">
        <v>3065</v>
      </c>
      <c r="K299" t="s">
        <v>3066</v>
      </c>
      <c r="L299" s="4">
        <v>46173</v>
      </c>
      <c r="M299" s="4">
        <v>46173</v>
      </c>
      <c r="N299">
        <v>1143.22</v>
      </c>
      <c r="O299" t="s">
        <v>59</v>
      </c>
      <c r="P299" t="s">
        <v>63</v>
      </c>
      <c r="Q299" t="s">
        <v>3876</v>
      </c>
      <c r="R299" t="s">
        <v>3877</v>
      </c>
      <c r="S299" t="s">
        <v>66</v>
      </c>
      <c r="T299" t="s">
        <v>3878</v>
      </c>
      <c r="U299" t="s">
        <v>3879</v>
      </c>
      <c r="V299">
        <v>7</v>
      </c>
      <c r="W299" s="2">
        <v>29016</v>
      </c>
    </row>
    <row r="300" spans="1:23" x14ac:dyDescent="0.25">
      <c r="A300" t="s">
        <v>31</v>
      </c>
      <c r="B300" t="s">
        <v>32</v>
      </c>
      <c r="C300" t="s">
        <v>33</v>
      </c>
      <c r="D300" t="s">
        <v>34</v>
      </c>
      <c r="E300" t="s">
        <v>35</v>
      </c>
      <c r="F300" t="s">
        <v>36</v>
      </c>
      <c r="G300">
        <v>1141685</v>
      </c>
      <c r="H300" t="s">
        <v>3065</v>
      </c>
      <c r="I300" t="s">
        <v>42</v>
      </c>
      <c r="J300" t="s">
        <v>3065</v>
      </c>
      <c r="K300" t="s">
        <v>3066</v>
      </c>
      <c r="L300" s="4">
        <v>46173</v>
      </c>
      <c r="M300" s="4">
        <v>46173</v>
      </c>
      <c r="N300">
        <v>1143.22</v>
      </c>
      <c r="O300" t="s">
        <v>59</v>
      </c>
      <c r="P300" t="s">
        <v>63</v>
      </c>
      <c r="Q300" t="s">
        <v>3876</v>
      </c>
      <c r="R300" t="s">
        <v>3877</v>
      </c>
      <c r="S300" t="s">
        <v>66</v>
      </c>
      <c r="T300" t="s">
        <v>3878</v>
      </c>
      <c r="U300" t="s">
        <v>3879</v>
      </c>
      <c r="V300">
        <v>7</v>
      </c>
      <c r="W300" s="2">
        <v>29016</v>
      </c>
    </row>
    <row r="301" spans="1:23" x14ac:dyDescent="0.25">
      <c r="A301" t="s">
        <v>31</v>
      </c>
      <c r="B301" t="s">
        <v>32</v>
      </c>
      <c r="C301" t="s">
        <v>33</v>
      </c>
      <c r="D301" t="s">
        <v>34</v>
      </c>
      <c r="E301" t="s">
        <v>35</v>
      </c>
      <c r="F301" t="s">
        <v>36</v>
      </c>
      <c r="G301">
        <v>1141685</v>
      </c>
      <c r="H301" t="s">
        <v>3065</v>
      </c>
      <c r="I301" t="s">
        <v>42</v>
      </c>
      <c r="J301" t="s">
        <v>3065</v>
      </c>
      <c r="K301" t="s">
        <v>3066</v>
      </c>
      <c r="L301" s="4">
        <v>46173</v>
      </c>
      <c r="M301" s="4">
        <v>46173</v>
      </c>
      <c r="N301">
        <v>1143.22</v>
      </c>
      <c r="O301" t="s">
        <v>59</v>
      </c>
      <c r="P301" t="s">
        <v>63</v>
      </c>
      <c r="Q301" t="s">
        <v>3876</v>
      </c>
      <c r="R301" t="s">
        <v>3877</v>
      </c>
      <c r="S301" t="s">
        <v>66</v>
      </c>
      <c r="T301" t="s">
        <v>3878</v>
      </c>
      <c r="U301" t="s">
        <v>3879</v>
      </c>
      <c r="V301">
        <v>7</v>
      </c>
      <c r="W301" s="2">
        <v>29016</v>
      </c>
    </row>
    <row r="302" spans="1:23" x14ac:dyDescent="0.25">
      <c r="A302" t="s">
        <v>31</v>
      </c>
      <c r="B302" t="s">
        <v>32</v>
      </c>
      <c r="C302" t="s">
        <v>33</v>
      </c>
      <c r="D302" t="s">
        <v>34</v>
      </c>
      <c r="E302" t="s">
        <v>35</v>
      </c>
      <c r="F302" t="s">
        <v>36</v>
      </c>
      <c r="G302">
        <v>1141685</v>
      </c>
      <c r="H302" t="s">
        <v>3065</v>
      </c>
      <c r="I302" t="s">
        <v>42</v>
      </c>
      <c r="J302" t="s">
        <v>3065</v>
      </c>
      <c r="K302" t="s">
        <v>3066</v>
      </c>
      <c r="L302" s="4">
        <v>46173</v>
      </c>
      <c r="M302" s="4">
        <v>46173</v>
      </c>
      <c r="N302">
        <v>1143.22</v>
      </c>
      <c r="O302" t="s">
        <v>59</v>
      </c>
      <c r="P302" t="s">
        <v>63</v>
      </c>
      <c r="Q302" t="s">
        <v>3876</v>
      </c>
      <c r="R302" t="s">
        <v>3877</v>
      </c>
      <c r="S302" t="s">
        <v>66</v>
      </c>
      <c r="T302" t="s">
        <v>3878</v>
      </c>
      <c r="U302" t="s">
        <v>3879</v>
      </c>
      <c r="V302">
        <v>7</v>
      </c>
      <c r="W302" s="2">
        <v>29016</v>
      </c>
    </row>
    <row r="303" spans="1:23" x14ac:dyDescent="0.25">
      <c r="A303" t="s">
        <v>31</v>
      </c>
      <c r="B303" t="s">
        <v>32</v>
      </c>
      <c r="C303" t="s">
        <v>33</v>
      </c>
      <c r="D303" t="s">
        <v>34</v>
      </c>
      <c r="E303" t="s">
        <v>35</v>
      </c>
      <c r="F303" t="s">
        <v>36</v>
      </c>
      <c r="G303">
        <v>1141685</v>
      </c>
      <c r="H303" t="s">
        <v>3065</v>
      </c>
      <c r="I303" t="s">
        <v>42</v>
      </c>
      <c r="J303" t="s">
        <v>3065</v>
      </c>
      <c r="K303" t="s">
        <v>3066</v>
      </c>
      <c r="L303" s="4">
        <v>46173</v>
      </c>
      <c r="M303" s="4">
        <v>46173</v>
      </c>
      <c r="N303">
        <v>1143.22</v>
      </c>
      <c r="O303" t="s">
        <v>59</v>
      </c>
      <c r="P303" t="s">
        <v>63</v>
      </c>
      <c r="Q303" t="s">
        <v>3876</v>
      </c>
      <c r="R303" t="s">
        <v>3877</v>
      </c>
      <c r="S303" t="s">
        <v>66</v>
      </c>
      <c r="T303" t="s">
        <v>3878</v>
      </c>
      <c r="U303" t="s">
        <v>3879</v>
      </c>
      <c r="V303">
        <v>7</v>
      </c>
      <c r="W303" s="2">
        <v>29016</v>
      </c>
    </row>
    <row r="304" spans="1:23" x14ac:dyDescent="0.25">
      <c r="A304" t="s">
        <v>31</v>
      </c>
      <c r="B304" t="s">
        <v>32</v>
      </c>
      <c r="C304" t="s">
        <v>33</v>
      </c>
      <c r="D304" t="s">
        <v>34</v>
      </c>
      <c r="E304" t="s">
        <v>35</v>
      </c>
      <c r="F304" t="s">
        <v>36</v>
      </c>
      <c r="G304">
        <v>1141685</v>
      </c>
      <c r="H304" t="s">
        <v>3065</v>
      </c>
      <c r="I304" t="s">
        <v>42</v>
      </c>
      <c r="J304" t="s">
        <v>3065</v>
      </c>
      <c r="K304" t="s">
        <v>3066</v>
      </c>
      <c r="L304" s="4">
        <v>46173</v>
      </c>
      <c r="M304" s="4">
        <v>46173</v>
      </c>
      <c r="N304">
        <v>1143.22</v>
      </c>
      <c r="O304" t="s">
        <v>59</v>
      </c>
      <c r="P304" t="s">
        <v>63</v>
      </c>
      <c r="Q304" t="s">
        <v>3876</v>
      </c>
      <c r="R304" t="s">
        <v>3877</v>
      </c>
      <c r="S304" t="s">
        <v>66</v>
      </c>
      <c r="T304" t="s">
        <v>3878</v>
      </c>
      <c r="U304" t="s">
        <v>3879</v>
      </c>
      <c r="V304">
        <v>7</v>
      </c>
      <c r="W304" s="2">
        <v>29016</v>
      </c>
    </row>
    <row r="305" spans="1:23" x14ac:dyDescent="0.25">
      <c r="A305" t="s">
        <v>31</v>
      </c>
      <c r="B305" t="s">
        <v>32</v>
      </c>
      <c r="C305" t="s">
        <v>33</v>
      </c>
      <c r="D305" t="s">
        <v>34</v>
      </c>
      <c r="E305" t="s">
        <v>35</v>
      </c>
      <c r="F305" t="s">
        <v>36</v>
      </c>
      <c r="G305">
        <v>1141685</v>
      </c>
      <c r="H305" t="s">
        <v>3065</v>
      </c>
      <c r="I305" t="s">
        <v>42</v>
      </c>
      <c r="J305" t="s">
        <v>3065</v>
      </c>
      <c r="K305" t="s">
        <v>3066</v>
      </c>
      <c r="L305" s="4">
        <v>46173</v>
      </c>
      <c r="M305" s="4">
        <v>46173</v>
      </c>
      <c r="N305">
        <v>1143.22</v>
      </c>
      <c r="O305" t="s">
        <v>59</v>
      </c>
      <c r="P305" t="s">
        <v>63</v>
      </c>
      <c r="Q305" t="s">
        <v>3876</v>
      </c>
      <c r="R305" t="s">
        <v>3877</v>
      </c>
      <c r="S305" t="s">
        <v>66</v>
      </c>
      <c r="T305" t="s">
        <v>3878</v>
      </c>
      <c r="U305" t="s">
        <v>3879</v>
      </c>
      <c r="V305">
        <v>7</v>
      </c>
      <c r="W305" s="2">
        <v>29016</v>
      </c>
    </row>
    <row r="306" spans="1:23" x14ac:dyDescent="0.25">
      <c r="A306" t="s">
        <v>31</v>
      </c>
      <c r="B306" t="s">
        <v>32</v>
      </c>
      <c r="C306" t="s">
        <v>33</v>
      </c>
      <c r="D306" t="s">
        <v>34</v>
      </c>
      <c r="E306" t="s">
        <v>35</v>
      </c>
      <c r="F306" t="s">
        <v>36</v>
      </c>
      <c r="G306">
        <v>1141685</v>
      </c>
      <c r="H306" t="s">
        <v>3065</v>
      </c>
      <c r="I306" t="s">
        <v>42</v>
      </c>
      <c r="J306" t="s">
        <v>3065</v>
      </c>
      <c r="K306" t="s">
        <v>3066</v>
      </c>
      <c r="L306" s="4">
        <v>46173</v>
      </c>
      <c r="M306" s="4">
        <v>46173</v>
      </c>
      <c r="N306">
        <v>1143.22</v>
      </c>
      <c r="O306" t="s">
        <v>59</v>
      </c>
      <c r="P306" t="s">
        <v>63</v>
      </c>
      <c r="Q306" t="s">
        <v>3876</v>
      </c>
      <c r="R306" t="s">
        <v>3877</v>
      </c>
      <c r="S306" t="s">
        <v>66</v>
      </c>
      <c r="T306" t="s">
        <v>3878</v>
      </c>
      <c r="U306" t="s">
        <v>3879</v>
      </c>
      <c r="V306">
        <v>7</v>
      </c>
      <c r="W306" s="2">
        <v>29016</v>
      </c>
    </row>
    <row r="307" spans="1:23" x14ac:dyDescent="0.25">
      <c r="A307" t="s">
        <v>31</v>
      </c>
      <c r="B307" t="s">
        <v>32</v>
      </c>
      <c r="C307" t="s">
        <v>33</v>
      </c>
      <c r="D307" t="s">
        <v>34</v>
      </c>
      <c r="E307" t="s">
        <v>35</v>
      </c>
      <c r="F307" t="s">
        <v>36</v>
      </c>
      <c r="G307">
        <v>1141685</v>
      </c>
      <c r="H307" t="s">
        <v>3065</v>
      </c>
      <c r="I307" t="s">
        <v>42</v>
      </c>
      <c r="J307" t="s">
        <v>3065</v>
      </c>
      <c r="K307" t="s">
        <v>3066</v>
      </c>
      <c r="L307" s="4">
        <v>46173</v>
      </c>
      <c r="M307" s="4">
        <v>46173</v>
      </c>
      <c r="N307">
        <v>1143.22</v>
      </c>
      <c r="O307" t="s">
        <v>59</v>
      </c>
      <c r="P307" t="s">
        <v>63</v>
      </c>
      <c r="Q307" t="s">
        <v>3876</v>
      </c>
      <c r="R307" t="s">
        <v>3877</v>
      </c>
      <c r="S307" t="s">
        <v>66</v>
      </c>
      <c r="T307" t="s">
        <v>3878</v>
      </c>
      <c r="U307" t="s">
        <v>3879</v>
      </c>
      <c r="V307">
        <v>7</v>
      </c>
      <c r="W307" s="2">
        <v>29016</v>
      </c>
    </row>
    <row r="308" spans="1:23" x14ac:dyDescent="0.25">
      <c r="A308" t="s">
        <v>31</v>
      </c>
      <c r="B308" t="s">
        <v>32</v>
      </c>
      <c r="C308" t="s">
        <v>33</v>
      </c>
      <c r="D308" t="s">
        <v>34</v>
      </c>
      <c r="E308" t="s">
        <v>35</v>
      </c>
      <c r="F308" t="s">
        <v>36</v>
      </c>
      <c r="G308">
        <v>1141685</v>
      </c>
      <c r="H308" t="s">
        <v>3065</v>
      </c>
      <c r="I308" t="s">
        <v>42</v>
      </c>
      <c r="J308" t="s">
        <v>3065</v>
      </c>
      <c r="K308" t="s">
        <v>3066</v>
      </c>
      <c r="L308" s="4">
        <v>46173</v>
      </c>
      <c r="M308" s="4">
        <v>46173</v>
      </c>
      <c r="N308">
        <v>1143.22</v>
      </c>
      <c r="O308" t="s">
        <v>59</v>
      </c>
      <c r="P308" t="s">
        <v>63</v>
      </c>
      <c r="Q308" t="s">
        <v>3876</v>
      </c>
      <c r="R308" t="s">
        <v>3877</v>
      </c>
      <c r="S308" t="s">
        <v>66</v>
      </c>
      <c r="T308" t="s">
        <v>3878</v>
      </c>
      <c r="U308" t="s">
        <v>3879</v>
      </c>
      <c r="V308">
        <v>7</v>
      </c>
      <c r="W308" s="2">
        <v>29016</v>
      </c>
    </row>
    <row r="309" spans="1:23" x14ac:dyDescent="0.25">
      <c r="A309" t="s">
        <v>31</v>
      </c>
      <c r="B309" t="s">
        <v>32</v>
      </c>
      <c r="C309" t="s">
        <v>33</v>
      </c>
      <c r="D309" t="s">
        <v>34</v>
      </c>
      <c r="E309" t="s">
        <v>35</v>
      </c>
      <c r="F309" t="s">
        <v>36</v>
      </c>
      <c r="G309">
        <v>1141685</v>
      </c>
      <c r="H309" t="s">
        <v>3065</v>
      </c>
      <c r="I309" t="s">
        <v>42</v>
      </c>
      <c r="J309" t="s">
        <v>3065</v>
      </c>
      <c r="K309" t="s">
        <v>3066</v>
      </c>
      <c r="L309" s="4">
        <v>46173</v>
      </c>
      <c r="M309" s="4">
        <v>46173</v>
      </c>
      <c r="N309">
        <v>1143.22</v>
      </c>
      <c r="O309" t="s">
        <v>59</v>
      </c>
      <c r="P309" t="s">
        <v>63</v>
      </c>
      <c r="Q309" t="s">
        <v>3876</v>
      </c>
      <c r="R309" t="s">
        <v>3877</v>
      </c>
      <c r="S309" t="s">
        <v>66</v>
      </c>
      <c r="T309" t="s">
        <v>3878</v>
      </c>
      <c r="U309" t="s">
        <v>3879</v>
      </c>
      <c r="V309">
        <v>7</v>
      </c>
      <c r="W309" s="2">
        <v>29016</v>
      </c>
    </row>
    <row r="310" spans="1:23" x14ac:dyDescent="0.25">
      <c r="A310" t="s">
        <v>31</v>
      </c>
      <c r="B310" t="s">
        <v>32</v>
      </c>
      <c r="C310" t="s">
        <v>33</v>
      </c>
      <c r="D310" t="s">
        <v>34</v>
      </c>
      <c r="E310" t="s">
        <v>35</v>
      </c>
      <c r="F310" t="s">
        <v>36</v>
      </c>
      <c r="G310">
        <v>1141685</v>
      </c>
      <c r="H310" t="s">
        <v>3065</v>
      </c>
      <c r="I310" t="s">
        <v>42</v>
      </c>
      <c r="J310" t="s">
        <v>3065</v>
      </c>
      <c r="K310" t="s">
        <v>3066</v>
      </c>
      <c r="L310" s="4">
        <v>46173</v>
      </c>
      <c r="M310" s="4">
        <v>46173</v>
      </c>
      <c r="N310">
        <v>1143.22</v>
      </c>
      <c r="O310" t="s">
        <v>59</v>
      </c>
      <c r="P310" t="s">
        <v>63</v>
      </c>
      <c r="Q310" t="s">
        <v>3876</v>
      </c>
      <c r="R310" t="s">
        <v>3877</v>
      </c>
      <c r="S310" t="s">
        <v>66</v>
      </c>
      <c r="T310" t="s">
        <v>3878</v>
      </c>
      <c r="U310" t="s">
        <v>3879</v>
      </c>
      <c r="V310">
        <v>7</v>
      </c>
      <c r="W310" s="2">
        <v>29016</v>
      </c>
    </row>
    <row r="311" spans="1:23" x14ac:dyDescent="0.25">
      <c r="A311" t="s">
        <v>31</v>
      </c>
      <c r="B311" t="s">
        <v>32</v>
      </c>
      <c r="C311" t="s">
        <v>33</v>
      </c>
      <c r="D311" t="s">
        <v>34</v>
      </c>
      <c r="E311" t="s">
        <v>35</v>
      </c>
      <c r="F311" t="s">
        <v>36</v>
      </c>
      <c r="G311">
        <v>1141685</v>
      </c>
      <c r="H311" t="s">
        <v>3065</v>
      </c>
      <c r="I311" t="s">
        <v>42</v>
      </c>
      <c r="J311" t="s">
        <v>3065</v>
      </c>
      <c r="K311" t="s">
        <v>3066</v>
      </c>
      <c r="L311" s="4">
        <v>46173</v>
      </c>
      <c r="M311" s="4">
        <v>46173</v>
      </c>
      <c r="N311">
        <v>1143.22</v>
      </c>
      <c r="O311" t="s">
        <v>59</v>
      </c>
      <c r="P311" t="s">
        <v>63</v>
      </c>
      <c r="Q311" t="s">
        <v>3876</v>
      </c>
      <c r="R311" t="s">
        <v>3877</v>
      </c>
      <c r="S311" t="s">
        <v>66</v>
      </c>
      <c r="T311" t="s">
        <v>3878</v>
      </c>
      <c r="U311" t="s">
        <v>3879</v>
      </c>
      <c r="V311">
        <v>7</v>
      </c>
      <c r="W311" s="2">
        <v>29016</v>
      </c>
    </row>
    <row r="312" spans="1:23" x14ac:dyDescent="0.25">
      <c r="A312" t="s">
        <v>31</v>
      </c>
      <c r="B312" t="s">
        <v>32</v>
      </c>
      <c r="C312" t="s">
        <v>33</v>
      </c>
      <c r="D312" t="s">
        <v>34</v>
      </c>
      <c r="E312" t="s">
        <v>35</v>
      </c>
      <c r="F312" t="s">
        <v>36</v>
      </c>
      <c r="G312">
        <v>1141685</v>
      </c>
      <c r="H312" t="s">
        <v>3065</v>
      </c>
      <c r="I312" t="s">
        <v>42</v>
      </c>
      <c r="J312" t="s">
        <v>3065</v>
      </c>
      <c r="K312" t="s">
        <v>3066</v>
      </c>
      <c r="L312" s="4">
        <v>46173</v>
      </c>
      <c r="M312" s="4">
        <v>46173</v>
      </c>
      <c r="N312">
        <v>1143.22</v>
      </c>
      <c r="O312" t="s">
        <v>59</v>
      </c>
      <c r="P312" t="s">
        <v>63</v>
      </c>
      <c r="Q312" t="s">
        <v>3876</v>
      </c>
      <c r="R312" t="s">
        <v>3877</v>
      </c>
      <c r="S312" t="s">
        <v>66</v>
      </c>
      <c r="T312" t="s">
        <v>3878</v>
      </c>
      <c r="U312" t="s">
        <v>3879</v>
      </c>
      <c r="V312">
        <v>7</v>
      </c>
      <c r="W312" s="2">
        <v>29016</v>
      </c>
    </row>
    <row r="313" spans="1:23" x14ac:dyDescent="0.25">
      <c r="A313" t="s">
        <v>31</v>
      </c>
      <c r="B313" t="s">
        <v>32</v>
      </c>
      <c r="C313" t="s">
        <v>33</v>
      </c>
      <c r="D313" t="s">
        <v>34</v>
      </c>
      <c r="E313" t="s">
        <v>35</v>
      </c>
      <c r="F313" t="s">
        <v>36</v>
      </c>
      <c r="G313">
        <v>1141685</v>
      </c>
      <c r="H313" t="s">
        <v>3065</v>
      </c>
      <c r="I313" t="s">
        <v>42</v>
      </c>
      <c r="J313" t="s">
        <v>3065</v>
      </c>
      <c r="K313" t="s">
        <v>3066</v>
      </c>
      <c r="L313" s="4">
        <v>46173</v>
      </c>
      <c r="M313" s="4">
        <v>46173</v>
      </c>
      <c r="N313">
        <v>1143.22</v>
      </c>
      <c r="O313" t="s">
        <v>59</v>
      </c>
      <c r="P313" t="s">
        <v>63</v>
      </c>
      <c r="Q313" t="s">
        <v>3876</v>
      </c>
      <c r="R313" t="s">
        <v>3877</v>
      </c>
      <c r="S313" t="s">
        <v>66</v>
      </c>
      <c r="T313" t="s">
        <v>3878</v>
      </c>
      <c r="U313" t="s">
        <v>3879</v>
      </c>
      <c r="V313">
        <v>7</v>
      </c>
      <c r="W313" s="2">
        <v>29016</v>
      </c>
    </row>
    <row r="314" spans="1:23" x14ac:dyDescent="0.25">
      <c r="A314" t="s">
        <v>31</v>
      </c>
      <c r="B314" t="s">
        <v>32</v>
      </c>
      <c r="C314" t="s">
        <v>33</v>
      </c>
      <c r="D314" t="s">
        <v>34</v>
      </c>
      <c r="E314" t="s">
        <v>35</v>
      </c>
      <c r="F314" t="s">
        <v>36</v>
      </c>
      <c r="G314">
        <v>1141685</v>
      </c>
      <c r="H314" t="s">
        <v>3065</v>
      </c>
      <c r="I314" t="s">
        <v>42</v>
      </c>
      <c r="J314" t="s">
        <v>3065</v>
      </c>
      <c r="K314" t="s">
        <v>3066</v>
      </c>
      <c r="L314" s="4">
        <v>46173</v>
      </c>
      <c r="M314" s="4">
        <v>46173</v>
      </c>
      <c r="N314">
        <v>1143.22</v>
      </c>
      <c r="O314" t="s">
        <v>59</v>
      </c>
      <c r="P314" t="s">
        <v>63</v>
      </c>
      <c r="Q314" t="s">
        <v>3876</v>
      </c>
      <c r="R314" t="s">
        <v>3877</v>
      </c>
      <c r="S314" t="s">
        <v>66</v>
      </c>
      <c r="T314" t="s">
        <v>3878</v>
      </c>
      <c r="U314" t="s">
        <v>3879</v>
      </c>
      <c r="V314">
        <v>7</v>
      </c>
      <c r="W314" s="2">
        <v>29016</v>
      </c>
    </row>
    <row r="315" spans="1:23" x14ac:dyDescent="0.25">
      <c r="A315" t="s">
        <v>31</v>
      </c>
      <c r="B315" t="s">
        <v>32</v>
      </c>
      <c r="C315" t="s">
        <v>33</v>
      </c>
      <c r="D315" t="s">
        <v>34</v>
      </c>
      <c r="E315" t="s">
        <v>35</v>
      </c>
      <c r="F315" t="s">
        <v>36</v>
      </c>
      <c r="G315">
        <v>1141685</v>
      </c>
      <c r="H315" t="s">
        <v>3065</v>
      </c>
      <c r="I315" t="s">
        <v>42</v>
      </c>
      <c r="J315" t="s">
        <v>3065</v>
      </c>
      <c r="K315" t="s">
        <v>3066</v>
      </c>
      <c r="L315" s="4">
        <v>46173</v>
      </c>
      <c r="M315" s="4">
        <v>46173</v>
      </c>
      <c r="N315">
        <v>1143.22</v>
      </c>
      <c r="O315" t="s">
        <v>59</v>
      </c>
      <c r="P315" t="s">
        <v>63</v>
      </c>
      <c r="Q315" t="s">
        <v>3876</v>
      </c>
      <c r="R315" t="s">
        <v>3877</v>
      </c>
      <c r="S315" t="s">
        <v>66</v>
      </c>
      <c r="T315" t="s">
        <v>3878</v>
      </c>
      <c r="U315" t="s">
        <v>3879</v>
      </c>
      <c r="V315">
        <v>7</v>
      </c>
      <c r="W315" s="2">
        <v>29016</v>
      </c>
    </row>
    <row r="316" spans="1:23" x14ac:dyDescent="0.25">
      <c r="A316" t="s">
        <v>31</v>
      </c>
      <c r="B316" t="s">
        <v>32</v>
      </c>
      <c r="C316" t="s">
        <v>33</v>
      </c>
      <c r="D316" t="s">
        <v>34</v>
      </c>
      <c r="E316" t="s">
        <v>35</v>
      </c>
      <c r="F316" t="s">
        <v>36</v>
      </c>
      <c r="G316">
        <v>1141685</v>
      </c>
      <c r="H316" t="s">
        <v>3065</v>
      </c>
      <c r="I316" t="s">
        <v>42</v>
      </c>
      <c r="J316" t="s">
        <v>3065</v>
      </c>
      <c r="K316" t="s">
        <v>3066</v>
      </c>
      <c r="L316" s="4">
        <v>46173</v>
      </c>
      <c r="M316" s="4">
        <v>46173</v>
      </c>
      <c r="N316">
        <v>1143.22</v>
      </c>
      <c r="O316" t="s">
        <v>59</v>
      </c>
      <c r="P316" t="s">
        <v>63</v>
      </c>
      <c r="Q316" t="s">
        <v>3876</v>
      </c>
      <c r="R316" t="s">
        <v>3877</v>
      </c>
      <c r="S316" t="s">
        <v>66</v>
      </c>
      <c r="T316" t="s">
        <v>3878</v>
      </c>
      <c r="U316" t="s">
        <v>3879</v>
      </c>
      <c r="V316">
        <v>7</v>
      </c>
      <c r="W316" s="2">
        <v>29016</v>
      </c>
    </row>
    <row r="317" spans="1:23" x14ac:dyDescent="0.25">
      <c r="A317" t="s">
        <v>31</v>
      </c>
      <c r="B317" t="s">
        <v>32</v>
      </c>
      <c r="C317" t="s">
        <v>33</v>
      </c>
      <c r="D317" t="s">
        <v>34</v>
      </c>
      <c r="E317" t="s">
        <v>35</v>
      </c>
      <c r="F317" t="s">
        <v>36</v>
      </c>
      <c r="G317">
        <v>1141685</v>
      </c>
      <c r="H317" t="s">
        <v>3065</v>
      </c>
      <c r="I317" t="s">
        <v>42</v>
      </c>
      <c r="J317" t="s">
        <v>3065</v>
      </c>
      <c r="K317" t="s">
        <v>3066</v>
      </c>
      <c r="L317" s="4">
        <v>46173</v>
      </c>
      <c r="M317" s="4">
        <v>46173</v>
      </c>
      <c r="N317">
        <v>1143.22</v>
      </c>
      <c r="O317" t="s">
        <v>59</v>
      </c>
      <c r="P317" t="s">
        <v>63</v>
      </c>
      <c r="Q317" t="s">
        <v>3876</v>
      </c>
      <c r="R317" t="s">
        <v>3877</v>
      </c>
      <c r="S317" t="s">
        <v>66</v>
      </c>
      <c r="T317" t="s">
        <v>3878</v>
      </c>
      <c r="U317" t="s">
        <v>3879</v>
      </c>
      <c r="V317">
        <v>7</v>
      </c>
      <c r="W317" s="2">
        <v>29016</v>
      </c>
    </row>
    <row r="318" spans="1:23" x14ac:dyDescent="0.25">
      <c r="A318" t="s">
        <v>31</v>
      </c>
      <c r="B318" t="s">
        <v>32</v>
      </c>
      <c r="C318" t="s">
        <v>33</v>
      </c>
      <c r="D318" t="s">
        <v>34</v>
      </c>
      <c r="E318" t="s">
        <v>35</v>
      </c>
      <c r="F318" t="s">
        <v>36</v>
      </c>
      <c r="G318">
        <v>1141685</v>
      </c>
      <c r="H318" t="s">
        <v>3065</v>
      </c>
      <c r="I318" t="s">
        <v>42</v>
      </c>
      <c r="J318" t="s">
        <v>3065</v>
      </c>
      <c r="K318" t="s">
        <v>3066</v>
      </c>
      <c r="L318" s="4">
        <v>46173</v>
      </c>
      <c r="M318" s="4">
        <v>46173</v>
      </c>
      <c r="N318">
        <v>1143.22</v>
      </c>
      <c r="O318" t="s">
        <v>59</v>
      </c>
      <c r="P318" t="s">
        <v>63</v>
      </c>
      <c r="Q318" t="s">
        <v>3876</v>
      </c>
      <c r="R318" t="s">
        <v>3877</v>
      </c>
      <c r="S318" t="s">
        <v>66</v>
      </c>
      <c r="T318" t="s">
        <v>3878</v>
      </c>
      <c r="U318" t="s">
        <v>3879</v>
      </c>
      <c r="V318">
        <v>7</v>
      </c>
      <c r="W318" s="2">
        <v>29016</v>
      </c>
    </row>
    <row r="319" spans="1:23" x14ac:dyDescent="0.25">
      <c r="A319" t="s">
        <v>31</v>
      </c>
      <c r="B319" t="s">
        <v>32</v>
      </c>
      <c r="C319" t="s">
        <v>33</v>
      </c>
      <c r="D319" t="s">
        <v>34</v>
      </c>
      <c r="E319" t="s">
        <v>35</v>
      </c>
      <c r="F319" t="s">
        <v>36</v>
      </c>
      <c r="G319">
        <v>1141685</v>
      </c>
      <c r="H319" t="s">
        <v>3065</v>
      </c>
      <c r="I319" t="s">
        <v>42</v>
      </c>
      <c r="J319" t="s">
        <v>3065</v>
      </c>
      <c r="K319" t="s">
        <v>3066</v>
      </c>
      <c r="L319" s="4">
        <v>46173</v>
      </c>
      <c r="M319" s="4">
        <v>46173</v>
      </c>
      <c r="N319">
        <v>1143.22</v>
      </c>
      <c r="O319" t="s">
        <v>59</v>
      </c>
      <c r="P319" t="s">
        <v>63</v>
      </c>
      <c r="Q319" t="s">
        <v>3876</v>
      </c>
      <c r="R319" t="s">
        <v>3877</v>
      </c>
      <c r="S319" t="s">
        <v>66</v>
      </c>
      <c r="T319" t="s">
        <v>3878</v>
      </c>
      <c r="U319" t="s">
        <v>3879</v>
      </c>
      <c r="V319">
        <v>7</v>
      </c>
      <c r="W319" s="2">
        <v>29016</v>
      </c>
    </row>
    <row r="320" spans="1:23" x14ac:dyDescent="0.25">
      <c r="A320" t="s">
        <v>31</v>
      </c>
      <c r="B320" t="s">
        <v>32</v>
      </c>
      <c r="C320" t="s">
        <v>33</v>
      </c>
      <c r="D320" t="s">
        <v>34</v>
      </c>
      <c r="E320" t="s">
        <v>35</v>
      </c>
      <c r="F320" t="s">
        <v>36</v>
      </c>
      <c r="G320">
        <v>1141685</v>
      </c>
      <c r="H320" t="s">
        <v>3065</v>
      </c>
      <c r="I320" t="s">
        <v>42</v>
      </c>
      <c r="J320" t="s">
        <v>3065</v>
      </c>
      <c r="K320" t="s">
        <v>3066</v>
      </c>
      <c r="L320" s="4">
        <v>46173</v>
      </c>
      <c r="M320" s="4">
        <v>46173</v>
      </c>
      <c r="N320">
        <v>1143.22</v>
      </c>
      <c r="O320" t="s">
        <v>59</v>
      </c>
      <c r="P320" t="s">
        <v>63</v>
      </c>
      <c r="Q320" t="s">
        <v>3876</v>
      </c>
      <c r="R320" t="s">
        <v>3877</v>
      </c>
      <c r="S320" t="s">
        <v>66</v>
      </c>
      <c r="T320" t="s">
        <v>3878</v>
      </c>
      <c r="U320" t="s">
        <v>3879</v>
      </c>
      <c r="V320">
        <v>7</v>
      </c>
      <c r="W320" s="2">
        <v>29016</v>
      </c>
    </row>
    <row r="321" spans="1:24" x14ac:dyDescent="0.25">
      <c r="A321" t="s">
        <v>31</v>
      </c>
      <c r="B321" s="5" t="s">
        <v>32</v>
      </c>
      <c r="C321" s="5" t="s">
        <v>33</v>
      </c>
      <c r="D321" s="5" t="s">
        <v>34</v>
      </c>
      <c r="E321" s="5" t="s">
        <v>35</v>
      </c>
      <c r="F321" s="5" t="s">
        <v>36</v>
      </c>
      <c r="G321" s="5">
        <v>1141685</v>
      </c>
      <c r="H321" s="5" t="s">
        <v>3880</v>
      </c>
      <c r="I321" s="5" t="str">
        <f t="shared" ref="I321:I323" si="0">IF(LEFT(K321,9)="Standard_","Reserved Instance Virtual Machine",IF(ISNUMBER(SEARCH("SQL Database Single/ElasticPool General Purpose - Compute Gen5",K321)),"Reserved Instance SQL Database",IF(ISNUMBER(SEARCH("SQL Database SingleDB/Elastic Pool Hyperscale - Compute Gen5",K321)),"Reserved Instance Hyperscale Serverless",IF(ISNUMBER(SEARCH("Azure Database for PostgreSQL Flexible Server General Purpose Ddsv4 Series Compute",K321)),"Reserved Instance PostgreSQL",IF(ISNUMBER(SEARCH("Azure Redis Cache Premium",K321)),"Reserved Instance Redis","Reserved Instance")))))</f>
        <v>Reserved Instance SQL Database</v>
      </c>
      <c r="J321" s="5" t="s">
        <v>3880</v>
      </c>
      <c r="K321" s="5" t="str">
        <f t="shared" ref="K321:K323" si="1">H321</f>
        <v>SQL Database Single/ElasticPool General Purpose - Compute Gen5</v>
      </c>
      <c r="L321" s="5" t="s">
        <v>3881</v>
      </c>
      <c r="M321" s="5" t="s">
        <v>3881</v>
      </c>
      <c r="N321" s="5">
        <f t="shared" ref="N321:N323" si="2">U321</f>
        <v>4</v>
      </c>
      <c r="O321" s="5" t="s">
        <v>3882</v>
      </c>
      <c r="P321" s="5" t="s">
        <v>63</v>
      </c>
      <c r="Q321" s="5" t="s">
        <v>3882</v>
      </c>
      <c r="R321" s="5" t="str">
        <f t="shared" ref="R321:R323" si="3">IF(LEFT(K321,9)="Standard_","Virtual Machine",IF(ISNUMBER(SEARCH("SQL Database Single/ElasticPool General Purpose - Compute Gen5",K321)),"SQL Database",IF(ISNUMBER(SEARCH("SQL Database SingleDB/Elastic Pool Hyperscale - Compute Gen5",K321)),"Hyperscale Serverless",IF(ISNUMBER(SEARCH("Azure Database for PostgreSQL Flexible Server General Purpose Ddsv4 Series Compute",K321)),"PostgreSQL",IF(ISNUMBER(SEARCH("Azure Redis Cache Premium",K321)),"Redis",K321)))))</f>
        <v>SQL Database</v>
      </c>
      <c r="S321" s="5" t="s">
        <v>67</v>
      </c>
      <c r="T321" s="5" t="s">
        <v>3882</v>
      </c>
      <c r="U321" s="5">
        <v>4</v>
      </c>
      <c r="V321" s="7">
        <v>1001385</v>
      </c>
      <c r="W321" s="6">
        <f>U321*V321</f>
        <v>4005540</v>
      </c>
      <c r="X321" t="s">
        <v>3888</v>
      </c>
    </row>
    <row r="322" spans="1:24" x14ac:dyDescent="0.25">
      <c r="A322" t="s">
        <v>31</v>
      </c>
      <c r="B322" s="5" t="s">
        <v>32</v>
      </c>
      <c r="C322" s="5" t="s">
        <v>33</v>
      </c>
      <c r="D322" s="5" t="s">
        <v>34</v>
      </c>
      <c r="E322" s="5" t="s">
        <v>3884</v>
      </c>
      <c r="F322" s="5" t="s">
        <v>36</v>
      </c>
      <c r="G322" s="5">
        <v>1141685</v>
      </c>
      <c r="H322" s="5" t="s">
        <v>3885</v>
      </c>
      <c r="I322" s="5" t="str">
        <f t="shared" si="0"/>
        <v>Reserved Instance Virtual Machine</v>
      </c>
      <c r="J322" s="5" t="s">
        <v>3885</v>
      </c>
      <c r="K322" s="5" t="str">
        <f t="shared" si="1"/>
        <v>Standard_D2s_v3</v>
      </c>
      <c r="L322" s="5" t="s">
        <v>3881</v>
      </c>
      <c r="M322" s="5" t="s">
        <v>3881</v>
      </c>
      <c r="N322" s="5">
        <f t="shared" si="2"/>
        <v>1</v>
      </c>
      <c r="O322" s="5" t="s">
        <v>3882</v>
      </c>
      <c r="P322" s="5" t="s">
        <v>63</v>
      </c>
      <c r="Q322" s="5" t="s">
        <v>3882</v>
      </c>
      <c r="R322" s="5" t="str">
        <f t="shared" si="3"/>
        <v>Virtual Machine</v>
      </c>
      <c r="S322" s="5" t="s">
        <v>67</v>
      </c>
      <c r="T322" s="5" t="s">
        <v>3882</v>
      </c>
      <c r="U322" s="5">
        <v>1</v>
      </c>
      <c r="V322" s="7">
        <v>565908.75</v>
      </c>
      <c r="W322" s="6">
        <f t="shared" ref="W322:W323" si="4">U322*V322</f>
        <v>565908.75</v>
      </c>
      <c r="X322" t="s">
        <v>3888</v>
      </c>
    </row>
    <row r="323" spans="1:24" x14ac:dyDescent="0.25">
      <c r="A323" t="s">
        <v>31</v>
      </c>
      <c r="B323" s="5" t="s">
        <v>32</v>
      </c>
      <c r="C323" s="5" t="s">
        <v>33</v>
      </c>
      <c r="D323" s="5" t="s">
        <v>34</v>
      </c>
      <c r="E323" s="5" t="s">
        <v>3886</v>
      </c>
      <c r="F323" s="5" t="s">
        <v>36</v>
      </c>
      <c r="G323" s="5">
        <v>1141685</v>
      </c>
      <c r="H323" s="5" t="s">
        <v>3887</v>
      </c>
      <c r="I323" s="5" t="str">
        <f t="shared" si="0"/>
        <v>Reserved Instance Virtual Machine</v>
      </c>
      <c r="J323" s="5" t="s">
        <v>3887</v>
      </c>
      <c r="K323" s="5" t="str">
        <f t="shared" si="1"/>
        <v>Standard_D4s_v3</v>
      </c>
      <c r="L323" s="5" t="s">
        <v>3881</v>
      </c>
      <c r="M323" s="5" t="s">
        <v>3881</v>
      </c>
      <c r="N323" s="5">
        <f t="shared" si="2"/>
        <v>4</v>
      </c>
      <c r="O323" s="5" t="s">
        <v>3882</v>
      </c>
      <c r="P323" s="5" t="s">
        <v>63</v>
      </c>
      <c r="Q323" s="5" t="s">
        <v>3882</v>
      </c>
      <c r="R323" s="5" t="str">
        <f t="shared" si="3"/>
        <v>Virtual Machine</v>
      </c>
      <c r="S323" s="5" t="s">
        <v>67</v>
      </c>
      <c r="T323" s="5" t="s">
        <v>3882</v>
      </c>
      <c r="U323" s="5">
        <v>4</v>
      </c>
      <c r="V323" s="7">
        <v>1131817.5</v>
      </c>
      <c r="W323" s="6">
        <f t="shared" si="4"/>
        <v>4527270</v>
      </c>
      <c r="X323" t="s">
        <v>3888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W364"/>
  <sheetViews>
    <sheetView workbookViewId="0">
      <selection sqref="A1:W364"/>
    </sheetView>
  </sheetViews>
  <sheetFormatPr defaultRowHeight="15" x14ac:dyDescent="0.25"/>
  <cols>
    <col min="23" max="23" width="15.5703125" bestFit="1" customWidth="1"/>
  </cols>
  <sheetData>
    <row r="1" spans="1:2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9</v>
      </c>
      <c r="S1" t="s">
        <v>27</v>
      </c>
      <c r="T1" t="s">
        <v>28</v>
      </c>
      <c r="U1" t="s">
        <v>29</v>
      </c>
      <c r="V1" t="s">
        <v>30</v>
      </c>
      <c r="W1" t="s">
        <v>8</v>
      </c>
    </row>
    <row r="2" spans="1:23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1141685</v>
      </c>
      <c r="H2" t="s">
        <v>76</v>
      </c>
      <c r="I2" t="s">
        <v>95</v>
      </c>
      <c r="J2" t="s">
        <v>99</v>
      </c>
      <c r="K2" t="s">
        <v>109</v>
      </c>
      <c r="L2" s="1">
        <v>46143</v>
      </c>
      <c r="M2" s="1">
        <v>46173</v>
      </c>
      <c r="N2">
        <v>8.3235000000000003E-2</v>
      </c>
      <c r="O2" t="s">
        <v>58</v>
      </c>
      <c r="P2" t="s">
        <v>63</v>
      </c>
      <c r="Q2" t="s">
        <v>877</v>
      </c>
      <c r="R2" t="s">
        <v>881</v>
      </c>
      <c r="S2" t="s">
        <v>67</v>
      </c>
      <c r="T2" t="s">
        <v>901</v>
      </c>
      <c r="U2" t="s">
        <v>1125</v>
      </c>
      <c r="V2">
        <v>15</v>
      </c>
      <c r="W2" s="2">
        <v>0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1141685</v>
      </c>
      <c r="H3" t="s">
        <v>77</v>
      </c>
      <c r="I3" t="s">
        <v>96</v>
      </c>
      <c r="J3" t="s">
        <v>77</v>
      </c>
      <c r="K3" t="s">
        <v>111</v>
      </c>
      <c r="L3" s="1">
        <v>46143</v>
      </c>
      <c r="M3" s="1">
        <v>46173</v>
      </c>
      <c r="N3">
        <v>2.012E-7</v>
      </c>
      <c r="O3" t="s">
        <v>56</v>
      </c>
      <c r="P3" t="s">
        <v>63</v>
      </c>
      <c r="Q3" t="s">
        <v>878</v>
      </c>
      <c r="R3" t="s">
        <v>882</v>
      </c>
      <c r="S3" t="s">
        <v>67</v>
      </c>
      <c r="T3" t="s">
        <v>902</v>
      </c>
      <c r="U3" t="s">
        <v>1126</v>
      </c>
      <c r="V3">
        <v>16</v>
      </c>
      <c r="W3" s="2">
        <v>3.0883799999999997E-5</v>
      </c>
    </row>
    <row r="4" spans="1:2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1141685</v>
      </c>
      <c r="H4" t="s">
        <v>76</v>
      </c>
      <c r="I4" t="s">
        <v>95</v>
      </c>
      <c r="J4" t="s">
        <v>99</v>
      </c>
      <c r="K4" t="s">
        <v>109</v>
      </c>
      <c r="L4" s="1">
        <v>46143</v>
      </c>
      <c r="M4" s="1">
        <v>46173</v>
      </c>
      <c r="N4">
        <v>134.63344599999999</v>
      </c>
      <c r="O4" t="s">
        <v>58</v>
      </c>
      <c r="P4" t="s">
        <v>63</v>
      </c>
      <c r="Q4" t="s">
        <v>877</v>
      </c>
      <c r="R4" t="s">
        <v>881</v>
      </c>
      <c r="S4" t="s">
        <v>67</v>
      </c>
      <c r="T4" t="s">
        <v>901</v>
      </c>
      <c r="U4" t="s">
        <v>1125</v>
      </c>
      <c r="V4">
        <v>15</v>
      </c>
      <c r="W4" s="2">
        <v>0</v>
      </c>
    </row>
    <row r="5" spans="1:23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1141685</v>
      </c>
      <c r="H5" t="s">
        <v>76</v>
      </c>
      <c r="I5" t="s">
        <v>95</v>
      </c>
      <c r="J5" t="s">
        <v>99</v>
      </c>
      <c r="K5" t="s">
        <v>109</v>
      </c>
      <c r="L5" s="1">
        <v>46143</v>
      </c>
      <c r="M5" s="1">
        <v>46173</v>
      </c>
      <c r="N5">
        <v>1.716661</v>
      </c>
      <c r="O5" t="s">
        <v>58</v>
      </c>
      <c r="P5" t="s">
        <v>63</v>
      </c>
      <c r="Q5" t="s">
        <v>877</v>
      </c>
      <c r="R5" t="s">
        <v>882</v>
      </c>
      <c r="S5" t="s">
        <v>67</v>
      </c>
      <c r="T5" t="s">
        <v>903</v>
      </c>
      <c r="U5" t="s">
        <v>1127</v>
      </c>
      <c r="V5">
        <v>15</v>
      </c>
      <c r="W5" s="2">
        <v>0</v>
      </c>
    </row>
    <row r="6" spans="1:23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1141685</v>
      </c>
      <c r="H6" t="s">
        <v>75</v>
      </c>
      <c r="I6" t="s">
        <v>94</v>
      </c>
      <c r="J6" t="s">
        <v>98</v>
      </c>
      <c r="K6" t="s">
        <v>108</v>
      </c>
      <c r="L6" s="1">
        <v>46143</v>
      </c>
      <c r="M6" s="1">
        <v>46173</v>
      </c>
      <c r="N6">
        <v>0.17002122480000001</v>
      </c>
      <c r="O6" t="s">
        <v>56</v>
      </c>
      <c r="P6" t="s">
        <v>63</v>
      </c>
      <c r="Q6" t="s">
        <v>878</v>
      </c>
      <c r="R6" t="s">
        <v>882</v>
      </c>
      <c r="S6" t="s">
        <v>67</v>
      </c>
      <c r="T6" t="s">
        <v>904</v>
      </c>
      <c r="U6" t="s">
        <v>1128</v>
      </c>
      <c r="V6">
        <v>16</v>
      </c>
      <c r="W6" s="2">
        <v>355.9396943365</v>
      </c>
    </row>
    <row r="7" spans="1:23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1141685</v>
      </c>
      <c r="H7" t="s">
        <v>75</v>
      </c>
      <c r="I7" t="s">
        <v>94</v>
      </c>
      <c r="J7" t="s">
        <v>98</v>
      </c>
      <c r="K7" t="s">
        <v>108</v>
      </c>
      <c r="L7" s="1">
        <v>46143</v>
      </c>
      <c r="M7" s="1">
        <v>46173</v>
      </c>
      <c r="N7">
        <v>0.22347718289999999</v>
      </c>
      <c r="O7" t="s">
        <v>56</v>
      </c>
      <c r="P7" t="s">
        <v>63</v>
      </c>
      <c r="Q7" t="s">
        <v>878</v>
      </c>
      <c r="R7" t="s">
        <v>882</v>
      </c>
      <c r="S7" t="s">
        <v>67</v>
      </c>
      <c r="T7" t="s">
        <v>905</v>
      </c>
      <c r="U7" t="s">
        <v>1129</v>
      </c>
      <c r="V7">
        <v>15</v>
      </c>
      <c r="W7" s="2">
        <v>442.7864982214</v>
      </c>
    </row>
    <row r="8" spans="1:23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1141685</v>
      </c>
      <c r="H8" t="s">
        <v>76</v>
      </c>
      <c r="I8" t="s">
        <v>95</v>
      </c>
      <c r="J8" t="s">
        <v>99</v>
      </c>
      <c r="K8" t="s">
        <v>109</v>
      </c>
      <c r="L8" s="1">
        <v>46143</v>
      </c>
      <c r="M8" s="1">
        <v>46173</v>
      </c>
      <c r="N8">
        <v>0.20000299999999999</v>
      </c>
      <c r="O8" t="s">
        <v>58</v>
      </c>
      <c r="P8" t="s">
        <v>63</v>
      </c>
      <c r="Q8" t="s">
        <v>877</v>
      </c>
      <c r="R8" t="s">
        <v>882</v>
      </c>
      <c r="S8" t="s">
        <v>67</v>
      </c>
      <c r="T8" t="s">
        <v>906</v>
      </c>
      <c r="U8" t="s">
        <v>1130</v>
      </c>
      <c r="V8">
        <v>16</v>
      </c>
      <c r="W8" s="2">
        <v>0</v>
      </c>
    </row>
    <row r="9" spans="1:23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1141685</v>
      </c>
      <c r="H9" t="s">
        <v>82</v>
      </c>
      <c r="I9" t="s">
        <v>82</v>
      </c>
      <c r="J9" t="s">
        <v>82</v>
      </c>
      <c r="K9" t="s">
        <v>118</v>
      </c>
      <c r="L9" s="1">
        <v>46143</v>
      </c>
      <c r="M9" s="1">
        <v>46173</v>
      </c>
      <c r="N9">
        <v>0.13130700000000001</v>
      </c>
      <c r="O9" t="s">
        <v>60</v>
      </c>
      <c r="P9" t="s">
        <v>63</v>
      </c>
      <c r="Q9" t="s">
        <v>879</v>
      </c>
      <c r="R9" t="s">
        <v>149</v>
      </c>
      <c r="S9" t="s">
        <v>68</v>
      </c>
      <c r="T9" t="s">
        <v>907</v>
      </c>
      <c r="U9" t="s">
        <v>1131</v>
      </c>
      <c r="V9">
        <v>7</v>
      </c>
      <c r="W9" s="2">
        <v>916.31523653860006</v>
      </c>
    </row>
    <row r="10" spans="1:23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1141685</v>
      </c>
      <c r="H10" t="s">
        <v>76</v>
      </c>
      <c r="I10" t="s">
        <v>95</v>
      </c>
      <c r="J10" t="s">
        <v>99</v>
      </c>
      <c r="K10" t="s">
        <v>109</v>
      </c>
      <c r="L10" s="1">
        <v>46143</v>
      </c>
      <c r="M10" s="1">
        <v>46173</v>
      </c>
      <c r="N10">
        <v>53.133333</v>
      </c>
      <c r="O10" t="s">
        <v>58</v>
      </c>
      <c r="P10" t="s">
        <v>63</v>
      </c>
      <c r="Q10" t="s">
        <v>877</v>
      </c>
      <c r="R10" t="s">
        <v>882</v>
      </c>
      <c r="S10" t="s">
        <v>67</v>
      </c>
      <c r="T10" t="s">
        <v>903</v>
      </c>
      <c r="U10" t="s">
        <v>1127</v>
      </c>
      <c r="V10">
        <v>15</v>
      </c>
      <c r="W10" s="2">
        <v>0</v>
      </c>
    </row>
    <row r="11" spans="1:23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1141685</v>
      </c>
      <c r="H11" t="s">
        <v>76</v>
      </c>
      <c r="I11" t="s">
        <v>95</v>
      </c>
      <c r="J11" t="s">
        <v>99</v>
      </c>
      <c r="K11" t="s">
        <v>109</v>
      </c>
      <c r="L11" s="1">
        <v>46143</v>
      </c>
      <c r="M11" s="1">
        <v>46173</v>
      </c>
      <c r="N11">
        <v>10.183099</v>
      </c>
      <c r="O11" t="s">
        <v>58</v>
      </c>
      <c r="P11" t="s">
        <v>63</v>
      </c>
      <c r="Q11" t="s">
        <v>877</v>
      </c>
      <c r="R11" t="s">
        <v>882</v>
      </c>
      <c r="S11" t="s">
        <v>67</v>
      </c>
      <c r="T11" t="s">
        <v>906</v>
      </c>
      <c r="U11" t="s">
        <v>1130</v>
      </c>
      <c r="V11">
        <v>16</v>
      </c>
      <c r="W11" s="2">
        <v>0</v>
      </c>
    </row>
    <row r="12" spans="1:23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1141685</v>
      </c>
      <c r="H12" t="s">
        <v>76</v>
      </c>
      <c r="I12" t="s">
        <v>95</v>
      </c>
      <c r="J12" t="s">
        <v>99</v>
      </c>
      <c r="K12" t="s">
        <v>109</v>
      </c>
      <c r="L12" s="1">
        <v>46143</v>
      </c>
      <c r="M12" s="1">
        <v>46173</v>
      </c>
      <c r="N12">
        <v>1.966704</v>
      </c>
      <c r="O12" t="s">
        <v>58</v>
      </c>
      <c r="P12" t="s">
        <v>63</v>
      </c>
      <c r="Q12" t="s">
        <v>877</v>
      </c>
      <c r="R12" t="s">
        <v>882</v>
      </c>
      <c r="S12" t="s">
        <v>67</v>
      </c>
      <c r="T12" t="s">
        <v>906</v>
      </c>
      <c r="U12" t="s">
        <v>1130</v>
      </c>
      <c r="V12">
        <v>16</v>
      </c>
      <c r="W12" s="2">
        <v>0</v>
      </c>
    </row>
    <row r="13" spans="1:23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1141685</v>
      </c>
      <c r="H13" t="s">
        <v>80</v>
      </c>
      <c r="I13" t="s">
        <v>96</v>
      </c>
      <c r="J13" t="s">
        <v>80</v>
      </c>
      <c r="K13" t="s">
        <v>122</v>
      </c>
      <c r="L13" s="1">
        <v>46143</v>
      </c>
      <c r="M13" s="1">
        <v>46173</v>
      </c>
      <c r="N13">
        <v>3.8052900000000003E-5</v>
      </c>
      <c r="O13" t="s">
        <v>56</v>
      </c>
      <c r="P13" t="s">
        <v>63</v>
      </c>
      <c r="Q13" t="s">
        <v>878</v>
      </c>
      <c r="R13" t="s">
        <v>881</v>
      </c>
      <c r="S13" t="s">
        <v>67</v>
      </c>
      <c r="T13" t="s">
        <v>908</v>
      </c>
      <c r="U13" t="s">
        <v>1132</v>
      </c>
      <c r="V13">
        <v>16</v>
      </c>
      <c r="W13" s="2">
        <v>5.8420651000000001E-3</v>
      </c>
    </row>
    <row r="14" spans="1:23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1141685</v>
      </c>
      <c r="H14" t="s">
        <v>80</v>
      </c>
      <c r="I14" t="s">
        <v>96</v>
      </c>
      <c r="J14" t="s">
        <v>80</v>
      </c>
      <c r="K14" t="s">
        <v>122</v>
      </c>
      <c r="L14" s="1">
        <v>46143</v>
      </c>
      <c r="M14" s="1">
        <v>46173</v>
      </c>
      <c r="N14">
        <v>2.6276890000000001E-4</v>
      </c>
      <c r="O14" t="s">
        <v>56</v>
      </c>
      <c r="P14" t="s">
        <v>63</v>
      </c>
      <c r="Q14" t="s">
        <v>878</v>
      </c>
      <c r="R14" t="s">
        <v>882</v>
      </c>
      <c r="S14" t="s">
        <v>67</v>
      </c>
      <c r="T14" t="s">
        <v>909</v>
      </c>
      <c r="U14" t="s">
        <v>1133</v>
      </c>
      <c r="V14">
        <v>16</v>
      </c>
      <c r="W14" s="2">
        <v>5.0341548799999997E-2</v>
      </c>
    </row>
    <row r="15" spans="1:23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1141685</v>
      </c>
      <c r="H15" t="s">
        <v>77</v>
      </c>
      <c r="I15" t="s">
        <v>96</v>
      </c>
      <c r="J15" t="s">
        <v>77</v>
      </c>
      <c r="K15" t="s">
        <v>111</v>
      </c>
      <c r="L15" s="1">
        <v>46143</v>
      </c>
      <c r="M15" s="1">
        <v>46173</v>
      </c>
      <c r="N15">
        <v>18.175314083699998</v>
      </c>
      <c r="O15" t="s">
        <v>56</v>
      </c>
      <c r="P15" t="s">
        <v>63</v>
      </c>
      <c r="Q15" t="s">
        <v>878</v>
      </c>
      <c r="R15" t="s">
        <v>882</v>
      </c>
      <c r="S15" t="s">
        <v>67</v>
      </c>
      <c r="T15" t="s">
        <v>910</v>
      </c>
      <c r="U15" t="s">
        <v>1134</v>
      </c>
      <c r="V15">
        <v>15</v>
      </c>
      <c r="W15" s="2">
        <v>3170.8614596365001</v>
      </c>
    </row>
    <row r="16" spans="1:23" x14ac:dyDescent="0.25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1141685</v>
      </c>
      <c r="H16" t="s">
        <v>76</v>
      </c>
      <c r="I16" t="s">
        <v>95</v>
      </c>
      <c r="J16" t="s">
        <v>99</v>
      </c>
      <c r="K16" t="s">
        <v>109</v>
      </c>
      <c r="L16" s="1">
        <v>46143</v>
      </c>
      <c r="M16" s="1">
        <v>46173</v>
      </c>
      <c r="N16">
        <v>61.733285000000002</v>
      </c>
      <c r="O16" t="s">
        <v>58</v>
      </c>
      <c r="P16" t="s">
        <v>63</v>
      </c>
      <c r="Q16" t="s">
        <v>877</v>
      </c>
      <c r="R16" t="s">
        <v>882</v>
      </c>
      <c r="S16" t="s">
        <v>67</v>
      </c>
      <c r="T16" t="s">
        <v>906</v>
      </c>
      <c r="U16" t="s">
        <v>1130</v>
      </c>
      <c r="V16">
        <v>16</v>
      </c>
      <c r="W16" s="2">
        <v>0</v>
      </c>
    </row>
    <row r="17" spans="1:23" x14ac:dyDescent="0.25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1141685</v>
      </c>
      <c r="H17" t="s">
        <v>76</v>
      </c>
      <c r="I17" t="s">
        <v>95</v>
      </c>
      <c r="J17" t="s">
        <v>99</v>
      </c>
      <c r="K17" t="s">
        <v>109</v>
      </c>
      <c r="L17" s="1">
        <v>46143</v>
      </c>
      <c r="M17" s="1">
        <v>46173</v>
      </c>
      <c r="N17">
        <v>166.75035500000001</v>
      </c>
      <c r="O17" t="s">
        <v>58</v>
      </c>
      <c r="P17" t="s">
        <v>63</v>
      </c>
      <c r="Q17" t="s">
        <v>877</v>
      </c>
      <c r="R17" t="s">
        <v>881</v>
      </c>
      <c r="S17" t="s">
        <v>67</v>
      </c>
      <c r="T17" t="s">
        <v>911</v>
      </c>
      <c r="U17" t="s">
        <v>1135</v>
      </c>
      <c r="V17">
        <v>16</v>
      </c>
      <c r="W17" s="2">
        <v>0</v>
      </c>
    </row>
    <row r="18" spans="1:23" x14ac:dyDescent="0.2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1141685</v>
      </c>
      <c r="H18" t="s">
        <v>77</v>
      </c>
      <c r="I18" t="s">
        <v>96</v>
      </c>
      <c r="J18" t="s">
        <v>77</v>
      </c>
      <c r="K18" t="s">
        <v>113</v>
      </c>
      <c r="L18" s="1">
        <v>46143</v>
      </c>
      <c r="M18" s="1">
        <v>46173</v>
      </c>
      <c r="N18">
        <v>90.551343060999997</v>
      </c>
      <c r="O18" t="s">
        <v>56</v>
      </c>
      <c r="P18" t="s">
        <v>63</v>
      </c>
      <c r="Q18" t="s">
        <v>878</v>
      </c>
      <c r="R18" t="s">
        <v>881</v>
      </c>
      <c r="S18" t="s">
        <v>67</v>
      </c>
      <c r="T18" t="s">
        <v>912</v>
      </c>
      <c r="U18" t="s">
        <v>1136</v>
      </c>
      <c r="V18">
        <v>16</v>
      </c>
      <c r="W18" s="2">
        <v>15797.586833175999</v>
      </c>
    </row>
    <row r="19" spans="1:23" x14ac:dyDescent="0.2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1141685</v>
      </c>
      <c r="H19" t="s">
        <v>77</v>
      </c>
      <c r="I19" t="s">
        <v>96</v>
      </c>
      <c r="J19" t="s">
        <v>77</v>
      </c>
      <c r="K19" t="s">
        <v>113</v>
      </c>
      <c r="L19" s="1">
        <v>46143</v>
      </c>
      <c r="M19" s="1">
        <v>46173</v>
      </c>
      <c r="N19">
        <v>167.724127138</v>
      </c>
      <c r="O19" t="s">
        <v>56</v>
      </c>
      <c r="P19" t="s">
        <v>63</v>
      </c>
      <c r="Q19" t="s">
        <v>878</v>
      </c>
      <c r="R19" t="s">
        <v>882</v>
      </c>
      <c r="S19" t="s">
        <v>67</v>
      </c>
      <c r="T19" t="s">
        <v>913</v>
      </c>
      <c r="U19" t="s">
        <v>1137</v>
      </c>
      <c r="V19">
        <v>15</v>
      </c>
      <c r="W19" s="2">
        <v>29261.153074041202</v>
      </c>
    </row>
    <row r="20" spans="1:23" x14ac:dyDescent="0.25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1141685</v>
      </c>
      <c r="H20" t="s">
        <v>78</v>
      </c>
      <c r="I20" t="s">
        <v>96</v>
      </c>
      <c r="J20" t="s">
        <v>100</v>
      </c>
      <c r="K20" t="s">
        <v>112</v>
      </c>
      <c r="L20" s="1">
        <v>46143</v>
      </c>
      <c r="M20" s="1">
        <v>46173</v>
      </c>
      <c r="N20">
        <v>744</v>
      </c>
      <c r="O20" t="s">
        <v>58</v>
      </c>
      <c r="P20" t="s">
        <v>63</v>
      </c>
      <c r="Q20" t="s">
        <v>878</v>
      </c>
      <c r="R20" t="s">
        <v>883</v>
      </c>
      <c r="S20" t="s">
        <v>67</v>
      </c>
      <c r="T20" t="s">
        <v>914</v>
      </c>
      <c r="U20" t="s">
        <v>1138</v>
      </c>
      <c r="V20">
        <v>14</v>
      </c>
      <c r="W20" s="2">
        <v>64899.115599999997</v>
      </c>
    </row>
    <row r="21" spans="1:23" x14ac:dyDescent="0.2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1141685</v>
      </c>
      <c r="H21" t="s">
        <v>77</v>
      </c>
      <c r="I21" t="s">
        <v>96</v>
      </c>
      <c r="J21" t="s">
        <v>77</v>
      </c>
      <c r="K21" t="s">
        <v>111</v>
      </c>
      <c r="L21" s="1">
        <v>46143</v>
      </c>
      <c r="M21" s="1">
        <v>46173</v>
      </c>
      <c r="N21">
        <v>50.393332799</v>
      </c>
      <c r="O21" t="s">
        <v>56</v>
      </c>
      <c r="P21" t="s">
        <v>63</v>
      </c>
      <c r="Q21" t="s">
        <v>878</v>
      </c>
      <c r="R21" t="s">
        <v>882</v>
      </c>
      <c r="S21" t="s">
        <v>67</v>
      </c>
      <c r="T21" t="s">
        <v>915</v>
      </c>
      <c r="U21" t="s">
        <v>1139</v>
      </c>
      <c r="V21">
        <v>16</v>
      </c>
      <c r="W21" s="2">
        <v>8791.6163392946</v>
      </c>
    </row>
    <row r="22" spans="1:23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1141685</v>
      </c>
      <c r="H22" t="s">
        <v>77</v>
      </c>
      <c r="I22" t="s">
        <v>96</v>
      </c>
      <c r="J22" t="s">
        <v>77</v>
      </c>
      <c r="K22" t="s">
        <v>111</v>
      </c>
      <c r="L22" s="1">
        <v>46143</v>
      </c>
      <c r="M22" s="1">
        <v>46173</v>
      </c>
      <c r="N22">
        <v>1.13276374E-2</v>
      </c>
      <c r="O22" t="s">
        <v>56</v>
      </c>
      <c r="P22" t="s">
        <v>63</v>
      </c>
      <c r="Q22" t="s">
        <v>878</v>
      </c>
      <c r="R22" t="s">
        <v>882</v>
      </c>
      <c r="S22" t="s">
        <v>67</v>
      </c>
      <c r="T22" t="s">
        <v>916</v>
      </c>
      <c r="U22" t="s">
        <v>1140</v>
      </c>
      <c r="V22">
        <v>16</v>
      </c>
      <c r="W22" s="2">
        <v>1.9790732600000001</v>
      </c>
    </row>
    <row r="23" spans="1:23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1141685</v>
      </c>
      <c r="H23" t="s">
        <v>80</v>
      </c>
      <c r="I23" t="s">
        <v>96</v>
      </c>
      <c r="J23" t="s">
        <v>80</v>
      </c>
      <c r="K23" t="s">
        <v>122</v>
      </c>
      <c r="L23" s="1">
        <v>46143</v>
      </c>
      <c r="M23" s="1">
        <v>46173</v>
      </c>
      <c r="N23">
        <v>1.0222801734</v>
      </c>
      <c r="O23" t="s">
        <v>56</v>
      </c>
      <c r="P23" t="s">
        <v>63</v>
      </c>
      <c r="Q23" t="s">
        <v>878</v>
      </c>
      <c r="R23" t="s">
        <v>882</v>
      </c>
      <c r="S23" t="s">
        <v>67</v>
      </c>
      <c r="T23" t="s">
        <v>917</v>
      </c>
      <c r="U23" t="s">
        <v>1141</v>
      </c>
      <c r="V23">
        <v>16</v>
      </c>
      <c r="W23" s="2">
        <v>178.34535915999999</v>
      </c>
    </row>
    <row r="24" spans="1:23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1141685</v>
      </c>
      <c r="H24" t="s">
        <v>79</v>
      </c>
      <c r="I24" t="s">
        <v>94</v>
      </c>
      <c r="J24" t="s">
        <v>101</v>
      </c>
      <c r="K24" t="s">
        <v>116</v>
      </c>
      <c r="L24" s="1">
        <v>46143</v>
      </c>
      <c r="M24" s="1">
        <v>46173</v>
      </c>
      <c r="N24">
        <v>0.21158827660000001</v>
      </c>
      <c r="O24" t="s">
        <v>56</v>
      </c>
      <c r="P24" t="s">
        <v>63</v>
      </c>
      <c r="Q24" t="s">
        <v>878</v>
      </c>
      <c r="R24" t="s">
        <v>881</v>
      </c>
      <c r="S24" t="s">
        <v>67</v>
      </c>
      <c r="T24" t="s">
        <v>918</v>
      </c>
      <c r="U24" t="s">
        <v>1142</v>
      </c>
      <c r="V24">
        <v>16</v>
      </c>
      <c r="W24" s="2">
        <v>295.31238271569998</v>
      </c>
    </row>
    <row r="25" spans="1:23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1141685</v>
      </c>
      <c r="H25" t="s">
        <v>79</v>
      </c>
      <c r="I25" t="s">
        <v>94</v>
      </c>
      <c r="J25" t="s">
        <v>101</v>
      </c>
      <c r="K25" t="s">
        <v>116</v>
      </c>
      <c r="L25" s="1">
        <v>46143</v>
      </c>
      <c r="M25" s="1">
        <v>46173</v>
      </c>
      <c r="N25">
        <v>4.1023799999999998E-5</v>
      </c>
      <c r="O25" t="s">
        <v>56</v>
      </c>
      <c r="P25" t="s">
        <v>63</v>
      </c>
      <c r="Q25" t="s">
        <v>878</v>
      </c>
      <c r="R25" t="s">
        <v>881</v>
      </c>
      <c r="S25" t="s">
        <v>67</v>
      </c>
      <c r="T25" t="s">
        <v>919</v>
      </c>
      <c r="U25" t="s">
        <v>1143</v>
      </c>
      <c r="V25">
        <v>16</v>
      </c>
      <c r="W25" s="2">
        <v>6.0385399999999999E-2</v>
      </c>
    </row>
    <row r="26" spans="1:23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1141685</v>
      </c>
      <c r="H26" t="s">
        <v>79</v>
      </c>
      <c r="I26" t="s">
        <v>94</v>
      </c>
      <c r="J26" t="s">
        <v>101</v>
      </c>
      <c r="K26" t="s">
        <v>116</v>
      </c>
      <c r="L26" s="1">
        <v>46143</v>
      </c>
      <c r="M26" s="1">
        <v>46173</v>
      </c>
      <c r="N26">
        <v>1.992369E-4</v>
      </c>
      <c r="O26" t="s">
        <v>56</v>
      </c>
      <c r="P26" t="s">
        <v>63</v>
      </c>
      <c r="Q26" t="s">
        <v>878</v>
      </c>
      <c r="R26" t="s">
        <v>882</v>
      </c>
      <c r="S26" t="s">
        <v>67</v>
      </c>
      <c r="T26" t="s">
        <v>920</v>
      </c>
      <c r="U26" t="s">
        <v>1144</v>
      </c>
      <c r="V26">
        <v>16</v>
      </c>
      <c r="W26" s="2">
        <v>0.27470245049999997</v>
      </c>
    </row>
    <row r="27" spans="1:23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1141685</v>
      </c>
      <c r="H27" t="s">
        <v>87</v>
      </c>
      <c r="I27" t="s">
        <v>87</v>
      </c>
      <c r="J27" t="s">
        <v>87</v>
      </c>
      <c r="K27" t="s">
        <v>131</v>
      </c>
      <c r="L27" s="1">
        <v>46143</v>
      </c>
      <c r="M27" s="1">
        <v>46173</v>
      </c>
      <c r="N27">
        <v>3201.9529068498</v>
      </c>
      <c r="O27" t="s">
        <v>56</v>
      </c>
      <c r="P27" t="s">
        <v>63</v>
      </c>
      <c r="Q27" t="s">
        <v>878</v>
      </c>
      <c r="R27" t="s">
        <v>164</v>
      </c>
      <c r="S27" t="s">
        <v>67</v>
      </c>
      <c r="T27" t="s">
        <v>921</v>
      </c>
      <c r="U27" t="s">
        <v>1145</v>
      </c>
      <c r="V27">
        <v>12</v>
      </c>
      <c r="W27" s="2">
        <v>279306.34981676663</v>
      </c>
    </row>
    <row r="28" spans="1:23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1141685</v>
      </c>
      <c r="H28" t="s">
        <v>79</v>
      </c>
      <c r="I28" t="s">
        <v>94</v>
      </c>
      <c r="J28" t="s">
        <v>101</v>
      </c>
      <c r="K28" t="s">
        <v>114</v>
      </c>
      <c r="L28" s="1">
        <v>46143</v>
      </c>
      <c r="M28" s="1">
        <v>46173</v>
      </c>
      <c r="N28">
        <v>2.5881836000000002E-3</v>
      </c>
      <c r="O28" t="s">
        <v>56</v>
      </c>
      <c r="P28" t="s">
        <v>63</v>
      </c>
      <c r="Q28" t="s">
        <v>878</v>
      </c>
      <c r="R28" t="s">
        <v>884</v>
      </c>
      <c r="S28" t="s">
        <v>67</v>
      </c>
      <c r="T28" t="s">
        <v>922</v>
      </c>
      <c r="U28" t="s">
        <v>1146</v>
      </c>
      <c r="V28">
        <v>17</v>
      </c>
      <c r="W28" s="2">
        <v>3.6088029775999999</v>
      </c>
    </row>
    <row r="29" spans="1:23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1141685</v>
      </c>
      <c r="H29" t="s">
        <v>79</v>
      </c>
      <c r="I29" t="s">
        <v>94</v>
      </c>
      <c r="J29" t="s">
        <v>101</v>
      </c>
      <c r="K29" t="s">
        <v>114</v>
      </c>
      <c r="L29" s="1">
        <v>46143</v>
      </c>
      <c r="M29" s="1">
        <v>46173</v>
      </c>
      <c r="N29">
        <v>3.9120000000000001E-7</v>
      </c>
      <c r="O29" t="s">
        <v>56</v>
      </c>
      <c r="P29" t="s">
        <v>63</v>
      </c>
      <c r="Q29" t="s">
        <v>878</v>
      </c>
      <c r="R29" t="s">
        <v>881</v>
      </c>
      <c r="S29" t="s">
        <v>67</v>
      </c>
      <c r="T29" t="s">
        <v>923</v>
      </c>
      <c r="U29" t="s">
        <v>1147</v>
      </c>
      <c r="V29">
        <v>16</v>
      </c>
      <c r="W29" s="2">
        <v>4.8041650000000001E-4</v>
      </c>
    </row>
    <row r="30" spans="1:23" x14ac:dyDescent="0.25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1141685</v>
      </c>
      <c r="H30" t="s">
        <v>76</v>
      </c>
      <c r="I30" t="s">
        <v>95</v>
      </c>
      <c r="J30" t="s">
        <v>99</v>
      </c>
      <c r="K30" t="s">
        <v>109</v>
      </c>
      <c r="L30" s="1">
        <v>46143</v>
      </c>
      <c r="M30" s="1">
        <v>46173</v>
      </c>
      <c r="N30">
        <v>3.2164429999999999</v>
      </c>
      <c r="O30" t="s">
        <v>58</v>
      </c>
      <c r="P30" t="s">
        <v>63</v>
      </c>
      <c r="Q30" t="s">
        <v>877</v>
      </c>
      <c r="R30" t="s">
        <v>881</v>
      </c>
      <c r="S30" t="s">
        <v>67</v>
      </c>
      <c r="T30" t="s">
        <v>911</v>
      </c>
      <c r="U30" t="s">
        <v>1135</v>
      </c>
      <c r="V30">
        <v>16</v>
      </c>
      <c r="W30" s="2">
        <v>0</v>
      </c>
    </row>
    <row r="31" spans="1:23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1141685</v>
      </c>
      <c r="H31" t="s">
        <v>80</v>
      </c>
      <c r="I31" t="s">
        <v>96</v>
      </c>
      <c r="J31" t="s">
        <v>80</v>
      </c>
      <c r="K31" t="s">
        <v>122</v>
      </c>
      <c r="L31" s="1">
        <v>46143</v>
      </c>
      <c r="M31" s="1">
        <v>46173</v>
      </c>
      <c r="N31">
        <v>0.59314358050000004</v>
      </c>
      <c r="O31" t="s">
        <v>56</v>
      </c>
      <c r="P31" t="s">
        <v>63</v>
      </c>
      <c r="Q31" t="s">
        <v>878</v>
      </c>
      <c r="R31" t="s">
        <v>882</v>
      </c>
      <c r="S31" t="s">
        <v>67</v>
      </c>
      <c r="T31" t="s">
        <v>924</v>
      </c>
      <c r="U31" t="s">
        <v>1148</v>
      </c>
      <c r="V31">
        <v>16</v>
      </c>
      <c r="W31" s="2">
        <v>103.4822495641</v>
      </c>
    </row>
    <row r="32" spans="1:23" x14ac:dyDescent="0.25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1141685</v>
      </c>
      <c r="H32" t="s">
        <v>77</v>
      </c>
      <c r="I32" t="s">
        <v>96</v>
      </c>
      <c r="J32" t="s">
        <v>77</v>
      </c>
      <c r="K32" t="s">
        <v>113</v>
      </c>
      <c r="L32" s="1">
        <v>46143</v>
      </c>
      <c r="M32" s="1">
        <v>46173</v>
      </c>
      <c r="N32">
        <v>179.71930365450001</v>
      </c>
      <c r="O32" t="s">
        <v>56</v>
      </c>
      <c r="P32" t="s">
        <v>63</v>
      </c>
      <c r="Q32" t="s">
        <v>878</v>
      </c>
      <c r="R32" t="s">
        <v>882</v>
      </c>
      <c r="S32" t="s">
        <v>67</v>
      </c>
      <c r="T32" t="s">
        <v>925</v>
      </c>
      <c r="U32" t="s">
        <v>1149</v>
      </c>
      <c r="V32">
        <v>15</v>
      </c>
      <c r="W32" s="2">
        <v>31353.830149697402</v>
      </c>
    </row>
    <row r="33" spans="1:23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1141685</v>
      </c>
      <c r="H33" t="s">
        <v>76</v>
      </c>
      <c r="I33" t="s">
        <v>95</v>
      </c>
      <c r="J33" t="s">
        <v>99</v>
      </c>
      <c r="K33" t="s">
        <v>109</v>
      </c>
      <c r="L33" s="1">
        <v>46143</v>
      </c>
      <c r="M33" s="1">
        <v>46173</v>
      </c>
      <c r="N33">
        <v>0.53334300000000001</v>
      </c>
      <c r="O33" t="s">
        <v>58</v>
      </c>
      <c r="P33" t="s">
        <v>63</v>
      </c>
      <c r="Q33" t="s">
        <v>877</v>
      </c>
      <c r="R33" t="s">
        <v>882</v>
      </c>
      <c r="S33" t="s">
        <v>67</v>
      </c>
      <c r="T33" t="s">
        <v>906</v>
      </c>
      <c r="U33" t="s">
        <v>1130</v>
      </c>
      <c r="V33">
        <v>16</v>
      </c>
      <c r="W33" s="2">
        <v>0</v>
      </c>
    </row>
    <row r="34" spans="1:23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>
        <v>1141685</v>
      </c>
      <c r="H34" t="s">
        <v>76</v>
      </c>
      <c r="I34" t="s">
        <v>95</v>
      </c>
      <c r="J34" t="s">
        <v>99</v>
      </c>
      <c r="K34" t="s">
        <v>109</v>
      </c>
      <c r="L34" s="1">
        <v>46143</v>
      </c>
      <c r="M34" s="1">
        <v>46173</v>
      </c>
      <c r="N34">
        <v>1.966704</v>
      </c>
      <c r="O34" t="s">
        <v>58</v>
      </c>
      <c r="P34" t="s">
        <v>63</v>
      </c>
      <c r="Q34" t="s">
        <v>877</v>
      </c>
      <c r="R34" t="s">
        <v>882</v>
      </c>
      <c r="S34" t="s">
        <v>67</v>
      </c>
      <c r="T34" t="s">
        <v>906</v>
      </c>
      <c r="U34" t="s">
        <v>1130</v>
      </c>
      <c r="V34">
        <v>16</v>
      </c>
      <c r="W34" s="2">
        <v>0</v>
      </c>
    </row>
    <row r="35" spans="1:23" x14ac:dyDescent="0.25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>
        <v>1141685</v>
      </c>
      <c r="H35" t="s">
        <v>79</v>
      </c>
      <c r="I35" t="s">
        <v>94</v>
      </c>
      <c r="J35" t="s">
        <v>101</v>
      </c>
      <c r="K35" t="s">
        <v>114</v>
      </c>
      <c r="L35" s="1">
        <v>46143</v>
      </c>
      <c r="M35" s="1">
        <v>46173</v>
      </c>
      <c r="N35">
        <v>0.37760590109999997</v>
      </c>
      <c r="O35" t="s">
        <v>56</v>
      </c>
      <c r="P35" t="s">
        <v>63</v>
      </c>
      <c r="Q35" t="s">
        <v>878</v>
      </c>
      <c r="R35" t="s">
        <v>882</v>
      </c>
      <c r="S35" t="s">
        <v>67</v>
      </c>
      <c r="T35" t="s">
        <v>926</v>
      </c>
      <c r="U35" t="s">
        <v>1150</v>
      </c>
      <c r="V35">
        <v>15</v>
      </c>
      <c r="W35" s="2">
        <v>527.01496356079997</v>
      </c>
    </row>
    <row r="36" spans="1:23" x14ac:dyDescent="0.25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>
        <v>1141685</v>
      </c>
      <c r="H36" t="s">
        <v>77</v>
      </c>
      <c r="I36" t="s">
        <v>96</v>
      </c>
      <c r="J36" t="s">
        <v>77</v>
      </c>
      <c r="K36" t="s">
        <v>111</v>
      </c>
      <c r="L36" s="1">
        <v>46143</v>
      </c>
      <c r="M36" s="1">
        <v>46173</v>
      </c>
      <c r="N36">
        <v>2.36553345E-2</v>
      </c>
      <c r="O36" t="s">
        <v>56</v>
      </c>
      <c r="P36" t="s">
        <v>63</v>
      </c>
      <c r="Q36" t="s">
        <v>878</v>
      </c>
      <c r="R36" t="s">
        <v>882</v>
      </c>
      <c r="S36" t="s">
        <v>67</v>
      </c>
      <c r="T36" t="s">
        <v>927</v>
      </c>
      <c r="U36" t="s">
        <v>1151</v>
      </c>
      <c r="V36">
        <v>16</v>
      </c>
      <c r="W36" s="2">
        <v>4.1316804961000004</v>
      </c>
    </row>
    <row r="37" spans="1:23" x14ac:dyDescent="0.25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>
        <v>1141685</v>
      </c>
      <c r="H37" t="s">
        <v>75</v>
      </c>
      <c r="I37" t="s">
        <v>94</v>
      </c>
      <c r="J37" t="s">
        <v>98</v>
      </c>
      <c r="K37" t="s">
        <v>108</v>
      </c>
      <c r="L37" s="1">
        <v>46143</v>
      </c>
      <c r="M37" s="1">
        <v>46173</v>
      </c>
      <c r="N37">
        <v>1.229E-7</v>
      </c>
      <c r="O37" t="s">
        <v>56</v>
      </c>
      <c r="P37" t="s">
        <v>63</v>
      </c>
      <c r="Q37" t="s">
        <v>878</v>
      </c>
      <c r="R37" t="s">
        <v>882</v>
      </c>
      <c r="S37" t="s">
        <v>67</v>
      </c>
      <c r="T37" t="s">
        <v>928</v>
      </c>
      <c r="U37" t="s">
        <v>1152</v>
      </c>
      <c r="V37">
        <v>16</v>
      </c>
      <c r="W37" s="2">
        <v>2.2648199999999999E-4</v>
      </c>
    </row>
    <row r="38" spans="1:23" x14ac:dyDescent="0.25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>
        <v>1141685</v>
      </c>
      <c r="H38" t="s">
        <v>77</v>
      </c>
      <c r="I38" t="s">
        <v>96</v>
      </c>
      <c r="J38" t="s">
        <v>77</v>
      </c>
      <c r="K38" t="s">
        <v>113</v>
      </c>
      <c r="L38" s="1">
        <v>46143</v>
      </c>
      <c r="M38" s="1">
        <v>46173</v>
      </c>
      <c r="N38">
        <v>2.0193713700000001E-2</v>
      </c>
      <c r="O38" t="s">
        <v>56</v>
      </c>
      <c r="P38" t="s">
        <v>63</v>
      </c>
      <c r="Q38" t="s">
        <v>879</v>
      </c>
      <c r="R38" t="s">
        <v>885</v>
      </c>
      <c r="S38" t="s">
        <v>67</v>
      </c>
      <c r="T38" t="s">
        <v>929</v>
      </c>
      <c r="U38" t="s">
        <v>1153</v>
      </c>
      <c r="V38">
        <v>7</v>
      </c>
      <c r="W38" s="2">
        <v>3.520235859</v>
      </c>
    </row>
    <row r="39" spans="1:23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>
        <v>1141685</v>
      </c>
      <c r="H39" t="s">
        <v>79</v>
      </c>
      <c r="I39" t="s">
        <v>94</v>
      </c>
      <c r="J39" t="s">
        <v>101</v>
      </c>
      <c r="K39" t="s">
        <v>116</v>
      </c>
      <c r="L39" s="1">
        <v>46143</v>
      </c>
      <c r="M39" s="1">
        <v>46173</v>
      </c>
      <c r="N39">
        <v>1.6720409999999999E-4</v>
      </c>
      <c r="O39" t="s">
        <v>56</v>
      </c>
      <c r="P39" t="s">
        <v>63</v>
      </c>
      <c r="Q39" t="s">
        <v>878</v>
      </c>
      <c r="R39" t="s">
        <v>882</v>
      </c>
      <c r="S39" t="s">
        <v>67</v>
      </c>
      <c r="T39" t="s">
        <v>930</v>
      </c>
      <c r="U39" t="s">
        <v>1154</v>
      </c>
      <c r="V39">
        <v>16</v>
      </c>
      <c r="W39" s="2">
        <v>0.23535976759999999</v>
      </c>
    </row>
    <row r="40" spans="1:23" x14ac:dyDescent="0.25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>
        <v>1141685</v>
      </c>
      <c r="H40" t="s">
        <v>77</v>
      </c>
      <c r="I40" t="s">
        <v>96</v>
      </c>
      <c r="J40" t="s">
        <v>77</v>
      </c>
      <c r="K40" t="s">
        <v>113</v>
      </c>
      <c r="L40" s="1">
        <v>46143</v>
      </c>
      <c r="M40" s="1">
        <v>46173</v>
      </c>
      <c r="N40">
        <v>8.9938239999999992E-3</v>
      </c>
      <c r="O40" t="s">
        <v>56</v>
      </c>
      <c r="P40" t="s">
        <v>63</v>
      </c>
      <c r="Q40" t="s">
        <v>878</v>
      </c>
      <c r="R40" t="s">
        <v>881</v>
      </c>
      <c r="S40" t="s">
        <v>67</v>
      </c>
      <c r="T40" t="s">
        <v>931</v>
      </c>
      <c r="U40" t="s">
        <v>1155</v>
      </c>
      <c r="V40">
        <v>16</v>
      </c>
      <c r="W40" s="2">
        <v>1.5707750326000001</v>
      </c>
    </row>
    <row r="41" spans="1:23" x14ac:dyDescent="0.25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>
        <v>1141685</v>
      </c>
      <c r="H41" t="s">
        <v>82</v>
      </c>
      <c r="I41" t="s">
        <v>82</v>
      </c>
      <c r="J41" t="s">
        <v>82</v>
      </c>
      <c r="K41" t="s">
        <v>120</v>
      </c>
      <c r="L41" s="1">
        <v>46143</v>
      </c>
      <c r="M41" s="1">
        <v>46173</v>
      </c>
      <c r="N41">
        <v>1</v>
      </c>
      <c r="O41" t="s">
        <v>61</v>
      </c>
      <c r="P41" t="s">
        <v>63</v>
      </c>
      <c r="Q41" t="s">
        <v>879</v>
      </c>
      <c r="R41" t="s">
        <v>149</v>
      </c>
      <c r="S41" t="s">
        <v>68</v>
      </c>
      <c r="T41" t="s">
        <v>932</v>
      </c>
      <c r="U41" t="s">
        <v>1156</v>
      </c>
      <c r="V41">
        <v>7</v>
      </c>
      <c r="W41" s="2">
        <v>2691.9341720419998</v>
      </c>
    </row>
    <row r="42" spans="1:23" x14ac:dyDescent="0.25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>
        <v>1141685</v>
      </c>
      <c r="H42" t="s">
        <v>92</v>
      </c>
      <c r="I42" t="s">
        <v>97</v>
      </c>
      <c r="J42" t="s">
        <v>107</v>
      </c>
      <c r="K42" t="s">
        <v>130</v>
      </c>
      <c r="L42" s="1">
        <v>46143</v>
      </c>
      <c r="M42" s="1">
        <v>46173</v>
      </c>
      <c r="N42">
        <v>65</v>
      </c>
      <c r="O42" t="s">
        <v>57</v>
      </c>
      <c r="P42" t="s">
        <v>63</v>
      </c>
      <c r="Q42" t="s">
        <v>880</v>
      </c>
      <c r="R42" t="s">
        <v>886</v>
      </c>
      <c r="S42" t="s">
        <v>67</v>
      </c>
      <c r="T42" t="s">
        <v>933</v>
      </c>
      <c r="U42" t="s">
        <v>1157</v>
      </c>
      <c r="V42">
        <v>7</v>
      </c>
      <c r="W42" s="2">
        <v>156490.6155999935</v>
      </c>
    </row>
    <row r="43" spans="1:23" x14ac:dyDescent="0.2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>
        <v>1141685</v>
      </c>
      <c r="H43" t="s">
        <v>88</v>
      </c>
      <c r="I43" t="s">
        <v>88</v>
      </c>
      <c r="J43" t="s">
        <v>88</v>
      </c>
      <c r="K43" t="s">
        <v>126</v>
      </c>
      <c r="L43" s="1">
        <v>46143</v>
      </c>
      <c r="M43" s="1">
        <v>46173</v>
      </c>
      <c r="N43">
        <v>744</v>
      </c>
      <c r="O43" t="s">
        <v>58</v>
      </c>
      <c r="P43" t="s">
        <v>63</v>
      </c>
      <c r="Q43" t="s">
        <v>880</v>
      </c>
      <c r="R43" t="s">
        <v>887</v>
      </c>
      <c r="S43" t="s">
        <v>67</v>
      </c>
      <c r="T43" t="s">
        <v>934</v>
      </c>
      <c r="U43" t="s">
        <v>1158</v>
      </c>
      <c r="V43">
        <v>8</v>
      </c>
      <c r="W43" s="2">
        <v>389394.72360000003</v>
      </c>
    </row>
    <row r="44" spans="1:23" x14ac:dyDescent="0.25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>
        <v>1141685</v>
      </c>
      <c r="H44" t="s">
        <v>81</v>
      </c>
      <c r="I44" t="s">
        <v>97</v>
      </c>
      <c r="J44" t="s">
        <v>102</v>
      </c>
      <c r="K44" t="s">
        <v>117</v>
      </c>
      <c r="L44" s="1">
        <v>46143</v>
      </c>
      <c r="M44" s="1">
        <v>46173</v>
      </c>
      <c r="N44">
        <v>428</v>
      </c>
      <c r="O44" t="s">
        <v>58</v>
      </c>
      <c r="P44" t="s">
        <v>63</v>
      </c>
      <c r="Q44" t="s">
        <v>880</v>
      </c>
      <c r="R44" t="s">
        <v>886</v>
      </c>
      <c r="S44" t="s">
        <v>67</v>
      </c>
      <c r="T44" t="s">
        <v>935</v>
      </c>
      <c r="U44" t="s">
        <v>1159</v>
      </c>
      <c r="V44">
        <v>7</v>
      </c>
      <c r="W44" s="2">
        <v>0</v>
      </c>
    </row>
    <row r="45" spans="1:23" x14ac:dyDescent="0.25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>
        <v>1141685</v>
      </c>
      <c r="H45" t="s">
        <v>80</v>
      </c>
      <c r="I45" t="s">
        <v>96</v>
      </c>
      <c r="J45" t="s">
        <v>80</v>
      </c>
      <c r="K45" t="s">
        <v>122</v>
      </c>
      <c r="L45" s="1">
        <v>46143</v>
      </c>
      <c r="M45" s="1">
        <v>46173</v>
      </c>
      <c r="N45">
        <v>1.0325915907000001</v>
      </c>
      <c r="O45" t="s">
        <v>56</v>
      </c>
      <c r="P45" t="s">
        <v>63</v>
      </c>
      <c r="Q45" t="s">
        <v>878</v>
      </c>
      <c r="R45" t="s">
        <v>882</v>
      </c>
      <c r="S45" t="s">
        <v>67</v>
      </c>
      <c r="T45" t="s">
        <v>936</v>
      </c>
      <c r="U45" t="s">
        <v>1160</v>
      </c>
      <c r="V45">
        <v>16</v>
      </c>
      <c r="W45" s="2">
        <v>180.14841743560001</v>
      </c>
    </row>
    <row r="46" spans="1:23" x14ac:dyDescent="0.25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>
        <v>1141685</v>
      </c>
      <c r="H46" t="s">
        <v>80</v>
      </c>
      <c r="I46" t="s">
        <v>96</v>
      </c>
      <c r="J46" t="s">
        <v>80</v>
      </c>
      <c r="K46" t="s">
        <v>122</v>
      </c>
      <c r="L46" s="1">
        <v>46143</v>
      </c>
      <c r="M46" s="1">
        <v>46173</v>
      </c>
      <c r="N46">
        <v>0.61922964920000001</v>
      </c>
      <c r="O46" t="s">
        <v>56</v>
      </c>
      <c r="P46" t="s">
        <v>63</v>
      </c>
      <c r="Q46" t="s">
        <v>878</v>
      </c>
      <c r="R46" t="s">
        <v>882</v>
      </c>
      <c r="S46" t="s">
        <v>67</v>
      </c>
      <c r="T46" t="s">
        <v>937</v>
      </c>
      <c r="U46" t="s">
        <v>1161</v>
      </c>
      <c r="V46">
        <v>16</v>
      </c>
      <c r="W46" s="2">
        <v>108.02710804589999</v>
      </c>
    </row>
    <row r="47" spans="1:23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>
        <v>1141685</v>
      </c>
      <c r="H47" t="s">
        <v>80</v>
      </c>
      <c r="I47" t="s">
        <v>96</v>
      </c>
      <c r="J47" t="s">
        <v>80</v>
      </c>
      <c r="K47" t="s">
        <v>122</v>
      </c>
      <c r="L47" s="1">
        <v>46143</v>
      </c>
      <c r="M47" s="1">
        <v>46173</v>
      </c>
      <c r="N47">
        <v>1.8328987099999999E-2</v>
      </c>
      <c r="O47" t="s">
        <v>56</v>
      </c>
      <c r="P47" t="s">
        <v>63</v>
      </c>
      <c r="Q47" t="s">
        <v>878</v>
      </c>
      <c r="R47" t="s">
        <v>881</v>
      </c>
      <c r="S47" t="s">
        <v>67</v>
      </c>
      <c r="T47" t="s">
        <v>938</v>
      </c>
      <c r="U47" t="s">
        <v>1162</v>
      </c>
      <c r="V47">
        <v>15</v>
      </c>
      <c r="W47" s="2">
        <v>3.1939540724</v>
      </c>
    </row>
    <row r="48" spans="1:23" x14ac:dyDescent="0.25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>
        <v>1141685</v>
      </c>
      <c r="H48" t="s">
        <v>80</v>
      </c>
      <c r="I48" t="s">
        <v>96</v>
      </c>
      <c r="J48" t="s">
        <v>80</v>
      </c>
      <c r="K48" t="s">
        <v>122</v>
      </c>
      <c r="L48" s="1">
        <v>46143</v>
      </c>
      <c r="M48" s="1">
        <v>46173</v>
      </c>
      <c r="N48">
        <v>0.3136280729</v>
      </c>
      <c r="O48" t="s">
        <v>56</v>
      </c>
      <c r="P48" t="s">
        <v>63</v>
      </c>
      <c r="Q48" t="s">
        <v>878</v>
      </c>
      <c r="R48" t="s">
        <v>882</v>
      </c>
      <c r="S48" t="s">
        <v>67</v>
      </c>
      <c r="T48" t="s">
        <v>939</v>
      </c>
      <c r="U48" t="s">
        <v>1163</v>
      </c>
      <c r="V48">
        <v>15</v>
      </c>
      <c r="W48" s="2">
        <v>54.719687158399999</v>
      </c>
    </row>
    <row r="49" spans="1:23" x14ac:dyDescent="0.25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>
        <v>1141685</v>
      </c>
      <c r="H49" t="s">
        <v>79</v>
      </c>
      <c r="I49" t="s">
        <v>94</v>
      </c>
      <c r="J49" t="s">
        <v>101</v>
      </c>
      <c r="K49" t="s">
        <v>116</v>
      </c>
      <c r="L49" s="1">
        <v>46143</v>
      </c>
      <c r="M49" s="1">
        <v>46173</v>
      </c>
      <c r="N49">
        <v>1.111897E-4</v>
      </c>
      <c r="O49" t="s">
        <v>56</v>
      </c>
      <c r="P49" t="s">
        <v>63</v>
      </c>
      <c r="Q49" t="s">
        <v>878</v>
      </c>
      <c r="R49" t="s">
        <v>884</v>
      </c>
      <c r="S49" t="s">
        <v>67</v>
      </c>
      <c r="T49" t="s">
        <v>940</v>
      </c>
      <c r="U49" t="s">
        <v>1164</v>
      </c>
      <c r="V49">
        <v>17</v>
      </c>
      <c r="W49" s="2">
        <v>0.1565629757</v>
      </c>
    </row>
    <row r="50" spans="1:23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>
        <v>1141685</v>
      </c>
      <c r="H50" t="s">
        <v>76</v>
      </c>
      <c r="I50" t="s">
        <v>95</v>
      </c>
      <c r="J50" t="s">
        <v>99</v>
      </c>
      <c r="K50" t="s">
        <v>109</v>
      </c>
      <c r="L50" s="1">
        <v>46143</v>
      </c>
      <c r="M50" s="1">
        <v>46173</v>
      </c>
      <c r="N50">
        <v>1.966704</v>
      </c>
      <c r="O50" t="s">
        <v>58</v>
      </c>
      <c r="P50" t="s">
        <v>63</v>
      </c>
      <c r="Q50" t="s">
        <v>877</v>
      </c>
      <c r="R50" t="s">
        <v>882</v>
      </c>
      <c r="S50" t="s">
        <v>67</v>
      </c>
      <c r="T50" t="s">
        <v>906</v>
      </c>
      <c r="U50" t="s">
        <v>1130</v>
      </c>
      <c r="V50">
        <v>16</v>
      </c>
      <c r="W50" s="2">
        <v>0</v>
      </c>
    </row>
    <row r="51" spans="1:23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>
        <v>1141685</v>
      </c>
      <c r="H51" t="s">
        <v>76</v>
      </c>
      <c r="I51" t="s">
        <v>95</v>
      </c>
      <c r="J51" t="s">
        <v>99</v>
      </c>
      <c r="K51" t="s">
        <v>109</v>
      </c>
      <c r="L51" s="1">
        <v>46143</v>
      </c>
      <c r="M51" s="1">
        <v>46173</v>
      </c>
      <c r="N51">
        <v>5.7005309999999998</v>
      </c>
      <c r="O51" t="s">
        <v>58</v>
      </c>
      <c r="P51" t="s">
        <v>63</v>
      </c>
      <c r="Q51" t="s">
        <v>877</v>
      </c>
      <c r="R51" t="s">
        <v>882</v>
      </c>
      <c r="S51" t="s">
        <v>67</v>
      </c>
      <c r="T51" t="s">
        <v>906</v>
      </c>
      <c r="U51" t="s">
        <v>1130</v>
      </c>
      <c r="V51">
        <v>16</v>
      </c>
      <c r="W51" s="2">
        <v>0</v>
      </c>
    </row>
    <row r="52" spans="1:23" x14ac:dyDescent="0.25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>
        <v>1141685</v>
      </c>
      <c r="H52" t="s">
        <v>76</v>
      </c>
      <c r="I52" t="s">
        <v>95</v>
      </c>
      <c r="J52" t="s">
        <v>99</v>
      </c>
      <c r="K52" t="s">
        <v>109</v>
      </c>
      <c r="L52" s="1">
        <v>46143</v>
      </c>
      <c r="M52" s="1">
        <v>46173</v>
      </c>
      <c r="N52">
        <v>0.96668500000000002</v>
      </c>
      <c r="O52" t="s">
        <v>58</v>
      </c>
      <c r="P52" t="s">
        <v>63</v>
      </c>
      <c r="Q52" t="s">
        <v>877</v>
      </c>
      <c r="R52" t="s">
        <v>884</v>
      </c>
      <c r="S52" t="s">
        <v>67</v>
      </c>
      <c r="T52" t="s">
        <v>941</v>
      </c>
      <c r="U52" t="s">
        <v>1165</v>
      </c>
      <c r="V52">
        <v>17</v>
      </c>
      <c r="W52" s="2">
        <v>0</v>
      </c>
    </row>
    <row r="53" spans="1:23" x14ac:dyDescent="0.25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>
        <v>1141685</v>
      </c>
      <c r="H53" t="s">
        <v>76</v>
      </c>
      <c r="I53" t="s">
        <v>95</v>
      </c>
      <c r="J53" t="s">
        <v>99</v>
      </c>
      <c r="K53" t="s">
        <v>109</v>
      </c>
      <c r="L53" s="1">
        <v>46143</v>
      </c>
      <c r="M53" s="1">
        <v>46173</v>
      </c>
      <c r="N53">
        <v>208.38212200000001</v>
      </c>
      <c r="O53" t="s">
        <v>58</v>
      </c>
      <c r="P53" t="s">
        <v>63</v>
      </c>
      <c r="Q53" t="s">
        <v>877</v>
      </c>
      <c r="R53" t="s">
        <v>882</v>
      </c>
      <c r="S53" t="s">
        <v>67</v>
      </c>
      <c r="T53" t="s">
        <v>906</v>
      </c>
      <c r="U53" t="s">
        <v>1130</v>
      </c>
      <c r="V53">
        <v>16</v>
      </c>
      <c r="W53" s="2">
        <v>0</v>
      </c>
    </row>
    <row r="54" spans="1:23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>
        <v>1141685</v>
      </c>
      <c r="H54" t="s">
        <v>76</v>
      </c>
      <c r="I54" t="s">
        <v>95</v>
      </c>
      <c r="J54" t="s">
        <v>99</v>
      </c>
      <c r="K54" t="s">
        <v>109</v>
      </c>
      <c r="L54" s="1">
        <v>46143</v>
      </c>
      <c r="M54" s="1">
        <v>46173</v>
      </c>
      <c r="N54">
        <v>6.6591999999999998E-2</v>
      </c>
      <c r="O54" t="s">
        <v>58</v>
      </c>
      <c r="P54" t="s">
        <v>63</v>
      </c>
      <c r="Q54" t="s">
        <v>877</v>
      </c>
      <c r="R54" t="s">
        <v>882</v>
      </c>
      <c r="S54" t="s">
        <v>67</v>
      </c>
      <c r="T54" t="s">
        <v>906</v>
      </c>
      <c r="U54" t="s">
        <v>1130</v>
      </c>
      <c r="V54">
        <v>16</v>
      </c>
      <c r="W54" s="2">
        <v>0</v>
      </c>
    </row>
    <row r="55" spans="1:23" x14ac:dyDescent="0.25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>
        <v>1141685</v>
      </c>
      <c r="H55" t="s">
        <v>76</v>
      </c>
      <c r="I55" t="s">
        <v>95</v>
      </c>
      <c r="J55" t="s">
        <v>99</v>
      </c>
      <c r="K55" t="s">
        <v>109</v>
      </c>
      <c r="L55" s="1">
        <v>46143</v>
      </c>
      <c r="M55" s="1">
        <v>46173</v>
      </c>
      <c r="N55">
        <v>0.35000700000000001</v>
      </c>
      <c r="O55" t="s">
        <v>58</v>
      </c>
      <c r="P55" t="s">
        <v>63</v>
      </c>
      <c r="Q55" t="s">
        <v>877</v>
      </c>
      <c r="R55" t="s">
        <v>882</v>
      </c>
      <c r="S55" t="s">
        <v>67</v>
      </c>
      <c r="T55" t="s">
        <v>906</v>
      </c>
      <c r="U55" t="s">
        <v>1130</v>
      </c>
      <c r="V55">
        <v>16</v>
      </c>
      <c r="W55" s="2">
        <v>0</v>
      </c>
    </row>
    <row r="56" spans="1:23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>
        <v>1141685</v>
      </c>
      <c r="H56" t="s">
        <v>76</v>
      </c>
      <c r="I56" t="s">
        <v>95</v>
      </c>
      <c r="J56" t="s">
        <v>99</v>
      </c>
      <c r="K56" t="s">
        <v>109</v>
      </c>
      <c r="L56" s="1">
        <v>46143</v>
      </c>
      <c r="M56" s="1">
        <v>46173</v>
      </c>
      <c r="N56">
        <v>0.23333699999999999</v>
      </c>
      <c r="O56" t="s">
        <v>58</v>
      </c>
      <c r="P56" t="s">
        <v>63</v>
      </c>
      <c r="Q56" t="s">
        <v>877</v>
      </c>
      <c r="R56" t="s">
        <v>882</v>
      </c>
      <c r="S56" t="s">
        <v>67</v>
      </c>
      <c r="T56" t="s">
        <v>906</v>
      </c>
      <c r="U56" t="s">
        <v>1130</v>
      </c>
      <c r="V56">
        <v>16</v>
      </c>
      <c r="W56" s="2">
        <v>0</v>
      </c>
    </row>
    <row r="57" spans="1:23" x14ac:dyDescent="0.25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>
        <v>1141685</v>
      </c>
      <c r="H57" t="s">
        <v>76</v>
      </c>
      <c r="I57" t="s">
        <v>95</v>
      </c>
      <c r="J57" t="s">
        <v>99</v>
      </c>
      <c r="K57" t="s">
        <v>109</v>
      </c>
      <c r="L57" s="1">
        <v>46143</v>
      </c>
      <c r="M57" s="1">
        <v>46173</v>
      </c>
      <c r="N57">
        <v>1</v>
      </c>
      <c r="O57" t="s">
        <v>58</v>
      </c>
      <c r="P57" t="s">
        <v>63</v>
      </c>
      <c r="Q57" t="s">
        <v>877</v>
      </c>
      <c r="R57" t="s">
        <v>882</v>
      </c>
      <c r="S57" t="s">
        <v>67</v>
      </c>
      <c r="T57" t="s">
        <v>906</v>
      </c>
      <c r="U57" t="s">
        <v>1130</v>
      </c>
      <c r="V57">
        <v>16</v>
      </c>
      <c r="W57" s="2">
        <v>0</v>
      </c>
    </row>
    <row r="58" spans="1:23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>
        <v>1141685</v>
      </c>
      <c r="H58" t="s">
        <v>75</v>
      </c>
      <c r="I58" t="s">
        <v>94</v>
      </c>
      <c r="J58" t="s">
        <v>98</v>
      </c>
      <c r="K58" t="s">
        <v>108</v>
      </c>
      <c r="L58" s="1">
        <v>46143</v>
      </c>
      <c r="M58" s="1">
        <v>46173</v>
      </c>
      <c r="N58">
        <v>2.7528999876000002</v>
      </c>
      <c r="O58" t="s">
        <v>56</v>
      </c>
      <c r="P58" t="s">
        <v>63</v>
      </c>
      <c r="Q58" t="s">
        <v>878</v>
      </c>
      <c r="R58" t="s">
        <v>884</v>
      </c>
      <c r="S58" t="s">
        <v>67</v>
      </c>
      <c r="T58" t="s">
        <v>942</v>
      </c>
      <c r="U58" t="s">
        <v>1166</v>
      </c>
      <c r="V58">
        <v>17</v>
      </c>
      <c r="W58" s="2">
        <v>5763.2510402356002</v>
      </c>
    </row>
    <row r="59" spans="1:23" x14ac:dyDescent="0.25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>
        <v>1141685</v>
      </c>
      <c r="H59" t="s">
        <v>75</v>
      </c>
      <c r="I59" t="s">
        <v>94</v>
      </c>
      <c r="J59" t="s">
        <v>98</v>
      </c>
      <c r="K59" t="s">
        <v>108</v>
      </c>
      <c r="L59" s="1">
        <v>46143</v>
      </c>
      <c r="M59" s="1">
        <v>46173</v>
      </c>
      <c r="N59">
        <v>1.9388525E-3</v>
      </c>
      <c r="O59" t="s">
        <v>56</v>
      </c>
      <c r="P59" t="s">
        <v>63</v>
      </c>
      <c r="Q59" t="s">
        <v>878</v>
      </c>
      <c r="R59" t="s">
        <v>882</v>
      </c>
      <c r="S59" t="s">
        <v>67</v>
      </c>
      <c r="T59" t="s">
        <v>943</v>
      </c>
      <c r="U59" t="s">
        <v>1167</v>
      </c>
      <c r="V59">
        <v>16</v>
      </c>
      <c r="W59" s="2">
        <v>4.0619432733999998</v>
      </c>
    </row>
    <row r="60" spans="1:23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>
        <v>1141685</v>
      </c>
      <c r="H60" t="s">
        <v>75</v>
      </c>
      <c r="I60" t="s">
        <v>94</v>
      </c>
      <c r="J60" t="s">
        <v>98</v>
      </c>
      <c r="K60" t="s">
        <v>108</v>
      </c>
      <c r="L60" s="1">
        <v>46143</v>
      </c>
      <c r="M60" s="1">
        <v>46173</v>
      </c>
      <c r="N60">
        <v>1.2269467E-3</v>
      </c>
      <c r="O60" t="s">
        <v>56</v>
      </c>
      <c r="P60" t="s">
        <v>63</v>
      </c>
      <c r="Q60" t="s">
        <v>878</v>
      </c>
      <c r="R60" t="s">
        <v>882</v>
      </c>
      <c r="S60" t="s">
        <v>67</v>
      </c>
      <c r="T60" t="s">
        <v>944</v>
      </c>
      <c r="U60" t="s">
        <v>1168</v>
      </c>
      <c r="V60">
        <v>16</v>
      </c>
      <c r="W60" s="2">
        <v>2.5704009819000002</v>
      </c>
    </row>
    <row r="61" spans="1:23" x14ac:dyDescent="0.25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>
        <v>1141685</v>
      </c>
      <c r="H61" t="s">
        <v>82</v>
      </c>
      <c r="I61" t="s">
        <v>82</v>
      </c>
      <c r="J61" t="s">
        <v>82</v>
      </c>
      <c r="K61" t="s">
        <v>118</v>
      </c>
      <c r="L61" s="1">
        <v>46143</v>
      </c>
      <c r="M61" s="1">
        <v>46173</v>
      </c>
      <c r="N61">
        <v>0.42580299999999999</v>
      </c>
      <c r="O61" t="s">
        <v>60</v>
      </c>
      <c r="P61" t="s">
        <v>63</v>
      </c>
      <c r="Q61" t="s">
        <v>879</v>
      </c>
      <c r="R61" t="s">
        <v>147</v>
      </c>
      <c r="S61" t="s">
        <v>68</v>
      </c>
      <c r="T61" t="s">
        <v>945</v>
      </c>
      <c r="U61" t="s">
        <v>1169</v>
      </c>
      <c r="V61">
        <v>7</v>
      </c>
      <c r="W61" s="2">
        <v>2971.4228165760001</v>
      </c>
    </row>
    <row r="62" spans="1:23" x14ac:dyDescent="0.25">
      <c r="A62" t="s">
        <v>31</v>
      </c>
      <c r="B62" t="s">
        <v>32</v>
      </c>
      <c r="C62" t="s">
        <v>33</v>
      </c>
      <c r="D62" t="s">
        <v>34</v>
      </c>
      <c r="E62" t="s">
        <v>35</v>
      </c>
      <c r="F62" t="s">
        <v>36</v>
      </c>
      <c r="G62">
        <v>1141685</v>
      </c>
      <c r="H62" t="s">
        <v>75</v>
      </c>
      <c r="I62" t="s">
        <v>94</v>
      </c>
      <c r="J62" t="s">
        <v>98</v>
      </c>
      <c r="K62" t="s">
        <v>108</v>
      </c>
      <c r="L62" s="1">
        <v>46143</v>
      </c>
      <c r="M62" s="1">
        <v>46173</v>
      </c>
      <c r="N62">
        <v>2.6026079399999999E-2</v>
      </c>
      <c r="O62" t="s">
        <v>56</v>
      </c>
      <c r="P62" t="s">
        <v>63</v>
      </c>
      <c r="Q62" t="s">
        <v>878</v>
      </c>
      <c r="R62" t="s">
        <v>881</v>
      </c>
      <c r="S62" t="s">
        <v>67</v>
      </c>
      <c r="T62" t="s">
        <v>946</v>
      </c>
      <c r="U62" t="s">
        <v>1170</v>
      </c>
      <c r="V62">
        <v>15</v>
      </c>
      <c r="W62" s="2">
        <v>52.0863135329</v>
      </c>
    </row>
    <row r="63" spans="1:23" x14ac:dyDescent="0.25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>
        <v>1141685</v>
      </c>
      <c r="H63" t="s">
        <v>75</v>
      </c>
      <c r="I63" t="s">
        <v>94</v>
      </c>
      <c r="J63" t="s">
        <v>98</v>
      </c>
      <c r="K63" t="s">
        <v>108</v>
      </c>
      <c r="L63" s="1">
        <v>46143</v>
      </c>
      <c r="M63" s="1">
        <v>46173</v>
      </c>
      <c r="N63">
        <v>0.30039785429999999</v>
      </c>
      <c r="O63" t="s">
        <v>56</v>
      </c>
      <c r="P63" t="s">
        <v>63</v>
      </c>
      <c r="Q63" t="s">
        <v>878</v>
      </c>
      <c r="R63" t="s">
        <v>881</v>
      </c>
      <c r="S63" t="s">
        <v>67</v>
      </c>
      <c r="T63" t="s">
        <v>947</v>
      </c>
      <c r="U63" t="s">
        <v>1171</v>
      </c>
      <c r="V63">
        <v>16</v>
      </c>
      <c r="W63" s="2">
        <v>628.89224601680007</v>
      </c>
    </row>
    <row r="64" spans="1:23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36</v>
      </c>
      <c r="G64">
        <v>1141685</v>
      </c>
      <c r="H64" t="s">
        <v>82</v>
      </c>
      <c r="I64" t="s">
        <v>82</v>
      </c>
      <c r="J64" t="s">
        <v>82</v>
      </c>
      <c r="K64" t="s">
        <v>118</v>
      </c>
      <c r="L64" s="1">
        <v>46143</v>
      </c>
      <c r="M64" s="1">
        <v>46173</v>
      </c>
      <c r="N64">
        <v>0.15729000000000001</v>
      </c>
      <c r="O64" t="s">
        <v>60</v>
      </c>
      <c r="P64" t="s">
        <v>63</v>
      </c>
      <c r="Q64" t="s">
        <v>879</v>
      </c>
      <c r="R64" t="s">
        <v>148</v>
      </c>
      <c r="S64" t="s">
        <v>68</v>
      </c>
      <c r="T64" t="s">
        <v>948</v>
      </c>
      <c r="U64" t="s">
        <v>1172</v>
      </c>
      <c r="V64">
        <v>7</v>
      </c>
      <c r="W64" s="2">
        <v>1097.6366316799999</v>
      </c>
    </row>
    <row r="65" spans="1:23" x14ac:dyDescent="0.25">
      <c r="A65" t="s">
        <v>31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>
        <v>1141685</v>
      </c>
      <c r="H65" t="s">
        <v>75</v>
      </c>
      <c r="I65" t="s">
        <v>94</v>
      </c>
      <c r="J65" t="s">
        <v>98</v>
      </c>
      <c r="K65" t="s">
        <v>108</v>
      </c>
      <c r="L65" s="1">
        <v>46143</v>
      </c>
      <c r="M65" s="1">
        <v>46173</v>
      </c>
      <c r="N65">
        <v>0.17595674</v>
      </c>
      <c r="O65" t="s">
        <v>56</v>
      </c>
      <c r="P65" t="s">
        <v>63</v>
      </c>
      <c r="Q65" t="s">
        <v>878</v>
      </c>
      <c r="R65" t="s">
        <v>882</v>
      </c>
      <c r="S65" t="s">
        <v>67</v>
      </c>
      <c r="T65" t="s">
        <v>949</v>
      </c>
      <c r="U65" t="s">
        <v>1173</v>
      </c>
      <c r="V65">
        <v>15</v>
      </c>
      <c r="W65" s="2">
        <v>343.97968105349997</v>
      </c>
    </row>
    <row r="66" spans="1:23" x14ac:dyDescent="0.25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s">
        <v>36</v>
      </c>
      <c r="G66">
        <v>1141685</v>
      </c>
      <c r="H66" t="s">
        <v>75</v>
      </c>
      <c r="I66" t="s">
        <v>94</v>
      </c>
      <c r="J66" t="s">
        <v>98</v>
      </c>
      <c r="K66" t="s">
        <v>108</v>
      </c>
      <c r="L66" s="1">
        <v>46143</v>
      </c>
      <c r="M66" s="1">
        <v>46173</v>
      </c>
      <c r="N66">
        <v>1.0549342000000001E-3</v>
      </c>
      <c r="O66" t="s">
        <v>56</v>
      </c>
      <c r="P66" t="s">
        <v>63</v>
      </c>
      <c r="Q66" t="s">
        <v>878</v>
      </c>
      <c r="R66" t="s">
        <v>882</v>
      </c>
      <c r="S66" t="s">
        <v>67</v>
      </c>
      <c r="T66" t="s">
        <v>950</v>
      </c>
      <c r="U66" t="s">
        <v>1174</v>
      </c>
      <c r="V66">
        <v>16</v>
      </c>
      <c r="W66" s="2">
        <v>2.2135027924999999</v>
      </c>
    </row>
    <row r="67" spans="1:23" x14ac:dyDescent="0.25">
      <c r="A67" t="s">
        <v>31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>
        <v>1141685</v>
      </c>
      <c r="H67" t="s">
        <v>75</v>
      </c>
      <c r="I67" t="s">
        <v>94</v>
      </c>
      <c r="J67" t="s">
        <v>98</v>
      </c>
      <c r="K67" t="s">
        <v>108</v>
      </c>
      <c r="L67" s="1">
        <v>46143</v>
      </c>
      <c r="M67" s="1">
        <v>46173</v>
      </c>
      <c r="N67">
        <v>8.0288400000000002E-5</v>
      </c>
      <c r="O67" t="s">
        <v>56</v>
      </c>
      <c r="P67" t="s">
        <v>63</v>
      </c>
      <c r="Q67" t="s">
        <v>878</v>
      </c>
      <c r="R67" t="s">
        <v>882</v>
      </c>
      <c r="S67" t="s">
        <v>67</v>
      </c>
      <c r="T67" t="s">
        <v>951</v>
      </c>
      <c r="U67" t="s">
        <v>1175</v>
      </c>
      <c r="V67">
        <v>16</v>
      </c>
      <c r="W67" s="2">
        <v>0.16791510409999999</v>
      </c>
    </row>
    <row r="68" spans="1:23" x14ac:dyDescent="0.25">
      <c r="A68" t="s">
        <v>31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>
        <v>1141685</v>
      </c>
      <c r="H68" t="s">
        <v>80</v>
      </c>
      <c r="I68" t="s">
        <v>96</v>
      </c>
      <c r="J68" t="s">
        <v>80</v>
      </c>
      <c r="K68" t="s">
        <v>115</v>
      </c>
      <c r="L68" s="1">
        <v>46143</v>
      </c>
      <c r="M68" s="1">
        <v>46173</v>
      </c>
      <c r="N68">
        <v>0.61205440200000005</v>
      </c>
      <c r="O68" t="s">
        <v>56</v>
      </c>
      <c r="P68" t="s">
        <v>63</v>
      </c>
      <c r="Q68" t="s">
        <v>878</v>
      </c>
      <c r="R68" t="s">
        <v>881</v>
      </c>
      <c r="S68" t="s">
        <v>67</v>
      </c>
      <c r="T68" t="s">
        <v>952</v>
      </c>
      <c r="U68" t="s">
        <v>1176</v>
      </c>
      <c r="V68">
        <v>16</v>
      </c>
      <c r="W68" s="2">
        <v>106.7755296549</v>
      </c>
    </row>
    <row r="69" spans="1:23" x14ac:dyDescent="0.25">
      <c r="A69" t="s">
        <v>31</v>
      </c>
      <c r="B69" t="s">
        <v>32</v>
      </c>
      <c r="C69" t="s">
        <v>33</v>
      </c>
      <c r="D69" t="s">
        <v>34</v>
      </c>
      <c r="E69" t="s">
        <v>35</v>
      </c>
      <c r="F69" t="s">
        <v>36</v>
      </c>
      <c r="G69">
        <v>1141685</v>
      </c>
      <c r="H69" t="s">
        <v>80</v>
      </c>
      <c r="I69" t="s">
        <v>96</v>
      </c>
      <c r="J69" t="s">
        <v>80</v>
      </c>
      <c r="K69" t="s">
        <v>115</v>
      </c>
      <c r="L69" s="1">
        <v>46143</v>
      </c>
      <c r="M69" s="1">
        <v>46173</v>
      </c>
      <c r="N69">
        <v>1.1317795E-3</v>
      </c>
      <c r="O69" t="s">
        <v>56</v>
      </c>
      <c r="P69" t="s">
        <v>63</v>
      </c>
      <c r="Q69" t="s">
        <v>878</v>
      </c>
      <c r="R69" t="s">
        <v>882</v>
      </c>
      <c r="S69" t="s">
        <v>67</v>
      </c>
      <c r="T69" t="s">
        <v>953</v>
      </c>
      <c r="U69" t="s">
        <v>1177</v>
      </c>
      <c r="V69">
        <v>16</v>
      </c>
      <c r="W69" s="2">
        <v>0.19375622349999999</v>
      </c>
    </row>
    <row r="70" spans="1:23" x14ac:dyDescent="0.25">
      <c r="A70" t="s">
        <v>31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>
        <v>1141685</v>
      </c>
      <c r="H70" t="s">
        <v>80</v>
      </c>
      <c r="I70" t="s">
        <v>96</v>
      </c>
      <c r="J70" t="s">
        <v>80</v>
      </c>
      <c r="K70" t="s">
        <v>115</v>
      </c>
      <c r="L70" s="1">
        <v>46143</v>
      </c>
      <c r="M70" s="1">
        <v>46173</v>
      </c>
      <c r="N70">
        <v>2.7651723530000001</v>
      </c>
      <c r="O70" t="s">
        <v>56</v>
      </c>
      <c r="P70" t="s">
        <v>63</v>
      </c>
      <c r="Q70" t="s">
        <v>878</v>
      </c>
      <c r="R70" t="s">
        <v>882</v>
      </c>
      <c r="S70" t="s">
        <v>67</v>
      </c>
      <c r="T70" t="s">
        <v>954</v>
      </c>
      <c r="U70" t="s">
        <v>1178</v>
      </c>
      <c r="V70">
        <v>16</v>
      </c>
      <c r="W70" s="2">
        <v>482.41253246039997</v>
      </c>
    </row>
    <row r="71" spans="1:23" x14ac:dyDescent="0.25">
      <c r="A71" t="s">
        <v>31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>
        <v>1141685</v>
      </c>
      <c r="H71" t="s">
        <v>91</v>
      </c>
      <c r="I71" t="s">
        <v>95</v>
      </c>
      <c r="J71" t="s">
        <v>106</v>
      </c>
      <c r="K71" t="s">
        <v>479</v>
      </c>
      <c r="L71" s="1">
        <v>46143</v>
      </c>
      <c r="M71" s="1">
        <v>46173</v>
      </c>
      <c r="N71">
        <v>0.73377999999999999</v>
      </c>
      <c r="O71" t="s">
        <v>58</v>
      </c>
      <c r="P71" t="s">
        <v>63</v>
      </c>
      <c r="Q71" t="s">
        <v>877</v>
      </c>
      <c r="R71" t="s">
        <v>882</v>
      </c>
      <c r="S71" t="s">
        <v>67</v>
      </c>
      <c r="T71" t="s">
        <v>955</v>
      </c>
      <c r="U71" t="s">
        <v>1179</v>
      </c>
      <c r="V71">
        <v>16</v>
      </c>
      <c r="W71" s="2">
        <v>3200.3856936000002</v>
      </c>
    </row>
    <row r="72" spans="1:23" x14ac:dyDescent="0.2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>
        <v>1141685</v>
      </c>
      <c r="H72" t="s">
        <v>91</v>
      </c>
      <c r="I72" t="s">
        <v>95</v>
      </c>
      <c r="J72" t="s">
        <v>106</v>
      </c>
      <c r="K72" t="s">
        <v>479</v>
      </c>
      <c r="L72" s="1">
        <v>46143</v>
      </c>
      <c r="M72" s="1">
        <v>46173</v>
      </c>
      <c r="N72">
        <v>0.20000299999999999</v>
      </c>
      <c r="O72" t="s">
        <v>58</v>
      </c>
      <c r="P72" t="s">
        <v>63</v>
      </c>
      <c r="Q72" t="s">
        <v>877</v>
      </c>
      <c r="R72" t="s">
        <v>882</v>
      </c>
      <c r="S72" t="s">
        <v>67</v>
      </c>
      <c r="T72" t="s">
        <v>956</v>
      </c>
      <c r="U72" t="s">
        <v>1180</v>
      </c>
      <c r="V72">
        <v>16</v>
      </c>
      <c r="W72" s="2">
        <v>872.31551435999995</v>
      </c>
    </row>
    <row r="73" spans="1:23" x14ac:dyDescent="0.25">
      <c r="A73" t="s">
        <v>31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>
        <v>1141685</v>
      </c>
      <c r="H73" t="s">
        <v>91</v>
      </c>
      <c r="I73" t="s">
        <v>95</v>
      </c>
      <c r="J73" t="s">
        <v>106</v>
      </c>
      <c r="K73" t="s">
        <v>479</v>
      </c>
      <c r="L73" s="1">
        <v>46143</v>
      </c>
      <c r="M73" s="1">
        <v>46173</v>
      </c>
      <c r="N73">
        <v>0.41698000000000002</v>
      </c>
      <c r="O73" t="s">
        <v>58</v>
      </c>
      <c r="P73" t="s">
        <v>63</v>
      </c>
      <c r="Q73" t="s">
        <v>877</v>
      </c>
      <c r="R73" t="s">
        <v>882</v>
      </c>
      <c r="S73" t="s">
        <v>67</v>
      </c>
      <c r="T73" t="s">
        <v>957</v>
      </c>
      <c r="U73" t="s">
        <v>1181</v>
      </c>
      <c r="V73">
        <v>16</v>
      </c>
      <c r="W73" s="2">
        <v>1818.6592776</v>
      </c>
    </row>
    <row r="74" spans="1:23" x14ac:dyDescent="0.25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>
        <v>1141685</v>
      </c>
      <c r="H74" t="s">
        <v>91</v>
      </c>
      <c r="I74" t="s">
        <v>95</v>
      </c>
      <c r="J74" t="s">
        <v>106</v>
      </c>
      <c r="K74" t="s">
        <v>479</v>
      </c>
      <c r="L74" s="1">
        <v>46143</v>
      </c>
      <c r="M74" s="1">
        <v>46173</v>
      </c>
      <c r="N74">
        <v>1</v>
      </c>
      <c r="O74" t="s">
        <v>58</v>
      </c>
      <c r="P74" t="s">
        <v>63</v>
      </c>
      <c r="Q74" t="s">
        <v>877</v>
      </c>
      <c r="R74" t="s">
        <v>882</v>
      </c>
      <c r="S74" t="s">
        <v>67</v>
      </c>
      <c r="T74" t="s">
        <v>958</v>
      </c>
      <c r="U74" t="s">
        <v>1182</v>
      </c>
      <c r="V74">
        <v>16</v>
      </c>
      <c r="W74" s="2">
        <v>4361.5</v>
      </c>
    </row>
    <row r="75" spans="1:23" x14ac:dyDescent="0.25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>
        <v>1141685</v>
      </c>
      <c r="H75" t="s">
        <v>91</v>
      </c>
      <c r="I75" t="s">
        <v>95</v>
      </c>
      <c r="J75" t="s">
        <v>106</v>
      </c>
      <c r="K75" t="s">
        <v>129</v>
      </c>
      <c r="L75" s="1">
        <v>46143</v>
      </c>
      <c r="M75" s="1">
        <v>46173</v>
      </c>
      <c r="N75">
        <v>1.9333400000000001</v>
      </c>
      <c r="O75" t="s">
        <v>58</v>
      </c>
      <c r="P75" t="s">
        <v>63</v>
      </c>
      <c r="Q75" t="s">
        <v>877</v>
      </c>
      <c r="R75" t="s">
        <v>881</v>
      </c>
      <c r="S75" t="s">
        <v>67</v>
      </c>
      <c r="T75" t="s">
        <v>959</v>
      </c>
      <c r="U75" t="s">
        <v>1183</v>
      </c>
      <c r="V75">
        <v>16</v>
      </c>
      <c r="W75" s="2">
        <v>4216.1354603999998</v>
      </c>
    </row>
    <row r="76" spans="1:23" x14ac:dyDescent="0.25">
      <c r="A76" t="s">
        <v>31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>
        <v>1141685</v>
      </c>
      <c r="H76" t="s">
        <v>91</v>
      </c>
      <c r="I76" t="s">
        <v>95</v>
      </c>
      <c r="J76" t="s">
        <v>106</v>
      </c>
      <c r="K76" t="s">
        <v>129</v>
      </c>
      <c r="L76" s="1">
        <v>46143</v>
      </c>
      <c r="M76" s="1">
        <v>46173</v>
      </c>
      <c r="N76">
        <v>1.6667000000000001E-2</v>
      </c>
      <c r="O76" t="s">
        <v>58</v>
      </c>
      <c r="P76" t="s">
        <v>63</v>
      </c>
      <c r="Q76" t="s">
        <v>877</v>
      </c>
      <c r="R76" t="s">
        <v>881</v>
      </c>
      <c r="S76" t="s">
        <v>67</v>
      </c>
      <c r="T76" t="s">
        <v>960</v>
      </c>
      <c r="U76" t="s">
        <v>1184</v>
      </c>
      <c r="V76">
        <v>16</v>
      </c>
      <c r="W76" s="2">
        <v>36.344973019999998</v>
      </c>
    </row>
    <row r="77" spans="1:23" x14ac:dyDescent="0.25">
      <c r="A77" t="s">
        <v>31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>
        <v>1141685</v>
      </c>
      <c r="H77" t="s">
        <v>83</v>
      </c>
      <c r="I77" t="s">
        <v>97</v>
      </c>
      <c r="J77" t="s">
        <v>103</v>
      </c>
      <c r="K77" t="s">
        <v>119</v>
      </c>
      <c r="L77" s="1">
        <v>46143</v>
      </c>
      <c r="M77" s="1">
        <v>46173</v>
      </c>
      <c r="N77">
        <v>2116</v>
      </c>
      <c r="O77" t="s">
        <v>58</v>
      </c>
      <c r="P77" t="s">
        <v>63</v>
      </c>
      <c r="Q77" t="s">
        <v>880</v>
      </c>
      <c r="R77" t="s">
        <v>886</v>
      </c>
      <c r="S77" t="s">
        <v>67</v>
      </c>
      <c r="T77" t="s">
        <v>961</v>
      </c>
      <c r="U77" t="s">
        <v>1185</v>
      </c>
      <c r="V77">
        <v>7</v>
      </c>
      <c r="W77" s="2">
        <v>3690318.4691788801</v>
      </c>
    </row>
    <row r="78" spans="1:23" x14ac:dyDescent="0.25">
      <c r="A78" t="s">
        <v>31</v>
      </c>
      <c r="B78" t="s">
        <v>32</v>
      </c>
      <c r="C78" t="s">
        <v>33</v>
      </c>
      <c r="D78" t="s">
        <v>34</v>
      </c>
      <c r="E78" t="s">
        <v>35</v>
      </c>
      <c r="F78" t="s">
        <v>36</v>
      </c>
      <c r="G78">
        <v>1141685</v>
      </c>
      <c r="H78" t="s">
        <v>83</v>
      </c>
      <c r="I78" t="s">
        <v>97</v>
      </c>
      <c r="J78" t="s">
        <v>103</v>
      </c>
      <c r="K78" t="s">
        <v>119</v>
      </c>
      <c r="L78" s="1">
        <v>46143</v>
      </c>
      <c r="M78" s="1">
        <v>46173</v>
      </c>
      <c r="N78">
        <v>430</v>
      </c>
      <c r="O78" t="s">
        <v>58</v>
      </c>
      <c r="P78" t="s">
        <v>63</v>
      </c>
      <c r="Q78" t="s">
        <v>880</v>
      </c>
      <c r="R78" t="s">
        <v>886</v>
      </c>
      <c r="S78" t="s">
        <v>67</v>
      </c>
      <c r="T78" t="s">
        <v>962</v>
      </c>
      <c r="U78" t="s">
        <v>1186</v>
      </c>
      <c r="V78">
        <v>7</v>
      </c>
      <c r="W78" s="2">
        <v>749922.93674240005</v>
      </c>
    </row>
    <row r="79" spans="1:23" x14ac:dyDescent="0.25">
      <c r="A79" t="s">
        <v>31</v>
      </c>
      <c r="B79" t="s">
        <v>32</v>
      </c>
      <c r="C79" t="s">
        <v>33</v>
      </c>
      <c r="D79" t="s">
        <v>34</v>
      </c>
      <c r="E79" t="s">
        <v>35</v>
      </c>
      <c r="F79" t="s">
        <v>36</v>
      </c>
      <c r="G79">
        <v>1141685</v>
      </c>
      <c r="H79" t="s">
        <v>80</v>
      </c>
      <c r="I79" t="s">
        <v>96</v>
      </c>
      <c r="J79" t="s">
        <v>80</v>
      </c>
      <c r="K79" t="s">
        <v>122</v>
      </c>
      <c r="L79" s="1">
        <v>46143</v>
      </c>
      <c r="M79" s="1">
        <v>46173</v>
      </c>
      <c r="N79">
        <v>6.4943170000000003E-4</v>
      </c>
      <c r="O79" t="s">
        <v>56</v>
      </c>
      <c r="P79" t="s">
        <v>63</v>
      </c>
      <c r="Q79" t="s">
        <v>878</v>
      </c>
      <c r="R79" t="s">
        <v>882</v>
      </c>
      <c r="S79" t="s">
        <v>67</v>
      </c>
      <c r="T79" t="s">
        <v>963</v>
      </c>
      <c r="U79" t="s">
        <v>1187</v>
      </c>
      <c r="V79">
        <v>16</v>
      </c>
      <c r="W79" s="2">
        <v>0.1097038749</v>
      </c>
    </row>
    <row r="80" spans="1:23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>
        <v>1141685</v>
      </c>
      <c r="H80" t="s">
        <v>91</v>
      </c>
      <c r="I80" t="s">
        <v>95</v>
      </c>
      <c r="J80" t="s">
        <v>106</v>
      </c>
      <c r="K80" t="s">
        <v>479</v>
      </c>
      <c r="L80" s="1">
        <v>46143</v>
      </c>
      <c r="M80" s="1">
        <v>46173</v>
      </c>
      <c r="N80">
        <v>19.4011</v>
      </c>
      <c r="O80" t="s">
        <v>58</v>
      </c>
      <c r="P80" t="s">
        <v>63</v>
      </c>
      <c r="Q80" t="s">
        <v>877</v>
      </c>
      <c r="R80" t="s">
        <v>882</v>
      </c>
      <c r="S80" t="s">
        <v>67</v>
      </c>
      <c r="T80" t="s">
        <v>964</v>
      </c>
      <c r="U80" t="s">
        <v>1188</v>
      </c>
      <c r="V80">
        <v>16</v>
      </c>
      <c r="W80" s="2">
        <v>84617.899932</v>
      </c>
    </row>
    <row r="81" spans="1:23" x14ac:dyDescent="0.25">
      <c r="A81" t="s">
        <v>31</v>
      </c>
      <c r="B81" t="s">
        <v>32</v>
      </c>
      <c r="C81" t="s">
        <v>33</v>
      </c>
      <c r="D81" t="s">
        <v>34</v>
      </c>
      <c r="E81" t="s">
        <v>35</v>
      </c>
      <c r="F81" t="s">
        <v>36</v>
      </c>
      <c r="G81">
        <v>1141685</v>
      </c>
      <c r="H81" t="s">
        <v>91</v>
      </c>
      <c r="I81" t="s">
        <v>95</v>
      </c>
      <c r="J81" t="s">
        <v>106</v>
      </c>
      <c r="K81" t="s">
        <v>479</v>
      </c>
      <c r="L81" s="1">
        <v>46143</v>
      </c>
      <c r="M81" s="1">
        <v>46173</v>
      </c>
      <c r="N81">
        <v>2.9669400000000001</v>
      </c>
      <c r="O81" t="s">
        <v>58</v>
      </c>
      <c r="P81" t="s">
        <v>63</v>
      </c>
      <c r="Q81" t="s">
        <v>877</v>
      </c>
      <c r="R81" t="s">
        <v>882</v>
      </c>
      <c r="S81" t="s">
        <v>67</v>
      </c>
      <c r="T81" t="s">
        <v>965</v>
      </c>
      <c r="U81" t="s">
        <v>1189</v>
      </c>
      <c r="V81">
        <v>16</v>
      </c>
      <c r="W81" s="2">
        <v>12940.3117528</v>
      </c>
    </row>
    <row r="82" spans="1:23" x14ac:dyDescent="0.25">
      <c r="A82" t="s">
        <v>31</v>
      </c>
      <c r="B82" t="s">
        <v>32</v>
      </c>
      <c r="C82" t="s">
        <v>33</v>
      </c>
      <c r="D82" t="s">
        <v>34</v>
      </c>
      <c r="E82" t="s">
        <v>35</v>
      </c>
      <c r="F82" t="s">
        <v>36</v>
      </c>
      <c r="G82">
        <v>1141685</v>
      </c>
      <c r="H82" t="s">
        <v>91</v>
      </c>
      <c r="I82" t="s">
        <v>95</v>
      </c>
      <c r="J82" t="s">
        <v>106</v>
      </c>
      <c r="K82" t="s">
        <v>479</v>
      </c>
      <c r="L82" s="1">
        <v>46143</v>
      </c>
      <c r="M82" s="1">
        <v>46173</v>
      </c>
      <c r="N82">
        <v>1.1335299999999999</v>
      </c>
      <c r="O82" t="s">
        <v>58</v>
      </c>
      <c r="P82" t="s">
        <v>63</v>
      </c>
      <c r="Q82" t="s">
        <v>877</v>
      </c>
      <c r="R82" t="s">
        <v>882</v>
      </c>
      <c r="S82" t="s">
        <v>67</v>
      </c>
      <c r="T82" t="s">
        <v>966</v>
      </c>
      <c r="U82" t="s">
        <v>1190</v>
      </c>
      <c r="V82">
        <v>16</v>
      </c>
      <c r="W82" s="2">
        <v>4943.8941636</v>
      </c>
    </row>
    <row r="83" spans="1:23" x14ac:dyDescent="0.25">
      <c r="A83" t="s">
        <v>31</v>
      </c>
      <c r="B83" t="s">
        <v>32</v>
      </c>
      <c r="C83" t="s">
        <v>33</v>
      </c>
      <c r="D83" t="s">
        <v>34</v>
      </c>
      <c r="E83" t="s">
        <v>35</v>
      </c>
      <c r="F83" t="s">
        <v>36</v>
      </c>
      <c r="G83">
        <v>1141685</v>
      </c>
      <c r="H83" t="s">
        <v>77</v>
      </c>
      <c r="I83" t="s">
        <v>96</v>
      </c>
      <c r="J83" t="s">
        <v>77</v>
      </c>
      <c r="K83" t="s">
        <v>110</v>
      </c>
      <c r="L83" s="1">
        <v>46143</v>
      </c>
      <c r="M83" s="1">
        <v>46173</v>
      </c>
      <c r="N83">
        <v>744</v>
      </c>
      <c r="O83" t="s">
        <v>58</v>
      </c>
      <c r="P83" t="s">
        <v>63</v>
      </c>
      <c r="Q83" t="s">
        <v>879</v>
      </c>
      <c r="R83" t="s">
        <v>888</v>
      </c>
      <c r="S83" t="s">
        <v>67</v>
      </c>
      <c r="T83" t="s">
        <v>967</v>
      </c>
      <c r="U83" t="s">
        <v>1191</v>
      </c>
      <c r="V83">
        <v>8</v>
      </c>
      <c r="W83" s="2">
        <v>129798.2412</v>
      </c>
    </row>
    <row r="84" spans="1:23" x14ac:dyDescent="0.25">
      <c r="A84" t="s">
        <v>31</v>
      </c>
      <c r="B84" t="s">
        <v>32</v>
      </c>
      <c r="C84" t="s">
        <v>33</v>
      </c>
      <c r="D84" t="s">
        <v>34</v>
      </c>
      <c r="E84" t="s">
        <v>35</v>
      </c>
      <c r="F84" t="s">
        <v>36</v>
      </c>
      <c r="G84">
        <v>1141685</v>
      </c>
      <c r="H84" t="s">
        <v>86</v>
      </c>
      <c r="I84" t="s">
        <v>42</v>
      </c>
      <c r="J84" t="s">
        <v>86</v>
      </c>
      <c r="K84" t="s">
        <v>132</v>
      </c>
      <c r="L84" s="1">
        <v>46143</v>
      </c>
      <c r="M84" s="1">
        <v>46173</v>
      </c>
      <c r="N84">
        <v>0.99834400000000001</v>
      </c>
      <c r="O84" t="s">
        <v>135</v>
      </c>
      <c r="P84" t="s">
        <v>63</v>
      </c>
      <c r="Q84" t="s">
        <v>877</v>
      </c>
      <c r="R84" t="s">
        <v>889</v>
      </c>
      <c r="S84" t="s">
        <v>67</v>
      </c>
      <c r="T84" t="s">
        <v>968</v>
      </c>
      <c r="U84" t="s">
        <v>1192</v>
      </c>
      <c r="V84">
        <v>10</v>
      </c>
      <c r="W84" s="2">
        <v>177776.4335838758</v>
      </c>
    </row>
    <row r="85" spans="1:23" x14ac:dyDescent="0.25">
      <c r="A85" t="s">
        <v>31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>
        <v>1141685</v>
      </c>
      <c r="H85" t="s">
        <v>79</v>
      </c>
      <c r="I85" t="s">
        <v>94</v>
      </c>
      <c r="J85" t="s">
        <v>101</v>
      </c>
      <c r="K85" t="s">
        <v>116</v>
      </c>
      <c r="L85" s="1">
        <v>46143</v>
      </c>
      <c r="M85" s="1">
        <v>46173</v>
      </c>
      <c r="N85">
        <v>0.34432996900000001</v>
      </c>
      <c r="O85" t="s">
        <v>56</v>
      </c>
      <c r="P85" t="s">
        <v>63</v>
      </c>
      <c r="Q85" t="s">
        <v>878</v>
      </c>
      <c r="R85" t="s">
        <v>882</v>
      </c>
      <c r="S85" t="s">
        <v>67</v>
      </c>
      <c r="T85" t="s">
        <v>969</v>
      </c>
      <c r="U85" t="s">
        <v>1193</v>
      </c>
      <c r="V85">
        <v>15</v>
      </c>
      <c r="W85" s="2">
        <v>394.97535768440002</v>
      </c>
    </row>
    <row r="86" spans="1:23" x14ac:dyDescent="0.25">
      <c r="A86" t="s">
        <v>31</v>
      </c>
      <c r="B86" t="s">
        <v>32</v>
      </c>
      <c r="C86" t="s">
        <v>33</v>
      </c>
      <c r="D86" t="s">
        <v>34</v>
      </c>
      <c r="E86" t="s">
        <v>35</v>
      </c>
      <c r="F86" t="s">
        <v>36</v>
      </c>
      <c r="G86">
        <v>1141685</v>
      </c>
      <c r="H86" t="s">
        <v>79</v>
      </c>
      <c r="I86" t="s">
        <v>94</v>
      </c>
      <c r="J86" t="s">
        <v>101</v>
      </c>
      <c r="K86" t="s">
        <v>116</v>
      </c>
      <c r="L86" s="1">
        <v>46143</v>
      </c>
      <c r="M86" s="1">
        <v>46173</v>
      </c>
      <c r="N86">
        <v>0.32974621749999999</v>
      </c>
      <c r="O86" t="s">
        <v>56</v>
      </c>
      <c r="P86" t="s">
        <v>63</v>
      </c>
      <c r="Q86" t="s">
        <v>878</v>
      </c>
      <c r="R86" t="s">
        <v>882</v>
      </c>
      <c r="S86" t="s">
        <v>67</v>
      </c>
      <c r="T86" t="s">
        <v>970</v>
      </c>
      <c r="U86" t="s">
        <v>1194</v>
      </c>
      <c r="V86">
        <v>15</v>
      </c>
      <c r="W86" s="2">
        <v>378.55172878830001</v>
      </c>
    </row>
    <row r="87" spans="1:23" x14ac:dyDescent="0.25">
      <c r="A87" t="s">
        <v>31</v>
      </c>
      <c r="B87" t="s">
        <v>32</v>
      </c>
      <c r="C87" t="s">
        <v>33</v>
      </c>
      <c r="D87" t="s">
        <v>34</v>
      </c>
      <c r="E87" t="s">
        <v>35</v>
      </c>
      <c r="F87" t="s">
        <v>36</v>
      </c>
      <c r="G87">
        <v>1141685</v>
      </c>
      <c r="H87" t="s">
        <v>79</v>
      </c>
      <c r="I87" t="s">
        <v>94</v>
      </c>
      <c r="J87" t="s">
        <v>101</v>
      </c>
      <c r="K87" t="s">
        <v>116</v>
      </c>
      <c r="L87" s="1">
        <v>46143</v>
      </c>
      <c r="M87" s="1">
        <v>46173</v>
      </c>
      <c r="N87">
        <v>5.2921749999999997E-4</v>
      </c>
      <c r="O87" t="s">
        <v>56</v>
      </c>
      <c r="P87" t="s">
        <v>63</v>
      </c>
      <c r="Q87" t="s">
        <v>878</v>
      </c>
      <c r="R87" t="s">
        <v>882</v>
      </c>
      <c r="S87" t="s">
        <v>67</v>
      </c>
      <c r="T87" t="s">
        <v>971</v>
      </c>
      <c r="U87" t="s">
        <v>1195</v>
      </c>
      <c r="V87">
        <v>16</v>
      </c>
      <c r="W87" s="2">
        <v>0.73998412809999992</v>
      </c>
    </row>
    <row r="88" spans="1:23" x14ac:dyDescent="0.25">
      <c r="A88" t="s">
        <v>31</v>
      </c>
      <c r="B88" t="s">
        <v>32</v>
      </c>
      <c r="C88" t="s">
        <v>33</v>
      </c>
      <c r="D88" t="s">
        <v>34</v>
      </c>
      <c r="E88" t="s">
        <v>35</v>
      </c>
      <c r="F88" t="s">
        <v>36</v>
      </c>
      <c r="G88">
        <v>1141685</v>
      </c>
      <c r="H88" t="s">
        <v>79</v>
      </c>
      <c r="I88" t="s">
        <v>94</v>
      </c>
      <c r="J88" t="s">
        <v>101</v>
      </c>
      <c r="K88" t="s">
        <v>116</v>
      </c>
      <c r="L88" s="1">
        <v>46143</v>
      </c>
      <c r="M88" s="1">
        <v>46173</v>
      </c>
      <c r="N88">
        <v>1.2499300000000001E-5</v>
      </c>
      <c r="O88" t="s">
        <v>56</v>
      </c>
      <c r="P88" t="s">
        <v>63</v>
      </c>
      <c r="Q88" t="s">
        <v>878</v>
      </c>
      <c r="R88" t="s">
        <v>882</v>
      </c>
      <c r="S88" t="s">
        <v>67</v>
      </c>
      <c r="T88" t="s">
        <v>972</v>
      </c>
      <c r="U88" t="s">
        <v>1196</v>
      </c>
      <c r="V88">
        <v>16</v>
      </c>
      <c r="W88" s="2">
        <v>1.5351595900000001E-2</v>
      </c>
    </row>
    <row r="89" spans="1:23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36</v>
      </c>
      <c r="G89">
        <v>1141685</v>
      </c>
      <c r="H89" t="s">
        <v>79</v>
      </c>
      <c r="I89" t="s">
        <v>94</v>
      </c>
      <c r="J89" t="s">
        <v>101</v>
      </c>
      <c r="K89" t="s">
        <v>116</v>
      </c>
      <c r="L89" s="1">
        <v>46143</v>
      </c>
      <c r="M89" s="1">
        <v>46173</v>
      </c>
      <c r="N89">
        <v>4.8744119999999998E-4</v>
      </c>
      <c r="O89" t="s">
        <v>56</v>
      </c>
      <c r="P89" t="s">
        <v>63</v>
      </c>
      <c r="Q89" t="s">
        <v>878</v>
      </c>
      <c r="R89" t="s">
        <v>882</v>
      </c>
      <c r="S89" t="s">
        <v>67</v>
      </c>
      <c r="T89" t="s">
        <v>973</v>
      </c>
      <c r="U89" t="s">
        <v>1197</v>
      </c>
      <c r="V89">
        <v>16</v>
      </c>
      <c r="W89" s="2">
        <v>0.67867449809999991</v>
      </c>
    </row>
    <row r="90" spans="1:23" x14ac:dyDescent="0.25">
      <c r="A90" t="s">
        <v>31</v>
      </c>
      <c r="B90" t="s">
        <v>32</v>
      </c>
      <c r="C90" t="s">
        <v>33</v>
      </c>
      <c r="D90" t="s">
        <v>34</v>
      </c>
      <c r="E90" t="s">
        <v>35</v>
      </c>
      <c r="F90" t="s">
        <v>36</v>
      </c>
      <c r="G90">
        <v>1141685</v>
      </c>
      <c r="H90" t="s">
        <v>79</v>
      </c>
      <c r="I90" t="s">
        <v>94</v>
      </c>
      <c r="J90" t="s">
        <v>101</v>
      </c>
      <c r="K90" t="s">
        <v>116</v>
      </c>
      <c r="L90" s="1">
        <v>46143</v>
      </c>
      <c r="M90" s="1">
        <v>46173</v>
      </c>
      <c r="N90">
        <v>0.94407598950000005</v>
      </c>
      <c r="O90" t="s">
        <v>56</v>
      </c>
      <c r="P90" t="s">
        <v>63</v>
      </c>
      <c r="Q90" t="s">
        <v>878</v>
      </c>
      <c r="R90" t="s">
        <v>882</v>
      </c>
      <c r="S90" t="s">
        <v>67</v>
      </c>
      <c r="T90" t="s">
        <v>974</v>
      </c>
      <c r="U90" t="s">
        <v>1198</v>
      </c>
      <c r="V90">
        <v>16</v>
      </c>
      <c r="W90" s="2">
        <v>1317.6326198260001</v>
      </c>
    </row>
    <row r="91" spans="1:23" x14ac:dyDescent="0.25">
      <c r="A91" t="s">
        <v>31</v>
      </c>
      <c r="B91" t="s">
        <v>32</v>
      </c>
      <c r="C91" t="s">
        <v>33</v>
      </c>
      <c r="D91" t="s">
        <v>34</v>
      </c>
      <c r="E91" t="s">
        <v>35</v>
      </c>
      <c r="F91" t="s">
        <v>36</v>
      </c>
      <c r="G91">
        <v>1141685</v>
      </c>
      <c r="H91" t="s">
        <v>77</v>
      </c>
      <c r="I91" t="s">
        <v>96</v>
      </c>
      <c r="J91" t="s">
        <v>77</v>
      </c>
      <c r="K91" t="s">
        <v>111</v>
      </c>
      <c r="L91" s="1">
        <v>46143</v>
      </c>
      <c r="M91" s="1">
        <v>46173</v>
      </c>
      <c r="N91">
        <v>0.6443099659</v>
      </c>
      <c r="O91" t="s">
        <v>56</v>
      </c>
      <c r="P91" t="s">
        <v>63</v>
      </c>
      <c r="Q91" t="s">
        <v>878</v>
      </c>
      <c r="R91" t="s">
        <v>881</v>
      </c>
      <c r="S91" t="s">
        <v>67</v>
      </c>
      <c r="T91" t="s">
        <v>975</v>
      </c>
      <c r="U91" t="s">
        <v>1199</v>
      </c>
      <c r="V91">
        <v>15</v>
      </c>
      <c r="W91" s="2">
        <v>112.40755865120001</v>
      </c>
    </row>
    <row r="92" spans="1:23" x14ac:dyDescent="0.25">
      <c r="A92" t="s">
        <v>31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>
        <v>1141685</v>
      </c>
      <c r="H92" t="s">
        <v>77</v>
      </c>
      <c r="I92" t="s">
        <v>96</v>
      </c>
      <c r="J92" t="s">
        <v>77</v>
      </c>
      <c r="K92" t="s">
        <v>111</v>
      </c>
      <c r="L92" s="1">
        <v>46143</v>
      </c>
      <c r="M92" s="1">
        <v>46173</v>
      </c>
      <c r="N92">
        <v>1.9098213E-3</v>
      </c>
      <c r="O92" t="s">
        <v>56</v>
      </c>
      <c r="P92" t="s">
        <v>63</v>
      </c>
      <c r="Q92" t="s">
        <v>878</v>
      </c>
      <c r="R92" t="s">
        <v>882</v>
      </c>
      <c r="S92" t="s">
        <v>67</v>
      </c>
      <c r="T92" t="s">
        <v>976</v>
      </c>
      <c r="U92" t="s">
        <v>1200</v>
      </c>
      <c r="V92">
        <v>16</v>
      </c>
      <c r="W92" s="2">
        <v>0.33320493220000003</v>
      </c>
    </row>
    <row r="93" spans="1:23" x14ac:dyDescent="0.25">
      <c r="A93" t="s">
        <v>31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>
        <v>1141685</v>
      </c>
      <c r="H93" t="s">
        <v>86</v>
      </c>
      <c r="I93" t="s">
        <v>42</v>
      </c>
      <c r="J93" t="s">
        <v>86</v>
      </c>
      <c r="K93" t="s">
        <v>124</v>
      </c>
      <c r="L93" s="1">
        <v>46143</v>
      </c>
      <c r="M93" s="1">
        <v>46173</v>
      </c>
      <c r="N93">
        <v>1.5989999999999999E-3</v>
      </c>
      <c r="O93" t="s">
        <v>135</v>
      </c>
      <c r="P93" t="s">
        <v>63</v>
      </c>
      <c r="Q93" t="s">
        <v>877</v>
      </c>
      <c r="R93" t="s">
        <v>890</v>
      </c>
      <c r="S93" t="s">
        <v>67</v>
      </c>
      <c r="T93" t="s">
        <v>977</v>
      </c>
      <c r="U93" t="s">
        <v>1201</v>
      </c>
      <c r="V93">
        <v>17</v>
      </c>
      <c r="W93" s="2">
        <v>549.83321189920002</v>
      </c>
    </row>
    <row r="94" spans="1:23" x14ac:dyDescent="0.25">
      <c r="A94" t="s">
        <v>31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>
        <v>1141685</v>
      </c>
      <c r="H94" t="s">
        <v>86</v>
      </c>
      <c r="I94" t="s">
        <v>42</v>
      </c>
      <c r="J94" t="s">
        <v>86</v>
      </c>
      <c r="K94" t="s">
        <v>124</v>
      </c>
      <c r="L94" s="1">
        <v>46143</v>
      </c>
      <c r="M94" s="1">
        <v>46173</v>
      </c>
      <c r="N94">
        <v>0.18412800000000001</v>
      </c>
      <c r="O94" t="s">
        <v>135</v>
      </c>
      <c r="P94" t="s">
        <v>63</v>
      </c>
      <c r="Q94" t="s">
        <v>877</v>
      </c>
      <c r="R94" t="s">
        <v>891</v>
      </c>
      <c r="S94" t="s">
        <v>67</v>
      </c>
      <c r="T94" t="s">
        <v>978</v>
      </c>
      <c r="U94" t="s">
        <v>1202</v>
      </c>
      <c r="V94">
        <v>16</v>
      </c>
      <c r="W94" s="2">
        <v>63314.380531942399</v>
      </c>
    </row>
    <row r="95" spans="1:23" x14ac:dyDescent="0.25">
      <c r="A95" t="s">
        <v>31</v>
      </c>
      <c r="B95" t="s">
        <v>32</v>
      </c>
      <c r="C95" t="s">
        <v>33</v>
      </c>
      <c r="D95" t="s">
        <v>34</v>
      </c>
      <c r="E95" t="s">
        <v>35</v>
      </c>
      <c r="F95" t="s">
        <v>36</v>
      </c>
      <c r="G95">
        <v>1141685</v>
      </c>
      <c r="H95" t="s">
        <v>77</v>
      </c>
      <c r="I95" t="s">
        <v>96</v>
      </c>
      <c r="J95" t="s">
        <v>77</v>
      </c>
      <c r="K95" t="s">
        <v>111</v>
      </c>
      <c r="L95" s="1">
        <v>46143</v>
      </c>
      <c r="M95" s="1">
        <v>46173</v>
      </c>
      <c r="N95">
        <v>16.507367308300001</v>
      </c>
      <c r="O95" t="s">
        <v>56</v>
      </c>
      <c r="P95" t="s">
        <v>63</v>
      </c>
      <c r="Q95" t="s">
        <v>878</v>
      </c>
      <c r="R95" t="s">
        <v>881</v>
      </c>
      <c r="S95" t="s">
        <v>67</v>
      </c>
      <c r="T95" t="s">
        <v>979</v>
      </c>
      <c r="U95" t="s">
        <v>1203</v>
      </c>
      <c r="V95">
        <v>16</v>
      </c>
      <c r="W95" s="2">
        <v>2879.8802645241999</v>
      </c>
    </row>
    <row r="96" spans="1:23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>
        <v>1141685</v>
      </c>
      <c r="H96" t="s">
        <v>77</v>
      </c>
      <c r="I96" t="s">
        <v>96</v>
      </c>
      <c r="J96" t="s">
        <v>77</v>
      </c>
      <c r="K96" t="s">
        <v>111</v>
      </c>
      <c r="L96" s="1">
        <v>46143</v>
      </c>
      <c r="M96" s="1">
        <v>46173</v>
      </c>
      <c r="N96">
        <v>18.1324664401</v>
      </c>
      <c r="O96" t="s">
        <v>56</v>
      </c>
      <c r="P96" t="s">
        <v>63</v>
      </c>
      <c r="Q96" t="s">
        <v>878</v>
      </c>
      <c r="R96" t="s">
        <v>882</v>
      </c>
      <c r="S96" t="s">
        <v>67</v>
      </c>
      <c r="T96" t="s">
        <v>980</v>
      </c>
      <c r="U96" t="s">
        <v>1204</v>
      </c>
      <c r="V96">
        <v>16</v>
      </c>
      <c r="W96" s="2">
        <v>3163.3932837214002</v>
      </c>
    </row>
    <row r="97" spans="1:23" x14ac:dyDescent="0.25">
      <c r="A97" t="s">
        <v>31</v>
      </c>
      <c r="B97" t="s">
        <v>32</v>
      </c>
      <c r="C97" t="s">
        <v>33</v>
      </c>
      <c r="D97" t="s">
        <v>34</v>
      </c>
      <c r="E97" t="s">
        <v>35</v>
      </c>
      <c r="F97" t="s">
        <v>36</v>
      </c>
      <c r="G97">
        <v>1141685</v>
      </c>
      <c r="H97" t="s">
        <v>76</v>
      </c>
      <c r="I97" t="s">
        <v>95</v>
      </c>
      <c r="J97" t="s">
        <v>99</v>
      </c>
      <c r="K97" t="s">
        <v>109</v>
      </c>
      <c r="L97" s="1">
        <v>46143</v>
      </c>
      <c r="M97" s="1">
        <v>46173</v>
      </c>
      <c r="N97">
        <v>76</v>
      </c>
      <c r="O97" t="s">
        <v>58</v>
      </c>
      <c r="P97" t="s">
        <v>63</v>
      </c>
      <c r="Q97" t="s">
        <v>877</v>
      </c>
      <c r="R97" t="s">
        <v>884</v>
      </c>
      <c r="S97" t="s">
        <v>67</v>
      </c>
      <c r="T97" t="s">
        <v>941</v>
      </c>
      <c r="U97" t="s">
        <v>1165</v>
      </c>
      <c r="V97">
        <v>17</v>
      </c>
      <c r="W97" s="2">
        <v>0</v>
      </c>
    </row>
    <row r="98" spans="1:23" x14ac:dyDescent="0.25">
      <c r="A98" t="s">
        <v>31</v>
      </c>
      <c r="B98" t="s">
        <v>32</v>
      </c>
      <c r="C98" t="s">
        <v>33</v>
      </c>
      <c r="D98" t="s">
        <v>34</v>
      </c>
      <c r="E98" t="s">
        <v>35</v>
      </c>
      <c r="F98" t="s">
        <v>36</v>
      </c>
      <c r="G98">
        <v>1141685</v>
      </c>
      <c r="H98" t="s">
        <v>76</v>
      </c>
      <c r="I98" t="s">
        <v>95</v>
      </c>
      <c r="J98" t="s">
        <v>99</v>
      </c>
      <c r="K98" t="s">
        <v>109</v>
      </c>
      <c r="L98" s="1">
        <v>46143</v>
      </c>
      <c r="M98" s="1">
        <v>46173</v>
      </c>
      <c r="N98">
        <v>0.23333699999999999</v>
      </c>
      <c r="O98" t="s">
        <v>58</v>
      </c>
      <c r="P98" t="s">
        <v>63</v>
      </c>
      <c r="Q98" t="s">
        <v>877</v>
      </c>
      <c r="R98" t="s">
        <v>882</v>
      </c>
      <c r="S98" t="s">
        <v>67</v>
      </c>
      <c r="T98" t="s">
        <v>906</v>
      </c>
      <c r="U98" t="s">
        <v>1130</v>
      </c>
      <c r="V98">
        <v>16</v>
      </c>
      <c r="W98" s="2">
        <v>0</v>
      </c>
    </row>
    <row r="99" spans="1:23" x14ac:dyDescent="0.25">
      <c r="A99" t="s">
        <v>31</v>
      </c>
      <c r="B99" t="s">
        <v>32</v>
      </c>
      <c r="C99" t="s">
        <v>33</v>
      </c>
      <c r="D99" t="s">
        <v>34</v>
      </c>
      <c r="E99" t="s">
        <v>35</v>
      </c>
      <c r="F99" t="s">
        <v>36</v>
      </c>
      <c r="G99">
        <v>1141685</v>
      </c>
      <c r="H99" t="s">
        <v>76</v>
      </c>
      <c r="I99" t="s">
        <v>95</v>
      </c>
      <c r="J99" t="s">
        <v>99</v>
      </c>
      <c r="K99" t="s">
        <v>109</v>
      </c>
      <c r="L99" s="1">
        <v>46143</v>
      </c>
      <c r="M99" s="1">
        <v>46173</v>
      </c>
      <c r="N99">
        <v>0.13333600000000001</v>
      </c>
      <c r="O99" t="s">
        <v>58</v>
      </c>
      <c r="P99" t="s">
        <v>63</v>
      </c>
      <c r="Q99" t="s">
        <v>877</v>
      </c>
      <c r="R99" t="s">
        <v>882</v>
      </c>
      <c r="S99" t="s">
        <v>67</v>
      </c>
      <c r="T99" t="s">
        <v>906</v>
      </c>
      <c r="U99" t="s">
        <v>1130</v>
      </c>
      <c r="V99">
        <v>16</v>
      </c>
      <c r="W99" s="2">
        <v>0</v>
      </c>
    </row>
    <row r="100" spans="1:23" x14ac:dyDescent="0.25">
      <c r="A100" t="s">
        <v>31</v>
      </c>
      <c r="B100" t="s">
        <v>32</v>
      </c>
      <c r="C100" t="s">
        <v>33</v>
      </c>
      <c r="D100" t="s">
        <v>34</v>
      </c>
      <c r="E100" t="s">
        <v>35</v>
      </c>
      <c r="F100" t="s">
        <v>36</v>
      </c>
      <c r="G100">
        <v>1141685</v>
      </c>
      <c r="H100" t="s">
        <v>76</v>
      </c>
      <c r="I100" t="s">
        <v>95</v>
      </c>
      <c r="J100" t="s">
        <v>99</v>
      </c>
      <c r="K100" t="s">
        <v>109</v>
      </c>
      <c r="L100" s="1">
        <v>46143</v>
      </c>
      <c r="M100" s="1">
        <v>46173</v>
      </c>
      <c r="N100">
        <v>49.500131000000003</v>
      </c>
      <c r="O100" t="s">
        <v>58</v>
      </c>
      <c r="P100" t="s">
        <v>63</v>
      </c>
      <c r="Q100" t="s">
        <v>877</v>
      </c>
      <c r="R100" t="s">
        <v>882</v>
      </c>
      <c r="S100" t="s">
        <v>67</v>
      </c>
      <c r="T100" t="s">
        <v>903</v>
      </c>
      <c r="U100" t="s">
        <v>1127</v>
      </c>
      <c r="V100">
        <v>15</v>
      </c>
      <c r="W100" s="2">
        <v>0</v>
      </c>
    </row>
    <row r="101" spans="1:23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>
        <v>1141685</v>
      </c>
      <c r="H101" t="s">
        <v>76</v>
      </c>
      <c r="I101" t="s">
        <v>95</v>
      </c>
      <c r="J101" t="s">
        <v>99</v>
      </c>
      <c r="K101" t="s">
        <v>109</v>
      </c>
      <c r="L101" s="1">
        <v>46143</v>
      </c>
      <c r="M101" s="1">
        <v>46173</v>
      </c>
      <c r="N101">
        <v>1</v>
      </c>
      <c r="O101" t="s">
        <v>58</v>
      </c>
      <c r="P101" t="s">
        <v>63</v>
      </c>
      <c r="Q101" t="s">
        <v>877</v>
      </c>
      <c r="R101" t="s">
        <v>882</v>
      </c>
      <c r="S101" t="s">
        <v>67</v>
      </c>
      <c r="T101" t="s">
        <v>906</v>
      </c>
      <c r="U101" t="s">
        <v>1130</v>
      </c>
      <c r="V101">
        <v>16</v>
      </c>
      <c r="W101" s="2">
        <v>0</v>
      </c>
    </row>
    <row r="102" spans="1:23" x14ac:dyDescent="0.25">
      <c r="A102" t="s">
        <v>31</v>
      </c>
      <c r="B102" t="s">
        <v>32</v>
      </c>
      <c r="C102" t="s">
        <v>33</v>
      </c>
      <c r="D102" t="s">
        <v>34</v>
      </c>
      <c r="E102" t="s">
        <v>35</v>
      </c>
      <c r="F102" t="s">
        <v>36</v>
      </c>
      <c r="G102">
        <v>1141685</v>
      </c>
      <c r="H102" t="s">
        <v>76</v>
      </c>
      <c r="I102" t="s">
        <v>95</v>
      </c>
      <c r="J102" t="s">
        <v>99</v>
      </c>
      <c r="K102" t="s">
        <v>109</v>
      </c>
      <c r="L102" s="1">
        <v>46143</v>
      </c>
      <c r="M102" s="1">
        <v>46173</v>
      </c>
      <c r="N102">
        <v>30.100234</v>
      </c>
      <c r="O102" t="s">
        <v>58</v>
      </c>
      <c r="P102" t="s">
        <v>63</v>
      </c>
      <c r="Q102" t="s">
        <v>877</v>
      </c>
      <c r="R102" t="s">
        <v>882</v>
      </c>
      <c r="S102" t="s">
        <v>67</v>
      </c>
      <c r="T102" t="s">
        <v>906</v>
      </c>
      <c r="U102" t="s">
        <v>1130</v>
      </c>
      <c r="V102">
        <v>16</v>
      </c>
      <c r="W102" s="2">
        <v>0</v>
      </c>
    </row>
    <row r="103" spans="1:23" x14ac:dyDescent="0.25">
      <c r="A103" t="s">
        <v>31</v>
      </c>
      <c r="B103" t="s">
        <v>32</v>
      </c>
      <c r="C103" t="s">
        <v>33</v>
      </c>
      <c r="D103" t="s">
        <v>34</v>
      </c>
      <c r="E103" t="s">
        <v>35</v>
      </c>
      <c r="F103" t="s">
        <v>36</v>
      </c>
      <c r="G103">
        <v>1141685</v>
      </c>
      <c r="H103" t="s">
        <v>76</v>
      </c>
      <c r="I103" t="s">
        <v>95</v>
      </c>
      <c r="J103" t="s">
        <v>99</v>
      </c>
      <c r="K103" t="s">
        <v>109</v>
      </c>
      <c r="L103" s="1">
        <v>46143</v>
      </c>
      <c r="M103" s="1">
        <v>46173</v>
      </c>
      <c r="N103">
        <v>84</v>
      </c>
      <c r="O103" t="s">
        <v>58</v>
      </c>
      <c r="P103" t="s">
        <v>63</v>
      </c>
      <c r="Q103" t="s">
        <v>877</v>
      </c>
      <c r="R103" t="s">
        <v>882</v>
      </c>
      <c r="S103" t="s">
        <v>67</v>
      </c>
      <c r="T103" t="s">
        <v>906</v>
      </c>
      <c r="U103" t="s">
        <v>1130</v>
      </c>
      <c r="V103">
        <v>16</v>
      </c>
      <c r="W103" s="2">
        <v>0</v>
      </c>
    </row>
    <row r="104" spans="1:23" x14ac:dyDescent="0.25">
      <c r="A104" t="s">
        <v>31</v>
      </c>
      <c r="B104" t="s">
        <v>32</v>
      </c>
      <c r="C104" t="s">
        <v>33</v>
      </c>
      <c r="D104" t="s">
        <v>34</v>
      </c>
      <c r="E104" t="s">
        <v>35</v>
      </c>
      <c r="F104" t="s">
        <v>36</v>
      </c>
      <c r="G104">
        <v>1141685</v>
      </c>
      <c r="H104" t="s">
        <v>76</v>
      </c>
      <c r="I104" t="s">
        <v>95</v>
      </c>
      <c r="J104" t="s">
        <v>99</v>
      </c>
      <c r="K104" t="s">
        <v>109</v>
      </c>
      <c r="L104" s="1">
        <v>46143</v>
      </c>
      <c r="M104" s="1">
        <v>46173</v>
      </c>
      <c r="N104">
        <v>6.6668000000000005E-2</v>
      </c>
      <c r="O104" t="s">
        <v>58</v>
      </c>
      <c r="P104" t="s">
        <v>63</v>
      </c>
      <c r="Q104" t="s">
        <v>877</v>
      </c>
      <c r="R104" t="s">
        <v>882</v>
      </c>
      <c r="S104" t="s">
        <v>67</v>
      </c>
      <c r="T104" t="s">
        <v>906</v>
      </c>
      <c r="U104" t="s">
        <v>1130</v>
      </c>
      <c r="V104">
        <v>16</v>
      </c>
      <c r="W104" s="2">
        <v>0</v>
      </c>
    </row>
    <row r="105" spans="1:23" x14ac:dyDescent="0.25">
      <c r="A105" t="s">
        <v>31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>
        <v>1141685</v>
      </c>
      <c r="H105" t="s">
        <v>76</v>
      </c>
      <c r="I105" t="s">
        <v>95</v>
      </c>
      <c r="J105" t="s">
        <v>99</v>
      </c>
      <c r="K105" t="s">
        <v>109</v>
      </c>
      <c r="L105" s="1">
        <v>46143</v>
      </c>
      <c r="M105" s="1">
        <v>46173</v>
      </c>
      <c r="N105">
        <v>0.90011200000000002</v>
      </c>
      <c r="O105" t="s">
        <v>58</v>
      </c>
      <c r="P105" t="s">
        <v>63</v>
      </c>
      <c r="Q105" t="s">
        <v>877</v>
      </c>
      <c r="R105" t="s">
        <v>882</v>
      </c>
      <c r="S105" t="s">
        <v>67</v>
      </c>
      <c r="T105" t="s">
        <v>906</v>
      </c>
      <c r="U105" t="s">
        <v>1130</v>
      </c>
      <c r="V105">
        <v>16</v>
      </c>
      <c r="W105" s="2">
        <v>0</v>
      </c>
    </row>
    <row r="106" spans="1:23" x14ac:dyDescent="0.25">
      <c r="A106" t="s">
        <v>31</v>
      </c>
      <c r="B106" t="s">
        <v>32</v>
      </c>
      <c r="C106" t="s">
        <v>33</v>
      </c>
      <c r="D106" t="s">
        <v>34</v>
      </c>
      <c r="E106" t="s">
        <v>35</v>
      </c>
      <c r="F106" t="s">
        <v>36</v>
      </c>
      <c r="G106">
        <v>1141685</v>
      </c>
      <c r="H106" t="s">
        <v>77</v>
      </c>
      <c r="I106" t="s">
        <v>96</v>
      </c>
      <c r="J106" t="s">
        <v>77</v>
      </c>
      <c r="K106" t="s">
        <v>113</v>
      </c>
      <c r="L106" s="1">
        <v>46143</v>
      </c>
      <c r="M106" s="1">
        <v>46173</v>
      </c>
      <c r="N106">
        <v>6.2682347400000005E-2</v>
      </c>
      <c r="O106" t="s">
        <v>56</v>
      </c>
      <c r="P106" t="s">
        <v>63</v>
      </c>
      <c r="Q106" t="s">
        <v>879</v>
      </c>
      <c r="R106" t="s">
        <v>885</v>
      </c>
      <c r="S106" t="s">
        <v>67</v>
      </c>
      <c r="T106" t="s">
        <v>981</v>
      </c>
      <c r="U106" t="s">
        <v>1205</v>
      </c>
      <c r="V106">
        <v>7</v>
      </c>
      <c r="W106" s="2">
        <v>10.933294842</v>
      </c>
    </row>
    <row r="107" spans="1:23" x14ac:dyDescent="0.25">
      <c r="A107" t="s">
        <v>31</v>
      </c>
      <c r="B107" t="s">
        <v>32</v>
      </c>
      <c r="C107" t="s">
        <v>33</v>
      </c>
      <c r="D107" t="s">
        <v>34</v>
      </c>
      <c r="E107" t="s">
        <v>35</v>
      </c>
      <c r="F107" t="s">
        <v>36</v>
      </c>
      <c r="G107">
        <v>1141685</v>
      </c>
      <c r="H107" t="s">
        <v>76</v>
      </c>
      <c r="I107" t="s">
        <v>95</v>
      </c>
      <c r="J107" t="s">
        <v>99</v>
      </c>
      <c r="K107" t="s">
        <v>109</v>
      </c>
      <c r="L107" s="1">
        <v>46143</v>
      </c>
      <c r="M107" s="1">
        <v>46173</v>
      </c>
      <c r="N107">
        <v>1</v>
      </c>
      <c r="O107" t="s">
        <v>58</v>
      </c>
      <c r="P107" t="s">
        <v>63</v>
      </c>
      <c r="Q107" t="s">
        <v>877</v>
      </c>
      <c r="R107" t="s">
        <v>882</v>
      </c>
      <c r="S107" t="s">
        <v>67</v>
      </c>
      <c r="T107" t="s">
        <v>906</v>
      </c>
      <c r="U107" t="s">
        <v>1130</v>
      </c>
      <c r="V107">
        <v>16</v>
      </c>
      <c r="W107" s="2">
        <v>0</v>
      </c>
    </row>
    <row r="108" spans="1:23" x14ac:dyDescent="0.25">
      <c r="A108" t="s">
        <v>31</v>
      </c>
      <c r="B108" t="s">
        <v>32</v>
      </c>
      <c r="C108" t="s">
        <v>33</v>
      </c>
      <c r="D108" t="s">
        <v>34</v>
      </c>
      <c r="E108" t="s">
        <v>35</v>
      </c>
      <c r="F108" t="s">
        <v>36</v>
      </c>
      <c r="G108">
        <v>1141685</v>
      </c>
      <c r="H108" t="s">
        <v>77</v>
      </c>
      <c r="I108" t="s">
        <v>96</v>
      </c>
      <c r="J108" t="s">
        <v>77</v>
      </c>
      <c r="K108" t="s">
        <v>111</v>
      </c>
      <c r="L108" s="1">
        <v>46143</v>
      </c>
      <c r="M108" s="1">
        <v>46173</v>
      </c>
      <c r="N108">
        <v>1.1718741600000001E-2</v>
      </c>
      <c r="O108" t="s">
        <v>56</v>
      </c>
      <c r="P108" t="s">
        <v>63</v>
      </c>
      <c r="Q108" t="s">
        <v>878</v>
      </c>
      <c r="R108" t="s">
        <v>882</v>
      </c>
      <c r="S108" t="s">
        <v>67</v>
      </c>
      <c r="T108" t="s">
        <v>982</v>
      </c>
      <c r="U108" t="s">
        <v>1206</v>
      </c>
      <c r="V108">
        <v>16</v>
      </c>
      <c r="W108" s="2">
        <v>2.0491174631</v>
      </c>
    </row>
    <row r="109" spans="1:23" x14ac:dyDescent="0.25">
      <c r="A109" t="s">
        <v>31</v>
      </c>
      <c r="B109" t="s">
        <v>32</v>
      </c>
      <c r="C109" t="s">
        <v>33</v>
      </c>
      <c r="D109" t="s">
        <v>34</v>
      </c>
      <c r="E109" t="s">
        <v>35</v>
      </c>
      <c r="F109" t="s">
        <v>36</v>
      </c>
      <c r="G109">
        <v>1141685</v>
      </c>
      <c r="H109" t="s">
        <v>77</v>
      </c>
      <c r="I109" t="s">
        <v>96</v>
      </c>
      <c r="J109" t="s">
        <v>77</v>
      </c>
      <c r="K109" t="s">
        <v>111</v>
      </c>
      <c r="L109" s="1">
        <v>46143</v>
      </c>
      <c r="M109" s="1">
        <v>46173</v>
      </c>
      <c r="N109">
        <v>0.1116433563</v>
      </c>
      <c r="O109" t="s">
        <v>56</v>
      </c>
      <c r="P109" t="s">
        <v>63</v>
      </c>
      <c r="Q109" t="s">
        <v>878</v>
      </c>
      <c r="R109" t="s">
        <v>882</v>
      </c>
      <c r="S109" t="s">
        <v>67</v>
      </c>
      <c r="T109" t="s">
        <v>983</v>
      </c>
      <c r="U109" t="s">
        <v>1207</v>
      </c>
      <c r="V109">
        <v>16</v>
      </c>
      <c r="W109" s="2">
        <v>19.480023942799999</v>
      </c>
    </row>
    <row r="110" spans="1:23" x14ac:dyDescent="0.25">
      <c r="A110" t="s">
        <v>31</v>
      </c>
      <c r="B110" t="s">
        <v>32</v>
      </c>
      <c r="C110" t="s">
        <v>33</v>
      </c>
      <c r="D110" t="s">
        <v>34</v>
      </c>
      <c r="E110" t="s">
        <v>35</v>
      </c>
      <c r="F110" t="s">
        <v>36</v>
      </c>
      <c r="G110">
        <v>1141685</v>
      </c>
      <c r="H110" t="s">
        <v>77</v>
      </c>
      <c r="I110" t="s">
        <v>96</v>
      </c>
      <c r="J110" t="s">
        <v>77</v>
      </c>
      <c r="K110" t="s">
        <v>111</v>
      </c>
      <c r="L110" s="1">
        <v>46143</v>
      </c>
      <c r="M110" s="1">
        <v>46173</v>
      </c>
      <c r="N110">
        <v>1.7798739E-3</v>
      </c>
      <c r="O110" t="s">
        <v>56</v>
      </c>
      <c r="P110" t="s">
        <v>63</v>
      </c>
      <c r="Q110" t="s">
        <v>878</v>
      </c>
      <c r="R110" t="s">
        <v>881</v>
      </c>
      <c r="S110" t="s">
        <v>67</v>
      </c>
      <c r="T110" t="s">
        <v>984</v>
      </c>
      <c r="U110" t="s">
        <v>1208</v>
      </c>
      <c r="V110">
        <v>16</v>
      </c>
      <c r="W110" s="2">
        <v>0.31325477769999999</v>
      </c>
    </row>
    <row r="111" spans="1:23" x14ac:dyDescent="0.25">
      <c r="A111" t="s">
        <v>31</v>
      </c>
      <c r="B111" t="s">
        <v>32</v>
      </c>
      <c r="C111" t="s">
        <v>33</v>
      </c>
      <c r="D111" t="s">
        <v>34</v>
      </c>
      <c r="E111" t="s">
        <v>35</v>
      </c>
      <c r="F111" t="s">
        <v>36</v>
      </c>
      <c r="G111">
        <v>1141685</v>
      </c>
      <c r="H111" t="s">
        <v>77</v>
      </c>
      <c r="I111" t="s">
        <v>96</v>
      </c>
      <c r="J111" t="s">
        <v>77</v>
      </c>
      <c r="K111" t="s">
        <v>111</v>
      </c>
      <c r="L111" s="1">
        <v>46143</v>
      </c>
      <c r="M111" s="1">
        <v>46173</v>
      </c>
      <c r="N111">
        <v>16.489084766200001</v>
      </c>
      <c r="O111" t="s">
        <v>56</v>
      </c>
      <c r="P111" t="s">
        <v>63</v>
      </c>
      <c r="Q111" t="s">
        <v>878</v>
      </c>
      <c r="R111" t="s">
        <v>882</v>
      </c>
      <c r="S111" t="s">
        <v>67</v>
      </c>
      <c r="T111" t="s">
        <v>985</v>
      </c>
      <c r="U111" t="s">
        <v>1209</v>
      </c>
      <c r="V111">
        <v>15</v>
      </c>
      <c r="W111" s="2">
        <v>2876.6834409210001</v>
      </c>
    </row>
    <row r="112" spans="1:23" x14ac:dyDescent="0.25">
      <c r="A112" t="s">
        <v>31</v>
      </c>
      <c r="B112" t="s">
        <v>32</v>
      </c>
      <c r="C112" t="s">
        <v>33</v>
      </c>
      <c r="D112" t="s">
        <v>34</v>
      </c>
      <c r="E112" t="s">
        <v>35</v>
      </c>
      <c r="F112" t="s">
        <v>36</v>
      </c>
      <c r="G112">
        <v>1141685</v>
      </c>
      <c r="H112" t="s">
        <v>77</v>
      </c>
      <c r="I112" t="s">
        <v>96</v>
      </c>
      <c r="J112" t="s">
        <v>77</v>
      </c>
      <c r="K112" t="s">
        <v>113</v>
      </c>
      <c r="L112" s="1">
        <v>46143</v>
      </c>
      <c r="M112" s="1">
        <v>46173</v>
      </c>
      <c r="N112">
        <v>3.1523645203999999</v>
      </c>
      <c r="O112" t="s">
        <v>56</v>
      </c>
      <c r="P112" t="s">
        <v>63</v>
      </c>
      <c r="Q112" t="s">
        <v>878</v>
      </c>
      <c r="R112" t="s">
        <v>881</v>
      </c>
      <c r="S112" t="s">
        <v>67</v>
      </c>
      <c r="T112" t="s">
        <v>986</v>
      </c>
      <c r="U112" t="s">
        <v>1210</v>
      </c>
      <c r="V112">
        <v>15</v>
      </c>
      <c r="W112" s="2">
        <v>549.96613251410008</v>
      </c>
    </row>
    <row r="113" spans="1:23" x14ac:dyDescent="0.25">
      <c r="A113" t="s">
        <v>31</v>
      </c>
      <c r="B113" t="s">
        <v>32</v>
      </c>
      <c r="C113" t="s">
        <v>33</v>
      </c>
      <c r="D113" t="s">
        <v>34</v>
      </c>
      <c r="E113" t="s">
        <v>35</v>
      </c>
      <c r="F113" t="s">
        <v>36</v>
      </c>
      <c r="G113">
        <v>1141685</v>
      </c>
      <c r="H113" t="s">
        <v>77</v>
      </c>
      <c r="I113" t="s">
        <v>96</v>
      </c>
      <c r="J113" t="s">
        <v>77</v>
      </c>
      <c r="K113" t="s">
        <v>113</v>
      </c>
      <c r="L113" s="1">
        <v>46143</v>
      </c>
      <c r="M113" s="1">
        <v>46173</v>
      </c>
      <c r="N113">
        <v>2.1979771999999999E-3</v>
      </c>
      <c r="O113" t="s">
        <v>56</v>
      </c>
      <c r="P113" t="s">
        <v>63</v>
      </c>
      <c r="Q113" t="s">
        <v>878</v>
      </c>
      <c r="R113" t="s">
        <v>882</v>
      </c>
      <c r="S113" t="s">
        <v>67</v>
      </c>
      <c r="T113" t="s">
        <v>987</v>
      </c>
      <c r="U113" t="s">
        <v>1211</v>
      </c>
      <c r="V113">
        <v>16</v>
      </c>
      <c r="W113" s="2">
        <v>0.3874440032</v>
      </c>
    </row>
    <row r="114" spans="1:23" x14ac:dyDescent="0.25">
      <c r="A114" t="s">
        <v>31</v>
      </c>
      <c r="B114" t="s">
        <v>32</v>
      </c>
      <c r="C114" t="s">
        <v>33</v>
      </c>
      <c r="D114" t="s">
        <v>34</v>
      </c>
      <c r="E114" t="s">
        <v>35</v>
      </c>
      <c r="F114" t="s">
        <v>36</v>
      </c>
      <c r="G114">
        <v>1141685</v>
      </c>
      <c r="H114" t="s">
        <v>79</v>
      </c>
      <c r="I114" t="s">
        <v>94</v>
      </c>
      <c r="J114" t="s">
        <v>101</v>
      </c>
      <c r="K114" t="s">
        <v>114</v>
      </c>
      <c r="L114" s="1">
        <v>46143</v>
      </c>
      <c r="M114" s="1">
        <v>46173</v>
      </c>
      <c r="N114">
        <v>5.875686E-4</v>
      </c>
      <c r="O114" t="s">
        <v>56</v>
      </c>
      <c r="P114" t="s">
        <v>63</v>
      </c>
      <c r="Q114" t="s">
        <v>878</v>
      </c>
      <c r="R114" t="s">
        <v>884</v>
      </c>
      <c r="S114" t="s">
        <v>67</v>
      </c>
      <c r="T114" t="s">
        <v>988</v>
      </c>
      <c r="U114" t="s">
        <v>1212</v>
      </c>
      <c r="V114">
        <v>16</v>
      </c>
      <c r="W114" s="2">
        <v>0.82165083640000003</v>
      </c>
    </row>
    <row r="115" spans="1:23" x14ac:dyDescent="0.25">
      <c r="A115" t="s">
        <v>31</v>
      </c>
      <c r="B115" t="s">
        <v>32</v>
      </c>
      <c r="C115" t="s">
        <v>33</v>
      </c>
      <c r="D115" t="s">
        <v>34</v>
      </c>
      <c r="E115" t="s">
        <v>35</v>
      </c>
      <c r="F115" t="s">
        <v>36</v>
      </c>
      <c r="G115">
        <v>1141685</v>
      </c>
      <c r="H115" t="s">
        <v>79</v>
      </c>
      <c r="I115" t="s">
        <v>94</v>
      </c>
      <c r="J115" t="s">
        <v>101</v>
      </c>
      <c r="K115" t="s">
        <v>114</v>
      </c>
      <c r="L115" s="1">
        <v>46143</v>
      </c>
      <c r="M115" s="1">
        <v>46173</v>
      </c>
      <c r="N115">
        <v>5.5899999999999998E-8</v>
      </c>
      <c r="O115" t="s">
        <v>56</v>
      </c>
      <c r="P115" t="s">
        <v>63</v>
      </c>
      <c r="Q115" t="s">
        <v>878</v>
      </c>
      <c r="R115" t="s">
        <v>884</v>
      </c>
      <c r="S115" t="s">
        <v>67</v>
      </c>
      <c r="T115" t="s">
        <v>989</v>
      </c>
      <c r="U115" t="s">
        <v>1213</v>
      </c>
      <c r="V115">
        <v>17</v>
      </c>
      <c r="W115" s="2">
        <v>6.86308E-5</v>
      </c>
    </row>
    <row r="116" spans="1:23" x14ac:dyDescent="0.25">
      <c r="A116" t="s">
        <v>31</v>
      </c>
      <c r="B116" t="s">
        <v>32</v>
      </c>
      <c r="C116" t="s">
        <v>33</v>
      </c>
      <c r="D116" t="s">
        <v>34</v>
      </c>
      <c r="E116" t="s">
        <v>35</v>
      </c>
      <c r="F116" t="s">
        <v>36</v>
      </c>
      <c r="G116">
        <v>1141685</v>
      </c>
      <c r="H116" t="s">
        <v>79</v>
      </c>
      <c r="I116" t="s">
        <v>94</v>
      </c>
      <c r="J116" t="s">
        <v>101</v>
      </c>
      <c r="K116" t="s">
        <v>114</v>
      </c>
      <c r="L116" s="1">
        <v>46143</v>
      </c>
      <c r="M116" s="1">
        <v>46173</v>
      </c>
      <c r="N116">
        <v>0.47879725690000002</v>
      </c>
      <c r="O116" t="s">
        <v>56</v>
      </c>
      <c r="P116" t="s">
        <v>63</v>
      </c>
      <c r="Q116" t="s">
        <v>878</v>
      </c>
      <c r="R116" t="s">
        <v>881</v>
      </c>
      <c r="S116" t="s">
        <v>67</v>
      </c>
      <c r="T116" t="s">
        <v>990</v>
      </c>
      <c r="U116" t="s">
        <v>1214</v>
      </c>
      <c r="V116">
        <v>16</v>
      </c>
      <c r="W116" s="2">
        <v>668.24802490420007</v>
      </c>
    </row>
    <row r="117" spans="1:23" x14ac:dyDescent="0.25">
      <c r="A117" t="s">
        <v>31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>
        <v>1141685</v>
      </c>
      <c r="H117" t="s">
        <v>79</v>
      </c>
      <c r="I117" t="s">
        <v>94</v>
      </c>
      <c r="J117" t="s">
        <v>101</v>
      </c>
      <c r="K117" t="s">
        <v>114</v>
      </c>
      <c r="L117" s="1">
        <v>46143</v>
      </c>
      <c r="M117" s="1">
        <v>46173</v>
      </c>
      <c r="N117">
        <v>1.4305443559</v>
      </c>
      <c r="O117" t="s">
        <v>56</v>
      </c>
      <c r="P117" t="s">
        <v>63</v>
      </c>
      <c r="Q117" t="s">
        <v>878</v>
      </c>
      <c r="R117" t="s">
        <v>882</v>
      </c>
      <c r="S117" t="s">
        <v>67</v>
      </c>
      <c r="T117" t="s">
        <v>991</v>
      </c>
      <c r="U117" t="s">
        <v>1215</v>
      </c>
      <c r="V117">
        <v>16</v>
      </c>
      <c r="W117" s="2">
        <v>1996.5822890241</v>
      </c>
    </row>
    <row r="118" spans="1:23" x14ac:dyDescent="0.25">
      <c r="A118" t="s">
        <v>31</v>
      </c>
      <c r="B118" t="s">
        <v>32</v>
      </c>
      <c r="C118" t="s">
        <v>33</v>
      </c>
      <c r="D118" t="s">
        <v>34</v>
      </c>
      <c r="E118" t="s">
        <v>35</v>
      </c>
      <c r="F118" t="s">
        <v>36</v>
      </c>
      <c r="G118">
        <v>1141685</v>
      </c>
      <c r="H118" t="s">
        <v>79</v>
      </c>
      <c r="I118" t="s">
        <v>94</v>
      </c>
      <c r="J118" t="s">
        <v>101</v>
      </c>
      <c r="K118" t="s">
        <v>114</v>
      </c>
      <c r="L118" s="1">
        <v>46143</v>
      </c>
      <c r="M118" s="1">
        <v>46173</v>
      </c>
      <c r="N118">
        <v>4.8002229491000001</v>
      </c>
      <c r="O118" t="s">
        <v>56</v>
      </c>
      <c r="P118" t="s">
        <v>63</v>
      </c>
      <c r="Q118" t="s">
        <v>878</v>
      </c>
      <c r="R118" t="s">
        <v>882</v>
      </c>
      <c r="S118" t="s">
        <v>67</v>
      </c>
      <c r="T118" t="s">
        <v>992</v>
      </c>
      <c r="U118" t="s">
        <v>1216</v>
      </c>
      <c r="V118">
        <v>16</v>
      </c>
      <c r="W118" s="2">
        <v>6699.5761457574999</v>
      </c>
    </row>
    <row r="119" spans="1:23" x14ac:dyDescent="0.25">
      <c r="A119" t="s">
        <v>31</v>
      </c>
      <c r="B119" t="s">
        <v>32</v>
      </c>
      <c r="C119" t="s">
        <v>33</v>
      </c>
      <c r="D119" t="s">
        <v>34</v>
      </c>
      <c r="E119" t="s">
        <v>35</v>
      </c>
      <c r="F119" t="s">
        <v>36</v>
      </c>
      <c r="G119">
        <v>1141685</v>
      </c>
      <c r="H119" t="s">
        <v>91</v>
      </c>
      <c r="I119" t="s">
        <v>95</v>
      </c>
      <c r="J119" t="s">
        <v>106</v>
      </c>
      <c r="K119" t="s">
        <v>479</v>
      </c>
      <c r="L119" s="1">
        <v>46143</v>
      </c>
      <c r="M119" s="1">
        <v>46173</v>
      </c>
      <c r="N119">
        <v>8.8680000000000003</v>
      </c>
      <c r="O119" t="s">
        <v>58</v>
      </c>
      <c r="P119" t="s">
        <v>63</v>
      </c>
      <c r="Q119" t="s">
        <v>877</v>
      </c>
      <c r="R119" t="s">
        <v>882</v>
      </c>
      <c r="S119" t="s">
        <v>67</v>
      </c>
      <c r="T119" t="s">
        <v>993</v>
      </c>
      <c r="U119" t="s">
        <v>1217</v>
      </c>
      <c r="V119">
        <v>16</v>
      </c>
      <c r="W119" s="2">
        <v>38677.778160000002</v>
      </c>
    </row>
    <row r="120" spans="1:23" x14ac:dyDescent="0.25">
      <c r="A120" t="s">
        <v>31</v>
      </c>
      <c r="B120" t="s">
        <v>32</v>
      </c>
      <c r="C120" t="s">
        <v>33</v>
      </c>
      <c r="D120" t="s">
        <v>34</v>
      </c>
      <c r="E120" t="s">
        <v>35</v>
      </c>
      <c r="F120" t="s">
        <v>36</v>
      </c>
      <c r="G120">
        <v>1141685</v>
      </c>
      <c r="H120" t="s">
        <v>91</v>
      </c>
      <c r="I120" t="s">
        <v>95</v>
      </c>
      <c r="J120" t="s">
        <v>106</v>
      </c>
      <c r="K120" t="s">
        <v>479</v>
      </c>
      <c r="L120" s="1">
        <v>46143</v>
      </c>
      <c r="M120" s="1">
        <v>46173</v>
      </c>
      <c r="N120">
        <v>14.6838</v>
      </c>
      <c r="O120" t="s">
        <v>58</v>
      </c>
      <c r="P120" t="s">
        <v>63</v>
      </c>
      <c r="Q120" t="s">
        <v>877</v>
      </c>
      <c r="R120" t="s">
        <v>882</v>
      </c>
      <c r="S120" t="s">
        <v>67</v>
      </c>
      <c r="T120" t="s">
        <v>994</v>
      </c>
      <c r="U120" t="s">
        <v>1218</v>
      </c>
      <c r="V120">
        <v>16</v>
      </c>
      <c r="W120" s="2">
        <v>64043.396456000002</v>
      </c>
    </row>
    <row r="121" spans="1:23" x14ac:dyDescent="0.25">
      <c r="A121" t="s">
        <v>31</v>
      </c>
      <c r="B121" t="s">
        <v>32</v>
      </c>
      <c r="C121" t="s">
        <v>33</v>
      </c>
      <c r="D121" t="s">
        <v>34</v>
      </c>
      <c r="E121" t="s">
        <v>35</v>
      </c>
      <c r="F121" t="s">
        <v>36</v>
      </c>
      <c r="G121">
        <v>1141685</v>
      </c>
      <c r="H121" t="s">
        <v>80</v>
      </c>
      <c r="I121" t="s">
        <v>96</v>
      </c>
      <c r="J121" t="s">
        <v>80</v>
      </c>
      <c r="K121" t="s">
        <v>115</v>
      </c>
      <c r="L121" s="1">
        <v>46143</v>
      </c>
      <c r="M121" s="1">
        <v>46173</v>
      </c>
      <c r="N121">
        <v>6.6089486700000005E-2</v>
      </c>
      <c r="O121" t="s">
        <v>56</v>
      </c>
      <c r="P121" t="s">
        <v>63</v>
      </c>
      <c r="Q121" t="s">
        <v>878</v>
      </c>
      <c r="R121" t="s">
        <v>881</v>
      </c>
      <c r="S121" t="s">
        <v>67</v>
      </c>
      <c r="T121" t="s">
        <v>995</v>
      </c>
      <c r="U121" t="s">
        <v>1219</v>
      </c>
      <c r="V121">
        <v>15</v>
      </c>
      <c r="W121" s="2">
        <v>11.526375227500001</v>
      </c>
    </row>
    <row r="122" spans="1:23" x14ac:dyDescent="0.25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36</v>
      </c>
      <c r="G122">
        <v>1141685</v>
      </c>
      <c r="H122" t="s">
        <v>80</v>
      </c>
      <c r="I122" t="s">
        <v>96</v>
      </c>
      <c r="J122" t="s">
        <v>80</v>
      </c>
      <c r="K122" t="s">
        <v>115</v>
      </c>
      <c r="L122" s="1">
        <v>46143</v>
      </c>
      <c r="M122" s="1">
        <v>46173</v>
      </c>
      <c r="N122">
        <v>0.80648518729999996</v>
      </c>
      <c r="O122" t="s">
        <v>56</v>
      </c>
      <c r="P122" t="s">
        <v>63</v>
      </c>
      <c r="Q122" t="s">
        <v>878</v>
      </c>
      <c r="R122" t="s">
        <v>882</v>
      </c>
      <c r="S122" t="s">
        <v>67</v>
      </c>
      <c r="T122" t="s">
        <v>996</v>
      </c>
      <c r="U122" t="s">
        <v>1220</v>
      </c>
      <c r="V122">
        <v>15</v>
      </c>
      <c r="W122" s="2">
        <v>140.69547707679999</v>
      </c>
    </row>
    <row r="123" spans="1:23" x14ac:dyDescent="0.25">
      <c r="A123" t="s">
        <v>31</v>
      </c>
      <c r="B123" t="s">
        <v>32</v>
      </c>
      <c r="C123" t="s">
        <v>33</v>
      </c>
      <c r="D123" t="s">
        <v>34</v>
      </c>
      <c r="E123" t="s">
        <v>35</v>
      </c>
      <c r="F123" t="s">
        <v>36</v>
      </c>
      <c r="G123">
        <v>1141685</v>
      </c>
      <c r="H123" t="s">
        <v>80</v>
      </c>
      <c r="I123" t="s">
        <v>96</v>
      </c>
      <c r="J123" t="s">
        <v>80</v>
      </c>
      <c r="K123" t="s">
        <v>115</v>
      </c>
      <c r="L123" s="1">
        <v>46143</v>
      </c>
      <c r="M123" s="1">
        <v>46173</v>
      </c>
      <c r="N123">
        <v>3.5181036000000001E-3</v>
      </c>
      <c r="O123" t="s">
        <v>56</v>
      </c>
      <c r="P123" t="s">
        <v>63</v>
      </c>
      <c r="Q123" t="s">
        <v>878</v>
      </c>
      <c r="R123" t="s">
        <v>882</v>
      </c>
      <c r="S123" t="s">
        <v>67</v>
      </c>
      <c r="T123" t="s">
        <v>997</v>
      </c>
      <c r="U123" t="s">
        <v>1221</v>
      </c>
      <c r="V123">
        <v>16</v>
      </c>
      <c r="W123" s="2">
        <v>0.61011615480000003</v>
      </c>
    </row>
    <row r="124" spans="1:23" x14ac:dyDescent="0.25">
      <c r="A124" t="s">
        <v>31</v>
      </c>
      <c r="B124" t="s">
        <v>32</v>
      </c>
      <c r="C124" t="s">
        <v>33</v>
      </c>
      <c r="D124" t="s">
        <v>34</v>
      </c>
      <c r="E124" t="s">
        <v>35</v>
      </c>
      <c r="F124" t="s">
        <v>36</v>
      </c>
      <c r="G124">
        <v>1141685</v>
      </c>
      <c r="H124" t="s">
        <v>80</v>
      </c>
      <c r="I124" t="s">
        <v>96</v>
      </c>
      <c r="J124" t="s">
        <v>80</v>
      </c>
      <c r="K124" t="s">
        <v>115</v>
      </c>
      <c r="L124" s="1">
        <v>46143</v>
      </c>
      <c r="M124" s="1">
        <v>46173</v>
      </c>
      <c r="N124">
        <v>0.75453499800000001</v>
      </c>
      <c r="O124" t="s">
        <v>56</v>
      </c>
      <c r="P124" t="s">
        <v>63</v>
      </c>
      <c r="Q124" t="s">
        <v>878</v>
      </c>
      <c r="R124" t="s">
        <v>882</v>
      </c>
      <c r="S124" t="s">
        <v>67</v>
      </c>
      <c r="T124" t="s">
        <v>998</v>
      </c>
      <c r="U124" t="s">
        <v>1222</v>
      </c>
      <c r="V124">
        <v>15</v>
      </c>
      <c r="W124" s="2">
        <v>131.63983465690001</v>
      </c>
    </row>
    <row r="125" spans="1:23" x14ac:dyDescent="0.25">
      <c r="A125" t="s">
        <v>31</v>
      </c>
      <c r="B125" t="s">
        <v>32</v>
      </c>
      <c r="C125" t="s">
        <v>33</v>
      </c>
      <c r="D125" t="s">
        <v>34</v>
      </c>
      <c r="E125" t="s">
        <v>35</v>
      </c>
      <c r="F125" t="s">
        <v>36</v>
      </c>
      <c r="G125">
        <v>1141685</v>
      </c>
      <c r="H125" t="s">
        <v>80</v>
      </c>
      <c r="I125" t="s">
        <v>96</v>
      </c>
      <c r="J125" t="s">
        <v>80</v>
      </c>
      <c r="K125" t="s">
        <v>115</v>
      </c>
      <c r="L125" s="1">
        <v>46143</v>
      </c>
      <c r="M125" s="1">
        <v>46173</v>
      </c>
      <c r="N125">
        <v>7.5166999999999994E-5</v>
      </c>
      <c r="O125" t="s">
        <v>56</v>
      </c>
      <c r="P125" t="s">
        <v>63</v>
      </c>
      <c r="Q125" t="s">
        <v>878</v>
      </c>
      <c r="R125" t="s">
        <v>881</v>
      </c>
      <c r="S125" t="s">
        <v>67</v>
      </c>
      <c r="T125" t="s">
        <v>999</v>
      </c>
      <c r="U125" t="s">
        <v>1223</v>
      </c>
      <c r="V125">
        <v>16</v>
      </c>
      <c r="W125" s="2">
        <v>1.15400055E-2</v>
      </c>
    </row>
    <row r="126" spans="1:23" x14ac:dyDescent="0.25">
      <c r="A126" t="s">
        <v>31</v>
      </c>
      <c r="B126" t="s">
        <v>32</v>
      </c>
      <c r="C126" t="s">
        <v>33</v>
      </c>
      <c r="D126" t="s">
        <v>34</v>
      </c>
      <c r="E126" t="s">
        <v>35</v>
      </c>
      <c r="F126" t="s">
        <v>36</v>
      </c>
      <c r="G126">
        <v>1141685</v>
      </c>
      <c r="H126" t="s">
        <v>80</v>
      </c>
      <c r="I126" t="s">
        <v>96</v>
      </c>
      <c r="J126" t="s">
        <v>80</v>
      </c>
      <c r="K126" t="s">
        <v>115</v>
      </c>
      <c r="L126" s="1">
        <v>46143</v>
      </c>
      <c r="M126" s="1">
        <v>46173</v>
      </c>
      <c r="N126">
        <v>0.89804596920000002</v>
      </c>
      <c r="O126" t="s">
        <v>56</v>
      </c>
      <c r="P126" t="s">
        <v>63</v>
      </c>
      <c r="Q126" t="s">
        <v>878</v>
      </c>
      <c r="R126" t="s">
        <v>882</v>
      </c>
      <c r="S126" t="s">
        <v>67</v>
      </c>
      <c r="T126" t="s">
        <v>1000</v>
      </c>
      <c r="U126" t="s">
        <v>1224</v>
      </c>
      <c r="V126">
        <v>15</v>
      </c>
      <c r="W126" s="2">
        <v>156.67232781089999</v>
      </c>
    </row>
    <row r="127" spans="1:23" x14ac:dyDescent="0.25">
      <c r="A127" t="s">
        <v>31</v>
      </c>
      <c r="B127" t="s">
        <v>32</v>
      </c>
      <c r="C127" t="s">
        <v>33</v>
      </c>
      <c r="D127" t="s">
        <v>34</v>
      </c>
      <c r="E127" t="s">
        <v>35</v>
      </c>
      <c r="F127" t="s">
        <v>36</v>
      </c>
      <c r="G127">
        <v>1141685</v>
      </c>
      <c r="H127" t="s">
        <v>80</v>
      </c>
      <c r="I127" t="s">
        <v>96</v>
      </c>
      <c r="J127" t="s">
        <v>80</v>
      </c>
      <c r="K127" t="s">
        <v>115</v>
      </c>
      <c r="L127" s="1">
        <v>46143</v>
      </c>
      <c r="M127" s="1">
        <v>46173</v>
      </c>
      <c r="N127">
        <v>0.999928873</v>
      </c>
      <c r="O127" t="s">
        <v>56</v>
      </c>
      <c r="P127" t="s">
        <v>63</v>
      </c>
      <c r="Q127" t="s">
        <v>878</v>
      </c>
      <c r="R127" t="s">
        <v>882</v>
      </c>
      <c r="S127" t="s">
        <v>67</v>
      </c>
      <c r="T127" t="s">
        <v>1001</v>
      </c>
      <c r="U127" t="s">
        <v>1225</v>
      </c>
      <c r="V127">
        <v>16</v>
      </c>
      <c r="W127" s="2">
        <v>174.4438802459</v>
      </c>
    </row>
    <row r="128" spans="1:23" x14ac:dyDescent="0.25">
      <c r="A128" t="s">
        <v>31</v>
      </c>
      <c r="B128" t="s">
        <v>32</v>
      </c>
      <c r="C128" t="s">
        <v>33</v>
      </c>
      <c r="D128" t="s">
        <v>34</v>
      </c>
      <c r="E128" t="s">
        <v>35</v>
      </c>
      <c r="F128" t="s">
        <v>36</v>
      </c>
      <c r="G128">
        <v>1141685</v>
      </c>
      <c r="H128" t="s">
        <v>80</v>
      </c>
      <c r="I128" t="s">
        <v>96</v>
      </c>
      <c r="J128" t="s">
        <v>80</v>
      </c>
      <c r="K128" t="s">
        <v>115</v>
      </c>
      <c r="L128" s="1">
        <v>46143</v>
      </c>
      <c r="M128" s="1">
        <v>46173</v>
      </c>
      <c r="N128">
        <v>1.0577889307999999</v>
      </c>
      <c r="O128" t="s">
        <v>56</v>
      </c>
      <c r="P128" t="s">
        <v>63</v>
      </c>
      <c r="Q128" t="s">
        <v>878</v>
      </c>
      <c r="R128" t="s">
        <v>882</v>
      </c>
      <c r="S128" t="s">
        <v>67</v>
      </c>
      <c r="T128" t="s">
        <v>1002</v>
      </c>
      <c r="U128" t="s">
        <v>1226</v>
      </c>
      <c r="V128">
        <v>16</v>
      </c>
      <c r="W128" s="2">
        <v>184.54683404779999</v>
      </c>
    </row>
    <row r="129" spans="1:23" x14ac:dyDescent="0.25">
      <c r="A129" t="s">
        <v>31</v>
      </c>
      <c r="B129" t="s">
        <v>32</v>
      </c>
      <c r="C129" t="s">
        <v>33</v>
      </c>
      <c r="D129" t="s">
        <v>34</v>
      </c>
      <c r="E129" t="s">
        <v>35</v>
      </c>
      <c r="F129" t="s">
        <v>36</v>
      </c>
      <c r="G129">
        <v>1141685</v>
      </c>
      <c r="H129" t="s">
        <v>80</v>
      </c>
      <c r="I129" t="s">
        <v>96</v>
      </c>
      <c r="J129" t="s">
        <v>80</v>
      </c>
      <c r="K129" t="s">
        <v>115</v>
      </c>
      <c r="L129" s="1">
        <v>46143</v>
      </c>
      <c r="M129" s="1">
        <v>46173</v>
      </c>
      <c r="N129">
        <v>2.0395999999999999E-5</v>
      </c>
      <c r="O129" t="s">
        <v>56</v>
      </c>
      <c r="P129" t="s">
        <v>63</v>
      </c>
      <c r="Q129" t="s">
        <v>878</v>
      </c>
      <c r="R129" t="s">
        <v>882</v>
      </c>
      <c r="S129" t="s">
        <v>67</v>
      </c>
      <c r="T129" t="s">
        <v>1003</v>
      </c>
      <c r="U129" t="s">
        <v>1227</v>
      </c>
      <c r="V129">
        <v>16</v>
      </c>
      <c r="W129" s="2">
        <v>3.1312862000000001E-3</v>
      </c>
    </row>
    <row r="130" spans="1:23" x14ac:dyDescent="0.25">
      <c r="A130" t="s">
        <v>31</v>
      </c>
      <c r="B130" t="s">
        <v>32</v>
      </c>
      <c r="C130" t="s">
        <v>33</v>
      </c>
      <c r="D130" t="s">
        <v>34</v>
      </c>
      <c r="E130" t="s">
        <v>35</v>
      </c>
      <c r="F130" t="s">
        <v>36</v>
      </c>
      <c r="G130">
        <v>1141685</v>
      </c>
      <c r="H130" t="s">
        <v>80</v>
      </c>
      <c r="I130" t="s">
        <v>96</v>
      </c>
      <c r="J130" t="s">
        <v>80</v>
      </c>
      <c r="K130" t="s">
        <v>115</v>
      </c>
      <c r="L130" s="1">
        <v>46143</v>
      </c>
      <c r="M130" s="1">
        <v>46173</v>
      </c>
      <c r="N130">
        <v>1.0057651000000001E-3</v>
      </c>
      <c r="O130" t="s">
        <v>56</v>
      </c>
      <c r="P130" t="s">
        <v>63</v>
      </c>
      <c r="Q130" t="s">
        <v>878</v>
      </c>
      <c r="R130" t="s">
        <v>882</v>
      </c>
      <c r="S130" t="s">
        <v>67</v>
      </c>
      <c r="T130" t="s">
        <v>1004</v>
      </c>
      <c r="U130" t="s">
        <v>1228</v>
      </c>
      <c r="V130">
        <v>16</v>
      </c>
      <c r="W130" s="2">
        <v>0.17440987820000001</v>
      </c>
    </row>
    <row r="131" spans="1:23" x14ac:dyDescent="0.25">
      <c r="A131" t="s">
        <v>31</v>
      </c>
      <c r="B131" t="s">
        <v>32</v>
      </c>
      <c r="C131" t="s">
        <v>33</v>
      </c>
      <c r="D131" t="s">
        <v>34</v>
      </c>
      <c r="E131" t="s">
        <v>35</v>
      </c>
      <c r="F131" t="s">
        <v>36</v>
      </c>
      <c r="G131">
        <v>1141685</v>
      </c>
      <c r="H131" t="s">
        <v>80</v>
      </c>
      <c r="I131" t="s">
        <v>96</v>
      </c>
      <c r="J131" t="s">
        <v>80</v>
      </c>
      <c r="K131" t="s">
        <v>115</v>
      </c>
      <c r="L131" s="1">
        <v>46143</v>
      </c>
      <c r="M131" s="1">
        <v>46173</v>
      </c>
      <c r="N131">
        <v>0.99210143740000001</v>
      </c>
      <c r="O131" t="s">
        <v>56</v>
      </c>
      <c r="P131" t="s">
        <v>63</v>
      </c>
      <c r="Q131" t="s">
        <v>878</v>
      </c>
      <c r="R131" t="s">
        <v>882</v>
      </c>
      <c r="S131" t="s">
        <v>67</v>
      </c>
      <c r="T131" t="s">
        <v>1005</v>
      </c>
      <c r="U131" t="s">
        <v>1229</v>
      </c>
      <c r="V131">
        <v>16</v>
      </c>
      <c r="W131" s="2">
        <v>173.0821747578</v>
      </c>
    </row>
    <row r="132" spans="1:23" x14ac:dyDescent="0.25">
      <c r="A132" t="s">
        <v>31</v>
      </c>
      <c r="B132" t="s">
        <v>32</v>
      </c>
      <c r="C132" t="s">
        <v>33</v>
      </c>
      <c r="D132" t="s">
        <v>34</v>
      </c>
      <c r="E132" t="s">
        <v>35</v>
      </c>
      <c r="F132" t="s">
        <v>36</v>
      </c>
      <c r="G132">
        <v>1141685</v>
      </c>
      <c r="H132" t="s">
        <v>80</v>
      </c>
      <c r="I132" t="s">
        <v>96</v>
      </c>
      <c r="J132" t="s">
        <v>80</v>
      </c>
      <c r="K132" t="s">
        <v>115</v>
      </c>
      <c r="L132" s="1">
        <v>46143</v>
      </c>
      <c r="M132" s="1">
        <v>46173</v>
      </c>
      <c r="N132">
        <v>5.1415800000000002E-4</v>
      </c>
      <c r="O132" t="s">
        <v>56</v>
      </c>
      <c r="P132" t="s">
        <v>63</v>
      </c>
      <c r="Q132" t="s">
        <v>878</v>
      </c>
      <c r="R132" t="s">
        <v>882</v>
      </c>
      <c r="S132" t="s">
        <v>67</v>
      </c>
      <c r="T132" t="s">
        <v>1006</v>
      </c>
      <c r="U132" t="s">
        <v>1230</v>
      </c>
      <c r="V132">
        <v>16</v>
      </c>
      <c r="W132" s="2">
        <v>8.8936011299999992E-2</v>
      </c>
    </row>
    <row r="133" spans="1:23" x14ac:dyDescent="0.25">
      <c r="A133" t="s">
        <v>31</v>
      </c>
      <c r="B133" t="s">
        <v>32</v>
      </c>
      <c r="C133" t="s">
        <v>33</v>
      </c>
      <c r="D133" t="s">
        <v>34</v>
      </c>
      <c r="E133" t="s">
        <v>35</v>
      </c>
      <c r="F133" t="s">
        <v>36</v>
      </c>
      <c r="G133">
        <v>1141685</v>
      </c>
      <c r="H133" t="s">
        <v>80</v>
      </c>
      <c r="I133" t="s">
        <v>96</v>
      </c>
      <c r="J133" t="s">
        <v>80</v>
      </c>
      <c r="K133" t="s">
        <v>115</v>
      </c>
      <c r="L133" s="1">
        <v>46143</v>
      </c>
      <c r="M133" s="1">
        <v>46173</v>
      </c>
      <c r="N133">
        <v>1.9589532614</v>
      </c>
      <c r="O133" t="s">
        <v>56</v>
      </c>
      <c r="P133" t="s">
        <v>63</v>
      </c>
      <c r="Q133" t="s">
        <v>878</v>
      </c>
      <c r="R133" t="s">
        <v>882</v>
      </c>
      <c r="S133" t="s">
        <v>67</v>
      </c>
      <c r="T133" t="s">
        <v>1007</v>
      </c>
      <c r="U133" t="s">
        <v>1231</v>
      </c>
      <c r="V133">
        <v>16</v>
      </c>
      <c r="W133" s="2">
        <v>341.75790766040001</v>
      </c>
    </row>
    <row r="134" spans="1:23" x14ac:dyDescent="0.25">
      <c r="A134" t="s">
        <v>31</v>
      </c>
      <c r="B134" t="s">
        <v>32</v>
      </c>
      <c r="C134" t="s">
        <v>33</v>
      </c>
      <c r="D134" t="s">
        <v>34</v>
      </c>
      <c r="E134" t="s">
        <v>35</v>
      </c>
      <c r="F134" t="s">
        <v>36</v>
      </c>
      <c r="G134">
        <v>1141685</v>
      </c>
      <c r="H134" t="s">
        <v>90</v>
      </c>
      <c r="I134" t="s">
        <v>43</v>
      </c>
      <c r="J134" t="s">
        <v>105</v>
      </c>
      <c r="K134" t="s">
        <v>128</v>
      </c>
      <c r="L134" s="1">
        <v>46143</v>
      </c>
      <c r="M134" s="1">
        <v>46173</v>
      </c>
      <c r="N134">
        <v>0.99731182799999996</v>
      </c>
      <c r="O134" t="s">
        <v>135</v>
      </c>
      <c r="P134" t="s">
        <v>63</v>
      </c>
      <c r="Q134" t="s">
        <v>880</v>
      </c>
      <c r="R134" t="s">
        <v>892</v>
      </c>
      <c r="S134" t="s">
        <v>67</v>
      </c>
      <c r="T134" t="s">
        <v>616</v>
      </c>
      <c r="U134" t="s">
        <v>801</v>
      </c>
      <c r="V134">
        <v>7</v>
      </c>
      <c r="W134" s="2">
        <v>260986.5283870938</v>
      </c>
    </row>
    <row r="135" spans="1:23" x14ac:dyDescent="0.25">
      <c r="A135" t="s">
        <v>31</v>
      </c>
      <c r="B135" t="s">
        <v>32</v>
      </c>
      <c r="C135" t="s">
        <v>33</v>
      </c>
      <c r="D135" t="s">
        <v>34</v>
      </c>
      <c r="E135" t="s">
        <v>35</v>
      </c>
      <c r="F135" t="s">
        <v>36</v>
      </c>
      <c r="G135">
        <v>1141685</v>
      </c>
      <c r="H135" t="s">
        <v>86</v>
      </c>
      <c r="I135" t="s">
        <v>42</v>
      </c>
      <c r="J135" t="s">
        <v>86</v>
      </c>
      <c r="K135" t="s">
        <v>124</v>
      </c>
      <c r="L135" s="1">
        <v>46143</v>
      </c>
      <c r="M135" s="1">
        <v>46173</v>
      </c>
      <c r="N135">
        <v>1.73E-4</v>
      </c>
      <c r="O135" t="s">
        <v>135</v>
      </c>
      <c r="P135" t="s">
        <v>63</v>
      </c>
      <c r="Q135" t="s">
        <v>877</v>
      </c>
      <c r="R135" t="s">
        <v>893</v>
      </c>
      <c r="S135" t="s">
        <v>67</v>
      </c>
      <c r="T135" t="s">
        <v>1008</v>
      </c>
      <c r="U135" t="s">
        <v>1232</v>
      </c>
      <c r="V135">
        <v>17</v>
      </c>
      <c r="W135" s="2">
        <v>59.489346878399999</v>
      </c>
    </row>
    <row r="136" spans="1:23" x14ac:dyDescent="0.25">
      <c r="A136" t="s">
        <v>31</v>
      </c>
      <c r="B136" t="s">
        <v>32</v>
      </c>
      <c r="C136" t="s">
        <v>33</v>
      </c>
      <c r="D136" t="s">
        <v>34</v>
      </c>
      <c r="E136" t="s">
        <v>35</v>
      </c>
      <c r="F136" t="s">
        <v>36</v>
      </c>
      <c r="G136">
        <v>1141685</v>
      </c>
      <c r="H136" t="s">
        <v>79</v>
      </c>
      <c r="I136" t="s">
        <v>94</v>
      </c>
      <c r="J136" t="s">
        <v>101</v>
      </c>
      <c r="K136" t="s">
        <v>114</v>
      </c>
      <c r="L136" s="1">
        <v>46143</v>
      </c>
      <c r="M136" s="1">
        <v>46173</v>
      </c>
      <c r="N136">
        <v>5.5899999999999998E-8</v>
      </c>
      <c r="O136" t="s">
        <v>56</v>
      </c>
      <c r="P136" t="s">
        <v>63</v>
      </c>
      <c r="Q136" t="s">
        <v>878</v>
      </c>
      <c r="R136" t="s">
        <v>882</v>
      </c>
      <c r="S136" t="s">
        <v>67</v>
      </c>
      <c r="T136" t="s">
        <v>1009</v>
      </c>
      <c r="U136" t="s">
        <v>1233</v>
      </c>
      <c r="V136">
        <v>16</v>
      </c>
      <c r="W136" s="2">
        <v>6.86308E-5</v>
      </c>
    </row>
    <row r="137" spans="1:23" x14ac:dyDescent="0.25">
      <c r="A137" t="s">
        <v>31</v>
      </c>
      <c r="B137" t="s">
        <v>32</v>
      </c>
      <c r="C137" t="s">
        <v>33</v>
      </c>
      <c r="D137" t="s">
        <v>34</v>
      </c>
      <c r="E137" t="s">
        <v>35</v>
      </c>
      <c r="F137" t="s">
        <v>36</v>
      </c>
      <c r="G137">
        <v>1141685</v>
      </c>
      <c r="H137" t="s">
        <v>79</v>
      </c>
      <c r="I137" t="s">
        <v>94</v>
      </c>
      <c r="J137" t="s">
        <v>101</v>
      </c>
      <c r="K137" t="s">
        <v>114</v>
      </c>
      <c r="L137" s="1">
        <v>46143</v>
      </c>
      <c r="M137" s="1">
        <v>46173</v>
      </c>
      <c r="N137">
        <v>4.0419999999999998E-7</v>
      </c>
      <c r="O137" t="s">
        <v>56</v>
      </c>
      <c r="P137" t="s">
        <v>63</v>
      </c>
      <c r="Q137" t="s">
        <v>878</v>
      </c>
      <c r="R137" t="s">
        <v>882</v>
      </c>
      <c r="S137" t="s">
        <v>67</v>
      </c>
      <c r="T137" t="s">
        <v>1010</v>
      </c>
      <c r="U137" t="s">
        <v>1234</v>
      </c>
      <c r="V137">
        <v>16</v>
      </c>
      <c r="W137" s="2">
        <v>4.9643039999999999E-4</v>
      </c>
    </row>
    <row r="138" spans="1:23" x14ac:dyDescent="0.25">
      <c r="A138" t="s">
        <v>31</v>
      </c>
      <c r="B138" t="s">
        <v>32</v>
      </c>
      <c r="C138" t="s">
        <v>33</v>
      </c>
      <c r="D138" t="s">
        <v>34</v>
      </c>
      <c r="E138" t="s">
        <v>35</v>
      </c>
      <c r="F138" t="s">
        <v>36</v>
      </c>
      <c r="G138">
        <v>1141685</v>
      </c>
      <c r="H138" t="s">
        <v>79</v>
      </c>
      <c r="I138" t="s">
        <v>94</v>
      </c>
      <c r="J138" t="s">
        <v>101</v>
      </c>
      <c r="K138" t="s">
        <v>114</v>
      </c>
      <c r="L138" s="1">
        <v>46143</v>
      </c>
      <c r="M138" s="1">
        <v>46173</v>
      </c>
      <c r="N138">
        <v>2.0703301E-3</v>
      </c>
      <c r="O138" t="s">
        <v>56</v>
      </c>
      <c r="P138" t="s">
        <v>63</v>
      </c>
      <c r="Q138" t="s">
        <v>878</v>
      </c>
      <c r="R138" t="s">
        <v>881</v>
      </c>
      <c r="S138" t="s">
        <v>67</v>
      </c>
      <c r="T138" t="s">
        <v>1011</v>
      </c>
      <c r="U138" t="s">
        <v>1235</v>
      </c>
      <c r="V138">
        <v>15</v>
      </c>
      <c r="W138" s="2">
        <v>2.8927760952999999</v>
      </c>
    </row>
    <row r="139" spans="1:23" x14ac:dyDescent="0.25">
      <c r="A139" t="s">
        <v>31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>
        <v>1141685</v>
      </c>
      <c r="H139" t="s">
        <v>79</v>
      </c>
      <c r="I139" t="s">
        <v>94</v>
      </c>
      <c r="J139" t="s">
        <v>101</v>
      </c>
      <c r="K139" t="s">
        <v>114</v>
      </c>
      <c r="L139" s="1">
        <v>46143</v>
      </c>
      <c r="M139" s="1">
        <v>46173</v>
      </c>
      <c r="N139">
        <v>0.61513759940000001</v>
      </c>
      <c r="O139" t="s">
        <v>56</v>
      </c>
      <c r="P139" t="s">
        <v>63</v>
      </c>
      <c r="Q139" t="s">
        <v>878</v>
      </c>
      <c r="R139" t="s">
        <v>881</v>
      </c>
      <c r="S139" t="s">
        <v>67</v>
      </c>
      <c r="T139" t="s">
        <v>1012</v>
      </c>
      <c r="U139" t="s">
        <v>1236</v>
      </c>
      <c r="V139">
        <v>16</v>
      </c>
      <c r="W139" s="2">
        <v>858.53101537110001</v>
      </c>
    </row>
    <row r="140" spans="1:23" x14ac:dyDescent="0.25">
      <c r="A140" t="s">
        <v>31</v>
      </c>
      <c r="B140" t="s">
        <v>32</v>
      </c>
      <c r="C140" t="s">
        <v>33</v>
      </c>
      <c r="D140" t="s">
        <v>34</v>
      </c>
      <c r="E140" t="s">
        <v>35</v>
      </c>
      <c r="F140" t="s">
        <v>36</v>
      </c>
      <c r="G140">
        <v>1141685</v>
      </c>
      <c r="H140" t="s">
        <v>79</v>
      </c>
      <c r="I140" t="s">
        <v>94</v>
      </c>
      <c r="J140" t="s">
        <v>101</v>
      </c>
      <c r="K140" t="s">
        <v>114</v>
      </c>
      <c r="L140" s="1">
        <v>46143</v>
      </c>
      <c r="M140" s="1">
        <v>46173</v>
      </c>
      <c r="N140">
        <v>3.8082967801000001</v>
      </c>
      <c r="O140" t="s">
        <v>56</v>
      </c>
      <c r="P140" t="s">
        <v>63</v>
      </c>
      <c r="Q140" t="s">
        <v>878</v>
      </c>
      <c r="R140" t="s">
        <v>882</v>
      </c>
      <c r="S140" t="s">
        <v>67</v>
      </c>
      <c r="T140" t="s">
        <v>1013</v>
      </c>
      <c r="U140" t="s">
        <v>1237</v>
      </c>
      <c r="V140">
        <v>16</v>
      </c>
      <c r="W140" s="2">
        <v>5315.1640120456004</v>
      </c>
    </row>
    <row r="141" spans="1:23" x14ac:dyDescent="0.25">
      <c r="A141" t="s">
        <v>31</v>
      </c>
      <c r="B141" t="s">
        <v>32</v>
      </c>
      <c r="C141" t="s">
        <v>33</v>
      </c>
      <c r="D141" t="s">
        <v>34</v>
      </c>
      <c r="E141" t="s">
        <v>35</v>
      </c>
      <c r="F141" t="s">
        <v>36</v>
      </c>
      <c r="G141">
        <v>1141685</v>
      </c>
      <c r="H141" t="s">
        <v>79</v>
      </c>
      <c r="I141" t="s">
        <v>94</v>
      </c>
      <c r="J141" t="s">
        <v>101</v>
      </c>
      <c r="K141" t="s">
        <v>114</v>
      </c>
      <c r="L141" s="1">
        <v>46143</v>
      </c>
      <c r="M141" s="1">
        <v>46173</v>
      </c>
      <c r="N141">
        <v>2.2350000000000001E-7</v>
      </c>
      <c r="O141" t="s">
        <v>56</v>
      </c>
      <c r="P141" t="s">
        <v>63</v>
      </c>
      <c r="Q141" t="s">
        <v>878</v>
      </c>
      <c r="R141" t="s">
        <v>882</v>
      </c>
      <c r="S141" t="s">
        <v>67</v>
      </c>
      <c r="T141" t="s">
        <v>1014</v>
      </c>
      <c r="U141" t="s">
        <v>1238</v>
      </c>
      <c r="V141">
        <v>16</v>
      </c>
      <c r="W141" s="2">
        <v>2.7452370000000001E-4</v>
      </c>
    </row>
    <row r="142" spans="1:23" x14ac:dyDescent="0.25">
      <c r="A142" t="s">
        <v>31</v>
      </c>
      <c r="B142" t="s">
        <v>32</v>
      </c>
      <c r="C142" t="s">
        <v>33</v>
      </c>
      <c r="D142" t="s">
        <v>34</v>
      </c>
      <c r="E142" t="s">
        <v>35</v>
      </c>
      <c r="F142" t="s">
        <v>36</v>
      </c>
      <c r="G142">
        <v>1141685</v>
      </c>
      <c r="H142" t="s">
        <v>79</v>
      </c>
      <c r="I142" t="s">
        <v>94</v>
      </c>
      <c r="J142" t="s">
        <v>101</v>
      </c>
      <c r="K142" t="s">
        <v>114</v>
      </c>
      <c r="L142" s="1">
        <v>46143</v>
      </c>
      <c r="M142" s="1">
        <v>46173</v>
      </c>
      <c r="N142">
        <v>1.2458720999999999E-3</v>
      </c>
      <c r="O142" t="s">
        <v>56</v>
      </c>
      <c r="P142" t="s">
        <v>63</v>
      </c>
      <c r="Q142" t="s">
        <v>878</v>
      </c>
      <c r="R142" t="s">
        <v>881</v>
      </c>
      <c r="S142" t="s">
        <v>67</v>
      </c>
      <c r="T142" t="s">
        <v>1015</v>
      </c>
      <c r="U142" t="s">
        <v>1239</v>
      </c>
      <c r="V142">
        <v>15</v>
      </c>
      <c r="W142" s="2">
        <v>1.7401781408000001</v>
      </c>
    </row>
    <row r="143" spans="1:23" x14ac:dyDescent="0.25">
      <c r="A143" t="s">
        <v>31</v>
      </c>
      <c r="B143" t="s">
        <v>32</v>
      </c>
      <c r="C143" t="s">
        <v>33</v>
      </c>
      <c r="D143" t="s">
        <v>34</v>
      </c>
      <c r="E143" t="s">
        <v>35</v>
      </c>
      <c r="F143" t="s">
        <v>36</v>
      </c>
      <c r="G143">
        <v>1141685</v>
      </c>
      <c r="H143" t="s">
        <v>79</v>
      </c>
      <c r="I143" t="s">
        <v>94</v>
      </c>
      <c r="J143" t="s">
        <v>101</v>
      </c>
      <c r="K143" t="s">
        <v>114</v>
      </c>
      <c r="L143" s="1">
        <v>46143</v>
      </c>
      <c r="M143" s="1">
        <v>46173</v>
      </c>
      <c r="N143">
        <v>2.5439960999999998E-3</v>
      </c>
      <c r="O143" t="s">
        <v>56</v>
      </c>
      <c r="P143" t="s">
        <v>63</v>
      </c>
      <c r="Q143" t="s">
        <v>878</v>
      </c>
      <c r="R143" t="s">
        <v>882</v>
      </c>
      <c r="S143" t="s">
        <v>67</v>
      </c>
      <c r="T143" t="s">
        <v>1016</v>
      </c>
      <c r="U143" t="s">
        <v>1240</v>
      </c>
      <c r="V143">
        <v>16</v>
      </c>
      <c r="W143" s="2">
        <v>3.554531925</v>
      </c>
    </row>
    <row r="144" spans="1:23" x14ac:dyDescent="0.25">
      <c r="A144" t="s">
        <v>31</v>
      </c>
      <c r="B144" t="s">
        <v>32</v>
      </c>
      <c r="C144" t="s">
        <v>33</v>
      </c>
      <c r="D144" t="s">
        <v>34</v>
      </c>
      <c r="E144" t="s">
        <v>35</v>
      </c>
      <c r="F144" t="s">
        <v>36</v>
      </c>
      <c r="G144">
        <v>1141685</v>
      </c>
      <c r="H144" t="s">
        <v>79</v>
      </c>
      <c r="I144" t="s">
        <v>94</v>
      </c>
      <c r="J144" t="s">
        <v>101</v>
      </c>
      <c r="K144" t="s">
        <v>114</v>
      </c>
      <c r="L144" s="1">
        <v>46143</v>
      </c>
      <c r="M144" s="1">
        <v>46173</v>
      </c>
      <c r="N144">
        <v>1.4271383368999999</v>
      </c>
      <c r="O144" t="s">
        <v>56</v>
      </c>
      <c r="P144" t="s">
        <v>63</v>
      </c>
      <c r="Q144" t="s">
        <v>878</v>
      </c>
      <c r="R144" t="s">
        <v>882</v>
      </c>
      <c r="S144" t="s">
        <v>67</v>
      </c>
      <c r="T144" t="s">
        <v>1017</v>
      </c>
      <c r="U144" t="s">
        <v>1241</v>
      </c>
      <c r="V144">
        <v>16</v>
      </c>
      <c r="W144" s="2">
        <v>1991.8290219992</v>
      </c>
    </row>
    <row r="145" spans="1:23" x14ac:dyDescent="0.25">
      <c r="A145" t="s">
        <v>31</v>
      </c>
      <c r="B145" t="s">
        <v>32</v>
      </c>
      <c r="C145" t="s">
        <v>33</v>
      </c>
      <c r="D145" t="s">
        <v>34</v>
      </c>
      <c r="E145" t="s">
        <v>35</v>
      </c>
      <c r="F145" t="s">
        <v>36</v>
      </c>
      <c r="G145">
        <v>1141685</v>
      </c>
      <c r="H145" t="s">
        <v>79</v>
      </c>
      <c r="I145" t="s">
        <v>94</v>
      </c>
      <c r="J145" t="s">
        <v>101</v>
      </c>
      <c r="K145" t="s">
        <v>116</v>
      </c>
      <c r="L145" s="1">
        <v>46143</v>
      </c>
      <c r="M145" s="1">
        <v>46173</v>
      </c>
      <c r="N145">
        <v>0.52094410729999996</v>
      </c>
      <c r="O145" t="s">
        <v>56</v>
      </c>
      <c r="P145" t="s">
        <v>63</v>
      </c>
      <c r="Q145" t="s">
        <v>878</v>
      </c>
      <c r="R145" t="s">
        <v>882</v>
      </c>
      <c r="S145" t="s">
        <v>67</v>
      </c>
      <c r="T145" t="s">
        <v>1018</v>
      </c>
      <c r="U145" t="s">
        <v>1242</v>
      </c>
      <c r="V145">
        <v>16</v>
      </c>
      <c r="W145" s="2">
        <v>727.07271910379995</v>
      </c>
    </row>
    <row r="146" spans="1:23" x14ac:dyDescent="0.25">
      <c r="A146" t="s">
        <v>31</v>
      </c>
      <c r="B146" t="s">
        <v>32</v>
      </c>
      <c r="C146" t="s">
        <v>33</v>
      </c>
      <c r="D146" t="s">
        <v>34</v>
      </c>
      <c r="E146" t="s">
        <v>35</v>
      </c>
      <c r="F146" t="s">
        <v>36</v>
      </c>
      <c r="G146">
        <v>1141685</v>
      </c>
      <c r="H146" t="s">
        <v>79</v>
      </c>
      <c r="I146" t="s">
        <v>94</v>
      </c>
      <c r="J146" t="s">
        <v>101</v>
      </c>
      <c r="K146" t="s">
        <v>116</v>
      </c>
      <c r="L146" s="1">
        <v>46143</v>
      </c>
      <c r="M146" s="1">
        <v>46173</v>
      </c>
      <c r="N146">
        <v>0.10104206759999999</v>
      </c>
      <c r="O146" t="s">
        <v>56</v>
      </c>
      <c r="P146" t="s">
        <v>63</v>
      </c>
      <c r="Q146" t="s">
        <v>878</v>
      </c>
      <c r="R146" t="s">
        <v>881</v>
      </c>
      <c r="S146" t="s">
        <v>67</v>
      </c>
      <c r="T146" t="s">
        <v>1019</v>
      </c>
      <c r="U146" t="s">
        <v>1243</v>
      </c>
      <c r="V146">
        <v>15</v>
      </c>
      <c r="W146" s="2">
        <v>116.2011859678</v>
      </c>
    </row>
    <row r="147" spans="1:23" x14ac:dyDescent="0.25">
      <c r="A147" t="s">
        <v>31</v>
      </c>
      <c r="B147" t="s">
        <v>32</v>
      </c>
      <c r="C147" t="s">
        <v>33</v>
      </c>
      <c r="D147" t="s">
        <v>34</v>
      </c>
      <c r="E147" t="s">
        <v>35</v>
      </c>
      <c r="F147" t="s">
        <v>36</v>
      </c>
      <c r="G147">
        <v>1141685</v>
      </c>
      <c r="H147" t="s">
        <v>77</v>
      </c>
      <c r="I147" t="s">
        <v>96</v>
      </c>
      <c r="J147" t="s">
        <v>77</v>
      </c>
      <c r="K147" t="s">
        <v>113</v>
      </c>
      <c r="L147" s="1">
        <v>46143</v>
      </c>
      <c r="M147" s="1">
        <v>46173</v>
      </c>
      <c r="N147">
        <v>175.75494435990001</v>
      </c>
      <c r="O147" t="s">
        <v>56</v>
      </c>
      <c r="P147" t="s">
        <v>63</v>
      </c>
      <c r="Q147" t="s">
        <v>878</v>
      </c>
      <c r="R147" t="s">
        <v>882</v>
      </c>
      <c r="S147" t="s">
        <v>67</v>
      </c>
      <c r="T147" t="s">
        <v>1020</v>
      </c>
      <c r="U147" t="s">
        <v>1244</v>
      </c>
      <c r="V147">
        <v>16</v>
      </c>
      <c r="W147" s="2">
        <v>30662.202681862302</v>
      </c>
    </row>
    <row r="148" spans="1:23" x14ac:dyDescent="0.25">
      <c r="A148" t="s">
        <v>31</v>
      </c>
      <c r="B148" t="s">
        <v>32</v>
      </c>
      <c r="C148" t="s">
        <v>33</v>
      </c>
      <c r="D148" t="s">
        <v>34</v>
      </c>
      <c r="E148" t="s">
        <v>35</v>
      </c>
      <c r="F148" t="s">
        <v>36</v>
      </c>
      <c r="G148">
        <v>1141685</v>
      </c>
      <c r="H148" t="s">
        <v>77</v>
      </c>
      <c r="I148" t="s">
        <v>96</v>
      </c>
      <c r="J148" t="s">
        <v>77</v>
      </c>
      <c r="K148" t="s">
        <v>113</v>
      </c>
      <c r="L148" s="1">
        <v>46143</v>
      </c>
      <c r="M148" s="1">
        <v>46173</v>
      </c>
      <c r="N148">
        <v>320.79286401910002</v>
      </c>
      <c r="O148" t="s">
        <v>56</v>
      </c>
      <c r="P148" t="s">
        <v>63</v>
      </c>
      <c r="Q148" t="s">
        <v>878</v>
      </c>
      <c r="R148" t="s">
        <v>882</v>
      </c>
      <c r="S148" t="s">
        <v>67</v>
      </c>
      <c r="T148" t="s">
        <v>1021</v>
      </c>
      <c r="U148" t="s">
        <v>1245</v>
      </c>
      <c r="V148">
        <v>16</v>
      </c>
      <c r="W148" s="2">
        <v>55965.520289952001</v>
      </c>
    </row>
    <row r="149" spans="1:23" x14ac:dyDescent="0.25">
      <c r="A149" t="s">
        <v>31</v>
      </c>
      <c r="B149" t="s">
        <v>32</v>
      </c>
      <c r="C149" t="s">
        <v>33</v>
      </c>
      <c r="D149" t="s">
        <v>34</v>
      </c>
      <c r="E149" t="s">
        <v>35</v>
      </c>
      <c r="F149" t="s">
        <v>36</v>
      </c>
      <c r="G149">
        <v>1141685</v>
      </c>
      <c r="H149" t="s">
        <v>91</v>
      </c>
      <c r="I149" t="s">
        <v>95</v>
      </c>
      <c r="J149" t="s">
        <v>106</v>
      </c>
      <c r="K149" t="s">
        <v>129</v>
      </c>
      <c r="L149" s="1">
        <v>46143</v>
      </c>
      <c r="M149" s="1">
        <v>46173</v>
      </c>
      <c r="N149">
        <v>242.98352</v>
      </c>
      <c r="O149" t="s">
        <v>58</v>
      </c>
      <c r="P149" t="s">
        <v>63</v>
      </c>
      <c r="Q149" t="s">
        <v>877</v>
      </c>
      <c r="R149" t="s">
        <v>881</v>
      </c>
      <c r="S149" t="s">
        <v>67</v>
      </c>
      <c r="T149" t="s">
        <v>1022</v>
      </c>
      <c r="U149" t="s">
        <v>1246</v>
      </c>
      <c r="V149">
        <v>16</v>
      </c>
      <c r="W149" s="2">
        <v>529886.3138912</v>
      </c>
    </row>
    <row r="150" spans="1:23" x14ac:dyDescent="0.25">
      <c r="A150" t="s">
        <v>31</v>
      </c>
      <c r="B150" t="s">
        <v>32</v>
      </c>
      <c r="C150" t="s">
        <v>33</v>
      </c>
      <c r="D150" t="s">
        <v>34</v>
      </c>
      <c r="E150" t="s">
        <v>35</v>
      </c>
      <c r="F150" t="s">
        <v>36</v>
      </c>
      <c r="G150">
        <v>1141685</v>
      </c>
      <c r="H150" t="s">
        <v>91</v>
      </c>
      <c r="I150" t="s">
        <v>95</v>
      </c>
      <c r="J150" t="s">
        <v>106</v>
      </c>
      <c r="K150" t="s">
        <v>129</v>
      </c>
      <c r="L150" s="1">
        <v>46143</v>
      </c>
      <c r="M150" s="1">
        <v>46173</v>
      </c>
      <c r="N150">
        <v>1.833442</v>
      </c>
      <c r="O150" t="s">
        <v>58</v>
      </c>
      <c r="P150" t="s">
        <v>63</v>
      </c>
      <c r="Q150" t="s">
        <v>877</v>
      </c>
      <c r="R150" t="s">
        <v>881</v>
      </c>
      <c r="S150" t="s">
        <v>67</v>
      </c>
      <c r="T150" t="s">
        <v>1023</v>
      </c>
      <c r="U150" t="s">
        <v>1247</v>
      </c>
      <c r="V150">
        <v>16</v>
      </c>
      <c r="W150" s="2">
        <v>3998.27520452</v>
      </c>
    </row>
    <row r="151" spans="1:23" x14ac:dyDescent="0.25">
      <c r="A151" t="s">
        <v>31</v>
      </c>
      <c r="B151" t="s">
        <v>32</v>
      </c>
      <c r="C151" t="s">
        <v>33</v>
      </c>
      <c r="D151" t="s">
        <v>34</v>
      </c>
      <c r="E151" t="s">
        <v>35</v>
      </c>
      <c r="F151" t="s">
        <v>36</v>
      </c>
      <c r="G151">
        <v>1141685</v>
      </c>
      <c r="H151" t="s">
        <v>91</v>
      </c>
      <c r="I151" t="s">
        <v>95</v>
      </c>
      <c r="J151" t="s">
        <v>106</v>
      </c>
      <c r="K151" t="s">
        <v>129</v>
      </c>
      <c r="L151" s="1">
        <v>46143</v>
      </c>
      <c r="M151" s="1">
        <v>46173</v>
      </c>
      <c r="N151">
        <v>1</v>
      </c>
      <c r="O151" t="s">
        <v>58</v>
      </c>
      <c r="P151" t="s">
        <v>63</v>
      </c>
      <c r="Q151" t="s">
        <v>877</v>
      </c>
      <c r="R151" t="s">
        <v>884</v>
      </c>
      <c r="S151" t="s">
        <v>67</v>
      </c>
      <c r="T151" t="s">
        <v>1024</v>
      </c>
      <c r="U151" t="s">
        <v>1248</v>
      </c>
      <c r="V151">
        <v>17</v>
      </c>
      <c r="W151" s="2">
        <v>2180.75</v>
      </c>
    </row>
    <row r="152" spans="1:23" x14ac:dyDescent="0.25">
      <c r="A152" t="s">
        <v>31</v>
      </c>
      <c r="B152" t="s">
        <v>32</v>
      </c>
      <c r="C152" t="s">
        <v>33</v>
      </c>
      <c r="D152" t="s">
        <v>34</v>
      </c>
      <c r="E152" t="s">
        <v>35</v>
      </c>
      <c r="F152" t="s">
        <v>36</v>
      </c>
      <c r="G152">
        <v>1141685</v>
      </c>
      <c r="H152" t="s">
        <v>91</v>
      </c>
      <c r="I152" t="s">
        <v>95</v>
      </c>
      <c r="J152" t="s">
        <v>106</v>
      </c>
      <c r="K152" t="s">
        <v>129</v>
      </c>
      <c r="L152" s="1">
        <v>46143</v>
      </c>
      <c r="M152" s="1">
        <v>46173</v>
      </c>
      <c r="N152">
        <v>75.916749999999993</v>
      </c>
      <c r="O152" t="s">
        <v>58</v>
      </c>
      <c r="P152" t="s">
        <v>63</v>
      </c>
      <c r="Q152" t="s">
        <v>877</v>
      </c>
      <c r="R152" t="s">
        <v>881</v>
      </c>
      <c r="S152" t="s">
        <v>67</v>
      </c>
      <c r="T152" t="s">
        <v>1025</v>
      </c>
      <c r="U152" t="s">
        <v>1249</v>
      </c>
      <c r="V152">
        <v>16</v>
      </c>
      <c r="W152" s="2">
        <v>165555.448255</v>
      </c>
    </row>
    <row r="153" spans="1:23" x14ac:dyDescent="0.25">
      <c r="A153" t="s">
        <v>31</v>
      </c>
      <c r="B153" t="s">
        <v>32</v>
      </c>
      <c r="C153" t="s">
        <v>33</v>
      </c>
      <c r="D153" t="s">
        <v>34</v>
      </c>
      <c r="E153" t="s">
        <v>35</v>
      </c>
      <c r="F153" t="s">
        <v>36</v>
      </c>
      <c r="G153">
        <v>1141685</v>
      </c>
      <c r="H153" t="s">
        <v>76</v>
      </c>
      <c r="I153" t="s">
        <v>95</v>
      </c>
      <c r="J153" t="s">
        <v>99</v>
      </c>
      <c r="K153" t="s">
        <v>109</v>
      </c>
      <c r="L153" s="1">
        <v>46143</v>
      </c>
      <c r="M153" s="1">
        <v>46173</v>
      </c>
      <c r="N153">
        <v>1.6667000000000001E-2</v>
      </c>
      <c r="O153" t="s">
        <v>58</v>
      </c>
      <c r="P153" t="s">
        <v>63</v>
      </c>
      <c r="Q153" t="s">
        <v>877</v>
      </c>
      <c r="R153" t="s">
        <v>884</v>
      </c>
      <c r="S153" t="s">
        <v>67</v>
      </c>
      <c r="T153" t="s">
        <v>941</v>
      </c>
      <c r="U153" t="s">
        <v>1165</v>
      </c>
      <c r="V153">
        <v>17</v>
      </c>
      <c r="W153" s="2">
        <v>0</v>
      </c>
    </row>
    <row r="154" spans="1:23" x14ac:dyDescent="0.25">
      <c r="A154" t="s">
        <v>31</v>
      </c>
      <c r="B154" t="s">
        <v>32</v>
      </c>
      <c r="C154" t="s">
        <v>33</v>
      </c>
      <c r="D154" t="s">
        <v>34</v>
      </c>
      <c r="E154" t="s">
        <v>35</v>
      </c>
      <c r="F154" t="s">
        <v>36</v>
      </c>
      <c r="G154">
        <v>1141685</v>
      </c>
      <c r="H154" t="s">
        <v>76</v>
      </c>
      <c r="I154" t="s">
        <v>95</v>
      </c>
      <c r="J154" t="s">
        <v>99</v>
      </c>
      <c r="K154" t="s">
        <v>109</v>
      </c>
      <c r="L154" s="1">
        <v>46143</v>
      </c>
      <c r="M154" s="1">
        <v>46173</v>
      </c>
      <c r="N154">
        <v>0.183337</v>
      </c>
      <c r="O154" t="s">
        <v>58</v>
      </c>
      <c r="P154" t="s">
        <v>63</v>
      </c>
      <c r="Q154" t="s">
        <v>877</v>
      </c>
      <c r="R154" t="s">
        <v>884</v>
      </c>
      <c r="S154" t="s">
        <v>67</v>
      </c>
      <c r="T154" t="s">
        <v>941</v>
      </c>
      <c r="U154" t="s">
        <v>1165</v>
      </c>
      <c r="V154">
        <v>17</v>
      </c>
      <c r="W154" s="2">
        <v>0</v>
      </c>
    </row>
    <row r="155" spans="1:23" x14ac:dyDescent="0.25">
      <c r="A155" t="s">
        <v>31</v>
      </c>
      <c r="B155" t="s">
        <v>32</v>
      </c>
      <c r="C155" t="s">
        <v>33</v>
      </c>
      <c r="D155" t="s">
        <v>34</v>
      </c>
      <c r="E155" t="s">
        <v>35</v>
      </c>
      <c r="F155" t="s">
        <v>36</v>
      </c>
      <c r="G155">
        <v>1141685</v>
      </c>
      <c r="H155" t="s">
        <v>76</v>
      </c>
      <c r="I155" t="s">
        <v>95</v>
      </c>
      <c r="J155" t="s">
        <v>99</v>
      </c>
      <c r="K155" t="s">
        <v>109</v>
      </c>
      <c r="L155" s="1">
        <v>46143</v>
      </c>
      <c r="M155" s="1">
        <v>46173</v>
      </c>
      <c r="N155">
        <v>1.1335759999999999</v>
      </c>
      <c r="O155" t="s">
        <v>58</v>
      </c>
      <c r="P155" t="s">
        <v>63</v>
      </c>
      <c r="Q155" t="s">
        <v>877</v>
      </c>
      <c r="R155" t="s">
        <v>882</v>
      </c>
      <c r="S155" t="s">
        <v>67</v>
      </c>
      <c r="T155" t="s">
        <v>903</v>
      </c>
      <c r="U155" t="s">
        <v>1127</v>
      </c>
      <c r="V155">
        <v>15</v>
      </c>
      <c r="W155" s="2">
        <v>0</v>
      </c>
    </row>
    <row r="156" spans="1:23" x14ac:dyDescent="0.25">
      <c r="A156" t="s">
        <v>31</v>
      </c>
      <c r="B156" t="s">
        <v>32</v>
      </c>
      <c r="C156" t="s">
        <v>33</v>
      </c>
      <c r="D156" t="s">
        <v>34</v>
      </c>
      <c r="E156" t="s">
        <v>35</v>
      </c>
      <c r="F156" t="s">
        <v>36</v>
      </c>
      <c r="G156">
        <v>1141685</v>
      </c>
      <c r="H156" t="s">
        <v>76</v>
      </c>
      <c r="I156" t="s">
        <v>95</v>
      </c>
      <c r="J156" t="s">
        <v>99</v>
      </c>
      <c r="K156" t="s">
        <v>109</v>
      </c>
      <c r="L156" s="1">
        <v>46143</v>
      </c>
      <c r="M156" s="1">
        <v>46173</v>
      </c>
      <c r="N156">
        <v>0.98335300000000003</v>
      </c>
      <c r="O156" t="s">
        <v>58</v>
      </c>
      <c r="P156" t="s">
        <v>63</v>
      </c>
      <c r="Q156" t="s">
        <v>877</v>
      </c>
      <c r="R156" t="s">
        <v>882</v>
      </c>
      <c r="S156" t="s">
        <v>67</v>
      </c>
      <c r="T156" t="s">
        <v>903</v>
      </c>
      <c r="U156" t="s">
        <v>1127</v>
      </c>
      <c r="V156">
        <v>15</v>
      </c>
      <c r="W156" s="2">
        <v>0</v>
      </c>
    </row>
    <row r="157" spans="1:23" x14ac:dyDescent="0.25">
      <c r="A157" t="s">
        <v>31</v>
      </c>
      <c r="B157" t="s">
        <v>32</v>
      </c>
      <c r="C157" t="s">
        <v>33</v>
      </c>
      <c r="D157" t="s">
        <v>34</v>
      </c>
      <c r="E157" t="s">
        <v>35</v>
      </c>
      <c r="F157" t="s">
        <v>36</v>
      </c>
      <c r="G157">
        <v>1141685</v>
      </c>
      <c r="H157" t="s">
        <v>76</v>
      </c>
      <c r="I157" t="s">
        <v>95</v>
      </c>
      <c r="J157" t="s">
        <v>99</v>
      </c>
      <c r="K157" t="s">
        <v>109</v>
      </c>
      <c r="L157" s="1">
        <v>46143</v>
      </c>
      <c r="M157" s="1">
        <v>46173</v>
      </c>
      <c r="N157">
        <v>78.249106999999995</v>
      </c>
      <c r="O157" t="s">
        <v>58</v>
      </c>
      <c r="P157" t="s">
        <v>63</v>
      </c>
      <c r="Q157" t="s">
        <v>877</v>
      </c>
      <c r="R157" t="s">
        <v>882</v>
      </c>
      <c r="S157" t="s">
        <v>67</v>
      </c>
      <c r="T157" t="s">
        <v>906</v>
      </c>
      <c r="U157" t="s">
        <v>1130</v>
      </c>
      <c r="V157">
        <v>16</v>
      </c>
      <c r="W157" s="2">
        <v>0</v>
      </c>
    </row>
    <row r="158" spans="1:23" x14ac:dyDescent="0.25">
      <c r="A158" t="s">
        <v>31</v>
      </c>
      <c r="B158" t="s">
        <v>32</v>
      </c>
      <c r="C158" t="s">
        <v>33</v>
      </c>
      <c r="D158" t="s">
        <v>34</v>
      </c>
      <c r="E158" t="s">
        <v>35</v>
      </c>
      <c r="F158" t="s">
        <v>36</v>
      </c>
      <c r="G158">
        <v>1141685</v>
      </c>
      <c r="H158" t="s">
        <v>76</v>
      </c>
      <c r="I158" t="s">
        <v>95</v>
      </c>
      <c r="J158" t="s">
        <v>99</v>
      </c>
      <c r="K158" t="s">
        <v>109</v>
      </c>
      <c r="L158" s="1">
        <v>46143</v>
      </c>
      <c r="M158" s="1">
        <v>46173</v>
      </c>
      <c r="N158">
        <v>0.43334099999999998</v>
      </c>
      <c r="O158" t="s">
        <v>58</v>
      </c>
      <c r="P158" t="s">
        <v>63</v>
      </c>
      <c r="Q158" t="s">
        <v>877</v>
      </c>
      <c r="R158" t="s">
        <v>882</v>
      </c>
      <c r="S158" t="s">
        <v>67</v>
      </c>
      <c r="T158" t="s">
        <v>906</v>
      </c>
      <c r="U158" t="s">
        <v>1130</v>
      </c>
      <c r="V158">
        <v>16</v>
      </c>
      <c r="W158" s="2">
        <v>0</v>
      </c>
    </row>
    <row r="159" spans="1:23" x14ac:dyDescent="0.25">
      <c r="A159" t="s">
        <v>31</v>
      </c>
      <c r="B159" t="s">
        <v>32</v>
      </c>
      <c r="C159" t="s">
        <v>33</v>
      </c>
      <c r="D159" t="s">
        <v>34</v>
      </c>
      <c r="E159" t="s">
        <v>35</v>
      </c>
      <c r="F159" t="s">
        <v>36</v>
      </c>
      <c r="G159">
        <v>1141685</v>
      </c>
      <c r="H159" t="s">
        <v>76</v>
      </c>
      <c r="I159" t="s">
        <v>95</v>
      </c>
      <c r="J159" t="s">
        <v>99</v>
      </c>
      <c r="K159" t="s">
        <v>109</v>
      </c>
      <c r="L159" s="1">
        <v>46143</v>
      </c>
      <c r="M159" s="1">
        <v>46173</v>
      </c>
      <c r="N159">
        <v>41.150081</v>
      </c>
      <c r="O159" t="s">
        <v>58</v>
      </c>
      <c r="P159" t="s">
        <v>63</v>
      </c>
      <c r="Q159" t="s">
        <v>877</v>
      </c>
      <c r="R159" t="s">
        <v>882</v>
      </c>
      <c r="S159" t="s">
        <v>67</v>
      </c>
      <c r="T159" t="s">
        <v>906</v>
      </c>
      <c r="U159" t="s">
        <v>1130</v>
      </c>
      <c r="V159">
        <v>16</v>
      </c>
      <c r="W159" s="2">
        <v>0</v>
      </c>
    </row>
    <row r="160" spans="1:23" x14ac:dyDescent="0.25">
      <c r="A160" t="s">
        <v>31</v>
      </c>
      <c r="B160" t="s">
        <v>32</v>
      </c>
      <c r="C160" t="s">
        <v>33</v>
      </c>
      <c r="D160" t="s">
        <v>34</v>
      </c>
      <c r="E160" t="s">
        <v>35</v>
      </c>
      <c r="F160" t="s">
        <v>36</v>
      </c>
      <c r="G160">
        <v>1141685</v>
      </c>
      <c r="H160" t="s">
        <v>76</v>
      </c>
      <c r="I160" t="s">
        <v>95</v>
      </c>
      <c r="J160" t="s">
        <v>99</v>
      </c>
      <c r="K160" t="s">
        <v>109</v>
      </c>
      <c r="L160" s="1">
        <v>46143</v>
      </c>
      <c r="M160" s="1">
        <v>46173</v>
      </c>
      <c r="N160">
        <v>64.382965999999996</v>
      </c>
      <c r="O160" t="s">
        <v>58</v>
      </c>
      <c r="P160" t="s">
        <v>63</v>
      </c>
      <c r="Q160" t="s">
        <v>877</v>
      </c>
      <c r="R160" t="s">
        <v>882</v>
      </c>
      <c r="S160" t="s">
        <v>67</v>
      </c>
      <c r="T160" t="s">
        <v>906</v>
      </c>
      <c r="U160" t="s">
        <v>1130</v>
      </c>
      <c r="V160">
        <v>16</v>
      </c>
      <c r="W160" s="2">
        <v>0</v>
      </c>
    </row>
    <row r="161" spans="1:23" x14ac:dyDescent="0.25">
      <c r="A161" t="s">
        <v>31</v>
      </c>
      <c r="B161" t="s">
        <v>32</v>
      </c>
      <c r="C161" t="s">
        <v>33</v>
      </c>
      <c r="D161" t="s">
        <v>34</v>
      </c>
      <c r="E161" t="s">
        <v>35</v>
      </c>
      <c r="F161" t="s">
        <v>36</v>
      </c>
      <c r="G161">
        <v>1141685</v>
      </c>
      <c r="H161" t="s">
        <v>80</v>
      </c>
      <c r="I161" t="s">
        <v>96</v>
      </c>
      <c r="J161" t="s">
        <v>80</v>
      </c>
      <c r="K161" t="s">
        <v>115</v>
      </c>
      <c r="L161" s="1">
        <v>46143</v>
      </c>
      <c r="M161" s="1">
        <v>46173</v>
      </c>
      <c r="N161">
        <v>2.4913000000000002E-6</v>
      </c>
      <c r="O161" t="s">
        <v>56</v>
      </c>
      <c r="P161" t="s">
        <v>63</v>
      </c>
      <c r="Q161" t="s">
        <v>878</v>
      </c>
      <c r="R161" t="s">
        <v>882</v>
      </c>
      <c r="S161" t="s">
        <v>67</v>
      </c>
      <c r="T161" t="s">
        <v>1026</v>
      </c>
      <c r="U161" t="s">
        <v>1250</v>
      </c>
      <c r="V161">
        <v>16</v>
      </c>
      <c r="W161" s="2">
        <v>3.8247429999999999E-4</v>
      </c>
    </row>
    <row r="162" spans="1:23" x14ac:dyDescent="0.25">
      <c r="A162" t="s">
        <v>31</v>
      </c>
      <c r="B162" t="s">
        <v>32</v>
      </c>
      <c r="C162" t="s">
        <v>33</v>
      </c>
      <c r="D162" t="s">
        <v>34</v>
      </c>
      <c r="E162" t="s">
        <v>35</v>
      </c>
      <c r="F162" t="s">
        <v>36</v>
      </c>
      <c r="G162">
        <v>1141685</v>
      </c>
      <c r="H162" t="s">
        <v>77</v>
      </c>
      <c r="I162" t="s">
        <v>96</v>
      </c>
      <c r="J162" t="s">
        <v>77</v>
      </c>
      <c r="K162" t="s">
        <v>110</v>
      </c>
      <c r="L162" s="1">
        <v>46143</v>
      </c>
      <c r="M162" s="1">
        <v>46173</v>
      </c>
      <c r="N162">
        <v>744</v>
      </c>
      <c r="O162" t="s">
        <v>58</v>
      </c>
      <c r="P162" t="s">
        <v>63</v>
      </c>
      <c r="Q162" t="s">
        <v>879</v>
      </c>
      <c r="R162" t="s">
        <v>894</v>
      </c>
      <c r="S162" t="s">
        <v>67</v>
      </c>
      <c r="T162" t="s">
        <v>1027</v>
      </c>
      <c r="U162" t="s">
        <v>1251</v>
      </c>
      <c r="V162">
        <v>7</v>
      </c>
      <c r="W162" s="2">
        <v>129798.2412</v>
      </c>
    </row>
    <row r="163" spans="1:23" x14ac:dyDescent="0.25">
      <c r="A163" t="s">
        <v>31</v>
      </c>
      <c r="B163" t="s">
        <v>32</v>
      </c>
      <c r="C163" t="s">
        <v>33</v>
      </c>
      <c r="D163" t="s">
        <v>34</v>
      </c>
      <c r="E163" t="s">
        <v>35</v>
      </c>
      <c r="F163" t="s">
        <v>36</v>
      </c>
      <c r="G163">
        <v>1141685</v>
      </c>
      <c r="H163" t="s">
        <v>77</v>
      </c>
      <c r="I163" t="s">
        <v>96</v>
      </c>
      <c r="J163" t="s">
        <v>77</v>
      </c>
      <c r="K163" t="s">
        <v>110</v>
      </c>
      <c r="L163" s="1">
        <v>46143</v>
      </c>
      <c r="M163" s="1">
        <v>46173</v>
      </c>
      <c r="N163">
        <v>744</v>
      </c>
      <c r="O163" t="s">
        <v>58</v>
      </c>
      <c r="P163" t="s">
        <v>63</v>
      </c>
      <c r="Q163" t="s">
        <v>879</v>
      </c>
      <c r="R163" t="s">
        <v>895</v>
      </c>
      <c r="S163" t="s">
        <v>67</v>
      </c>
      <c r="T163" t="s">
        <v>1028</v>
      </c>
      <c r="U163" t="s">
        <v>1252</v>
      </c>
      <c r="V163">
        <v>7</v>
      </c>
      <c r="W163" s="2">
        <v>129798.2412</v>
      </c>
    </row>
    <row r="164" spans="1:23" x14ac:dyDescent="0.25">
      <c r="A164" t="s">
        <v>31</v>
      </c>
      <c r="B164" t="s">
        <v>32</v>
      </c>
      <c r="C164" t="s">
        <v>33</v>
      </c>
      <c r="D164" t="s">
        <v>34</v>
      </c>
      <c r="E164" t="s">
        <v>35</v>
      </c>
      <c r="F164" t="s">
        <v>36</v>
      </c>
      <c r="G164">
        <v>1141685</v>
      </c>
      <c r="H164" t="s">
        <v>77</v>
      </c>
      <c r="I164" t="s">
        <v>96</v>
      </c>
      <c r="J164" t="s">
        <v>77</v>
      </c>
      <c r="K164" t="s">
        <v>110</v>
      </c>
      <c r="L164" s="1">
        <v>46143</v>
      </c>
      <c r="M164" s="1">
        <v>46173</v>
      </c>
      <c r="N164">
        <v>744</v>
      </c>
      <c r="O164" t="s">
        <v>58</v>
      </c>
      <c r="P164" t="s">
        <v>63</v>
      </c>
      <c r="Q164" t="s">
        <v>879</v>
      </c>
      <c r="R164" t="s">
        <v>885</v>
      </c>
      <c r="S164" t="s">
        <v>67</v>
      </c>
      <c r="T164" t="s">
        <v>1027</v>
      </c>
      <c r="U164" t="s">
        <v>1251</v>
      </c>
      <c r="V164">
        <v>7</v>
      </c>
      <c r="W164" s="2">
        <v>129798.2412</v>
      </c>
    </row>
    <row r="165" spans="1:23" x14ac:dyDescent="0.25">
      <c r="A165" t="s">
        <v>31</v>
      </c>
      <c r="B165" t="s">
        <v>32</v>
      </c>
      <c r="C165" t="s">
        <v>33</v>
      </c>
      <c r="D165" t="s">
        <v>34</v>
      </c>
      <c r="E165" t="s">
        <v>35</v>
      </c>
      <c r="F165" t="s">
        <v>36</v>
      </c>
      <c r="G165">
        <v>1141685</v>
      </c>
      <c r="H165" t="s">
        <v>80</v>
      </c>
      <c r="I165" t="s">
        <v>96</v>
      </c>
      <c r="J165" t="s">
        <v>80</v>
      </c>
      <c r="K165" t="s">
        <v>115</v>
      </c>
      <c r="L165" s="1">
        <v>46143</v>
      </c>
      <c r="M165" s="1">
        <v>46173</v>
      </c>
      <c r="N165">
        <v>2.3574492900000001E-2</v>
      </c>
      <c r="O165" t="s">
        <v>56</v>
      </c>
      <c r="P165" t="s">
        <v>63</v>
      </c>
      <c r="Q165" t="s">
        <v>878</v>
      </c>
      <c r="R165" t="s">
        <v>881</v>
      </c>
      <c r="S165" t="s">
        <v>67</v>
      </c>
      <c r="T165" t="s">
        <v>1029</v>
      </c>
      <c r="U165" t="s">
        <v>1253</v>
      </c>
      <c r="V165">
        <v>15</v>
      </c>
      <c r="W165" s="2">
        <v>4.1092693060999999</v>
      </c>
    </row>
    <row r="166" spans="1:23" x14ac:dyDescent="0.25">
      <c r="A166" t="s">
        <v>31</v>
      </c>
      <c r="B166" t="s">
        <v>32</v>
      </c>
      <c r="C166" t="s">
        <v>33</v>
      </c>
      <c r="D166" t="s">
        <v>34</v>
      </c>
      <c r="E166" t="s">
        <v>35</v>
      </c>
      <c r="F166" t="s">
        <v>36</v>
      </c>
      <c r="G166">
        <v>1141685</v>
      </c>
      <c r="H166" t="s">
        <v>80</v>
      </c>
      <c r="I166" t="s">
        <v>96</v>
      </c>
      <c r="J166" t="s">
        <v>80</v>
      </c>
      <c r="K166" t="s">
        <v>115</v>
      </c>
      <c r="L166" s="1">
        <v>46143</v>
      </c>
      <c r="M166" s="1">
        <v>46173</v>
      </c>
      <c r="N166">
        <v>2.1993053331999999</v>
      </c>
      <c r="O166" t="s">
        <v>56</v>
      </c>
      <c r="P166" t="s">
        <v>63</v>
      </c>
      <c r="Q166" t="s">
        <v>878</v>
      </c>
      <c r="R166" t="s">
        <v>882</v>
      </c>
      <c r="S166" t="s">
        <v>67</v>
      </c>
      <c r="T166" t="s">
        <v>1030</v>
      </c>
      <c r="U166" t="s">
        <v>1254</v>
      </c>
      <c r="V166">
        <v>16</v>
      </c>
      <c r="W166" s="2">
        <v>383.68791141579999</v>
      </c>
    </row>
    <row r="167" spans="1:23" x14ac:dyDescent="0.25">
      <c r="A167" t="s">
        <v>31</v>
      </c>
      <c r="B167" t="s">
        <v>32</v>
      </c>
      <c r="C167" t="s">
        <v>33</v>
      </c>
      <c r="D167" t="s">
        <v>34</v>
      </c>
      <c r="E167" t="s">
        <v>35</v>
      </c>
      <c r="F167" t="s">
        <v>36</v>
      </c>
      <c r="G167">
        <v>1141685</v>
      </c>
      <c r="H167" t="s">
        <v>91</v>
      </c>
      <c r="I167" t="s">
        <v>95</v>
      </c>
      <c r="J167" t="s">
        <v>106</v>
      </c>
      <c r="K167" t="s">
        <v>479</v>
      </c>
      <c r="L167" s="1">
        <v>46143</v>
      </c>
      <c r="M167" s="1">
        <v>46173</v>
      </c>
      <c r="N167">
        <v>0.250004</v>
      </c>
      <c r="O167" t="s">
        <v>58</v>
      </c>
      <c r="P167" t="s">
        <v>63</v>
      </c>
      <c r="Q167" t="s">
        <v>877</v>
      </c>
      <c r="R167" t="s">
        <v>882</v>
      </c>
      <c r="S167" t="s">
        <v>67</v>
      </c>
      <c r="T167" t="s">
        <v>1031</v>
      </c>
      <c r="U167" t="s">
        <v>1255</v>
      </c>
      <c r="V167">
        <v>16</v>
      </c>
      <c r="W167" s="2">
        <v>1090.3953524799999</v>
      </c>
    </row>
    <row r="168" spans="1:23" x14ac:dyDescent="0.25">
      <c r="A168" t="s">
        <v>31</v>
      </c>
      <c r="B168" t="s">
        <v>32</v>
      </c>
      <c r="C168" t="s">
        <v>33</v>
      </c>
      <c r="D168" t="s">
        <v>34</v>
      </c>
      <c r="E168" t="s">
        <v>35</v>
      </c>
      <c r="F168" t="s">
        <v>36</v>
      </c>
      <c r="G168">
        <v>1141685</v>
      </c>
      <c r="H168" t="s">
        <v>86</v>
      </c>
      <c r="I168" t="s">
        <v>42</v>
      </c>
      <c r="J168" t="s">
        <v>86</v>
      </c>
      <c r="K168" t="s">
        <v>124</v>
      </c>
      <c r="L168" s="1">
        <v>46143</v>
      </c>
      <c r="M168" s="1">
        <v>46173</v>
      </c>
      <c r="N168">
        <v>0.81431200000000004</v>
      </c>
      <c r="O168" t="s">
        <v>135</v>
      </c>
      <c r="P168" t="s">
        <v>63</v>
      </c>
      <c r="Q168" t="s">
        <v>877</v>
      </c>
      <c r="R168" t="s">
        <v>896</v>
      </c>
      <c r="S168" t="s">
        <v>67</v>
      </c>
      <c r="T168" t="s">
        <v>1032</v>
      </c>
      <c r="U168" t="s">
        <v>1256</v>
      </c>
      <c r="V168">
        <v>17</v>
      </c>
      <c r="W168" s="2">
        <v>280009.85835400957</v>
      </c>
    </row>
    <row r="169" spans="1:23" x14ac:dyDescent="0.25">
      <c r="A169" t="s">
        <v>31</v>
      </c>
      <c r="B169" t="s">
        <v>32</v>
      </c>
      <c r="C169" t="s">
        <v>33</v>
      </c>
      <c r="D169" t="s">
        <v>34</v>
      </c>
      <c r="E169" t="s">
        <v>35</v>
      </c>
      <c r="F169" t="s">
        <v>36</v>
      </c>
      <c r="G169">
        <v>1141685</v>
      </c>
      <c r="H169" t="s">
        <v>80</v>
      </c>
      <c r="I169" t="s">
        <v>96</v>
      </c>
      <c r="J169" t="s">
        <v>80</v>
      </c>
      <c r="K169" t="s">
        <v>115</v>
      </c>
      <c r="L169" s="1">
        <v>46143</v>
      </c>
      <c r="M169" s="1">
        <v>46173</v>
      </c>
      <c r="N169">
        <v>0.88580185359999997</v>
      </c>
      <c r="O169" t="s">
        <v>56</v>
      </c>
      <c r="P169" t="s">
        <v>63</v>
      </c>
      <c r="Q169" t="s">
        <v>878</v>
      </c>
      <c r="R169" t="s">
        <v>881</v>
      </c>
      <c r="S169" t="s">
        <v>67</v>
      </c>
      <c r="T169" t="s">
        <v>1033</v>
      </c>
      <c r="U169" t="s">
        <v>1257</v>
      </c>
      <c r="V169">
        <v>16</v>
      </c>
      <c r="W169" s="2">
        <v>154.53255241319999</v>
      </c>
    </row>
    <row r="170" spans="1:23" x14ac:dyDescent="0.25">
      <c r="A170" t="s">
        <v>31</v>
      </c>
      <c r="B170" t="s">
        <v>32</v>
      </c>
      <c r="C170" t="s">
        <v>33</v>
      </c>
      <c r="D170" t="s">
        <v>34</v>
      </c>
      <c r="E170" t="s">
        <v>35</v>
      </c>
      <c r="F170" t="s">
        <v>36</v>
      </c>
      <c r="G170">
        <v>1141685</v>
      </c>
      <c r="H170" t="s">
        <v>80</v>
      </c>
      <c r="I170" t="s">
        <v>96</v>
      </c>
      <c r="J170" t="s">
        <v>80</v>
      </c>
      <c r="K170" t="s">
        <v>115</v>
      </c>
      <c r="L170" s="1">
        <v>46143</v>
      </c>
      <c r="M170" s="1">
        <v>46173</v>
      </c>
      <c r="N170">
        <v>1.9000799999999999E-5</v>
      </c>
      <c r="O170" t="s">
        <v>56</v>
      </c>
      <c r="P170" t="s">
        <v>63</v>
      </c>
      <c r="Q170" t="s">
        <v>878</v>
      </c>
      <c r="R170" t="s">
        <v>882</v>
      </c>
      <c r="S170" t="s">
        <v>67</v>
      </c>
      <c r="T170" t="s">
        <v>1034</v>
      </c>
      <c r="U170" t="s">
        <v>1258</v>
      </c>
      <c r="V170">
        <v>16</v>
      </c>
      <c r="W170" s="2">
        <v>2.9171004999999999E-3</v>
      </c>
    </row>
    <row r="171" spans="1:23" x14ac:dyDescent="0.25">
      <c r="A171" t="s">
        <v>31</v>
      </c>
      <c r="B171" t="s">
        <v>32</v>
      </c>
      <c r="C171" t="s">
        <v>33</v>
      </c>
      <c r="D171" t="s">
        <v>34</v>
      </c>
      <c r="E171" t="s">
        <v>35</v>
      </c>
      <c r="F171" t="s">
        <v>36</v>
      </c>
      <c r="G171">
        <v>1141685</v>
      </c>
      <c r="H171" t="s">
        <v>79</v>
      </c>
      <c r="I171" t="s">
        <v>94</v>
      </c>
      <c r="J171" t="s">
        <v>101</v>
      </c>
      <c r="K171" t="s">
        <v>116</v>
      </c>
      <c r="L171" s="1">
        <v>46143</v>
      </c>
      <c r="M171" s="1">
        <v>46173</v>
      </c>
      <c r="N171">
        <v>1.017415E-3</v>
      </c>
      <c r="O171" t="s">
        <v>56</v>
      </c>
      <c r="P171" t="s">
        <v>63</v>
      </c>
      <c r="Q171" t="s">
        <v>878</v>
      </c>
      <c r="R171" t="s">
        <v>882</v>
      </c>
      <c r="S171" t="s">
        <v>67</v>
      </c>
      <c r="T171" t="s">
        <v>1035</v>
      </c>
      <c r="U171" t="s">
        <v>1259</v>
      </c>
      <c r="V171">
        <v>16</v>
      </c>
      <c r="W171" s="2">
        <v>1.4195874317999999</v>
      </c>
    </row>
    <row r="172" spans="1:23" x14ac:dyDescent="0.25">
      <c r="A172" t="s">
        <v>31</v>
      </c>
      <c r="B172" t="s">
        <v>32</v>
      </c>
      <c r="C172" t="s">
        <v>33</v>
      </c>
      <c r="D172" t="s">
        <v>34</v>
      </c>
      <c r="E172" t="s">
        <v>35</v>
      </c>
      <c r="F172" t="s">
        <v>36</v>
      </c>
      <c r="G172">
        <v>1141685</v>
      </c>
      <c r="H172" t="s">
        <v>79</v>
      </c>
      <c r="I172" t="s">
        <v>94</v>
      </c>
      <c r="J172" t="s">
        <v>101</v>
      </c>
      <c r="K172" t="s">
        <v>116</v>
      </c>
      <c r="L172" s="1">
        <v>46143</v>
      </c>
      <c r="M172" s="1">
        <v>46173</v>
      </c>
      <c r="N172">
        <v>7.33400788E-2</v>
      </c>
      <c r="O172" t="s">
        <v>56</v>
      </c>
      <c r="P172" t="s">
        <v>63</v>
      </c>
      <c r="Q172" t="s">
        <v>878</v>
      </c>
      <c r="R172" t="s">
        <v>884</v>
      </c>
      <c r="S172" t="s">
        <v>67</v>
      </c>
      <c r="T172" t="s">
        <v>1036</v>
      </c>
      <c r="U172" t="s">
        <v>1260</v>
      </c>
      <c r="V172">
        <v>16</v>
      </c>
      <c r="W172" s="2">
        <v>84.029163120099994</v>
      </c>
    </row>
    <row r="173" spans="1:23" x14ac:dyDescent="0.25">
      <c r="A173" t="s">
        <v>31</v>
      </c>
      <c r="B173" t="s">
        <v>32</v>
      </c>
      <c r="C173" t="s">
        <v>33</v>
      </c>
      <c r="D173" t="s">
        <v>34</v>
      </c>
      <c r="E173" t="s">
        <v>35</v>
      </c>
      <c r="F173" t="s">
        <v>36</v>
      </c>
      <c r="G173">
        <v>1141685</v>
      </c>
      <c r="H173" t="s">
        <v>79</v>
      </c>
      <c r="I173" t="s">
        <v>94</v>
      </c>
      <c r="J173" t="s">
        <v>101</v>
      </c>
      <c r="K173" t="s">
        <v>116</v>
      </c>
      <c r="L173" s="1">
        <v>46143</v>
      </c>
      <c r="M173" s="1">
        <v>46173</v>
      </c>
      <c r="N173">
        <v>5.7237200000000001E-5</v>
      </c>
      <c r="O173" t="s">
        <v>56</v>
      </c>
      <c r="P173" t="s">
        <v>63</v>
      </c>
      <c r="Q173" t="s">
        <v>878</v>
      </c>
      <c r="R173" t="s">
        <v>882</v>
      </c>
      <c r="S173" t="s">
        <v>67</v>
      </c>
      <c r="T173" t="s">
        <v>1037</v>
      </c>
      <c r="U173" t="s">
        <v>1261</v>
      </c>
      <c r="V173">
        <v>16</v>
      </c>
      <c r="W173" s="2">
        <v>8.0298665299999988E-2</v>
      </c>
    </row>
    <row r="174" spans="1:23" x14ac:dyDescent="0.25">
      <c r="A174" t="s">
        <v>31</v>
      </c>
      <c r="B174" t="s">
        <v>32</v>
      </c>
      <c r="C174" t="s">
        <v>33</v>
      </c>
      <c r="D174" t="s">
        <v>34</v>
      </c>
      <c r="E174" t="s">
        <v>35</v>
      </c>
      <c r="F174" t="s">
        <v>36</v>
      </c>
      <c r="G174">
        <v>1141685</v>
      </c>
      <c r="H174" t="s">
        <v>79</v>
      </c>
      <c r="I174" t="s">
        <v>94</v>
      </c>
      <c r="J174" t="s">
        <v>101</v>
      </c>
      <c r="K174" t="s">
        <v>116</v>
      </c>
      <c r="L174" s="1">
        <v>46143</v>
      </c>
      <c r="M174" s="1">
        <v>46173</v>
      </c>
      <c r="N174">
        <v>7.0966409999999997E-4</v>
      </c>
      <c r="O174" t="s">
        <v>56</v>
      </c>
      <c r="P174" t="s">
        <v>63</v>
      </c>
      <c r="Q174" t="s">
        <v>878</v>
      </c>
      <c r="R174" t="s">
        <v>882</v>
      </c>
      <c r="S174" t="s">
        <v>67</v>
      </c>
      <c r="T174" t="s">
        <v>1038</v>
      </c>
      <c r="U174" t="s">
        <v>1262</v>
      </c>
      <c r="V174">
        <v>16</v>
      </c>
      <c r="W174" s="2">
        <v>0.99160828329999995</v>
      </c>
    </row>
    <row r="175" spans="1:23" x14ac:dyDescent="0.25">
      <c r="A175" t="s">
        <v>31</v>
      </c>
      <c r="B175" t="s">
        <v>32</v>
      </c>
      <c r="C175" t="s">
        <v>33</v>
      </c>
      <c r="D175" t="s">
        <v>34</v>
      </c>
      <c r="E175" t="s">
        <v>35</v>
      </c>
      <c r="F175" t="s">
        <v>36</v>
      </c>
      <c r="G175">
        <v>1141685</v>
      </c>
      <c r="H175" t="s">
        <v>77</v>
      </c>
      <c r="I175" t="s">
        <v>96</v>
      </c>
      <c r="J175" t="s">
        <v>77</v>
      </c>
      <c r="K175" t="s">
        <v>110</v>
      </c>
      <c r="L175" s="1">
        <v>46143</v>
      </c>
      <c r="M175" s="1">
        <v>46173</v>
      </c>
      <c r="N175">
        <v>744</v>
      </c>
      <c r="O175" t="s">
        <v>58</v>
      </c>
      <c r="P175" t="s">
        <v>63</v>
      </c>
      <c r="Q175" t="s">
        <v>879</v>
      </c>
      <c r="R175" t="s">
        <v>897</v>
      </c>
      <c r="S175" t="s">
        <v>67</v>
      </c>
      <c r="T175" t="s">
        <v>172</v>
      </c>
      <c r="U175" t="s">
        <v>327</v>
      </c>
      <c r="V175">
        <v>7</v>
      </c>
      <c r="W175" s="2">
        <v>129798.2412</v>
      </c>
    </row>
    <row r="176" spans="1:23" x14ac:dyDescent="0.25">
      <c r="A176" t="s">
        <v>31</v>
      </c>
      <c r="B176" t="s">
        <v>32</v>
      </c>
      <c r="C176" t="s">
        <v>33</v>
      </c>
      <c r="D176" t="s">
        <v>34</v>
      </c>
      <c r="E176" t="s">
        <v>35</v>
      </c>
      <c r="F176" t="s">
        <v>36</v>
      </c>
      <c r="G176">
        <v>1141685</v>
      </c>
      <c r="H176" t="s">
        <v>77</v>
      </c>
      <c r="I176" t="s">
        <v>96</v>
      </c>
      <c r="J176" t="s">
        <v>77</v>
      </c>
      <c r="K176" t="s">
        <v>111</v>
      </c>
      <c r="L176" s="1">
        <v>46143</v>
      </c>
      <c r="M176" s="1">
        <v>46173</v>
      </c>
      <c r="N176">
        <v>14.0939758327</v>
      </c>
      <c r="O176" t="s">
        <v>56</v>
      </c>
      <c r="P176" t="s">
        <v>63</v>
      </c>
      <c r="Q176" t="s">
        <v>878</v>
      </c>
      <c r="R176" t="s">
        <v>882</v>
      </c>
      <c r="S176" t="s">
        <v>67</v>
      </c>
      <c r="T176" t="s">
        <v>1039</v>
      </c>
      <c r="U176" t="s">
        <v>1263</v>
      </c>
      <c r="V176">
        <v>15</v>
      </c>
      <c r="W176" s="2">
        <v>2458.8348209178998</v>
      </c>
    </row>
    <row r="177" spans="1:23" x14ac:dyDescent="0.25">
      <c r="A177" t="s">
        <v>31</v>
      </c>
      <c r="B177" t="s">
        <v>32</v>
      </c>
      <c r="C177" t="s">
        <v>33</v>
      </c>
      <c r="D177" t="s">
        <v>34</v>
      </c>
      <c r="E177" t="s">
        <v>35</v>
      </c>
      <c r="F177" t="s">
        <v>36</v>
      </c>
      <c r="G177">
        <v>1141685</v>
      </c>
      <c r="H177" t="s">
        <v>77</v>
      </c>
      <c r="I177" t="s">
        <v>96</v>
      </c>
      <c r="J177" t="s">
        <v>77</v>
      </c>
      <c r="K177" t="s">
        <v>111</v>
      </c>
      <c r="L177" s="1">
        <v>46143</v>
      </c>
      <c r="M177" s="1">
        <v>46173</v>
      </c>
      <c r="N177">
        <v>18.6008927962</v>
      </c>
      <c r="O177" t="s">
        <v>56</v>
      </c>
      <c r="P177" t="s">
        <v>63</v>
      </c>
      <c r="Q177" t="s">
        <v>878</v>
      </c>
      <c r="R177" t="s">
        <v>882</v>
      </c>
      <c r="S177" t="s">
        <v>67</v>
      </c>
      <c r="T177" t="s">
        <v>1040</v>
      </c>
      <c r="U177" t="s">
        <v>1264</v>
      </c>
      <c r="V177">
        <v>16</v>
      </c>
      <c r="W177" s="2">
        <v>3245.1083463552</v>
      </c>
    </row>
    <row r="178" spans="1:23" x14ac:dyDescent="0.25">
      <c r="A178" t="s">
        <v>31</v>
      </c>
      <c r="B178" t="s">
        <v>32</v>
      </c>
      <c r="C178" t="s">
        <v>33</v>
      </c>
      <c r="D178" t="s">
        <v>34</v>
      </c>
      <c r="E178" t="s">
        <v>35</v>
      </c>
      <c r="F178" t="s">
        <v>36</v>
      </c>
      <c r="G178">
        <v>1141685</v>
      </c>
      <c r="H178" t="s">
        <v>75</v>
      </c>
      <c r="I178" t="s">
        <v>94</v>
      </c>
      <c r="J178" t="s">
        <v>98</v>
      </c>
      <c r="K178" t="s">
        <v>108</v>
      </c>
      <c r="L178" s="1">
        <v>46143</v>
      </c>
      <c r="M178" s="1">
        <v>46173</v>
      </c>
      <c r="N178">
        <v>2.7729380000000002E-4</v>
      </c>
      <c r="O178" t="s">
        <v>56</v>
      </c>
      <c r="P178" t="s">
        <v>63</v>
      </c>
      <c r="Q178" t="s">
        <v>878</v>
      </c>
      <c r="R178" t="s">
        <v>882</v>
      </c>
      <c r="S178" t="s">
        <v>67</v>
      </c>
      <c r="T178" t="s">
        <v>1041</v>
      </c>
      <c r="U178" t="s">
        <v>1265</v>
      </c>
      <c r="V178">
        <v>16</v>
      </c>
      <c r="W178" s="2">
        <v>0.58085778690000001</v>
      </c>
    </row>
    <row r="179" spans="1:23" x14ac:dyDescent="0.25">
      <c r="A179" t="s">
        <v>31</v>
      </c>
      <c r="B179" t="s">
        <v>32</v>
      </c>
      <c r="C179" t="s">
        <v>33</v>
      </c>
      <c r="D179" t="s">
        <v>34</v>
      </c>
      <c r="E179" t="s">
        <v>35</v>
      </c>
      <c r="F179" t="s">
        <v>36</v>
      </c>
      <c r="G179">
        <v>1141685</v>
      </c>
      <c r="H179" t="s">
        <v>75</v>
      </c>
      <c r="I179" t="s">
        <v>94</v>
      </c>
      <c r="J179" t="s">
        <v>98</v>
      </c>
      <c r="K179" t="s">
        <v>108</v>
      </c>
      <c r="L179" s="1">
        <v>46143</v>
      </c>
      <c r="M179" s="1">
        <v>46173</v>
      </c>
      <c r="N179">
        <v>1.229E-7</v>
      </c>
      <c r="O179" t="s">
        <v>56</v>
      </c>
      <c r="P179" t="s">
        <v>63</v>
      </c>
      <c r="Q179" t="s">
        <v>878</v>
      </c>
      <c r="R179" t="s">
        <v>882</v>
      </c>
      <c r="S179" t="s">
        <v>67</v>
      </c>
      <c r="T179" t="s">
        <v>928</v>
      </c>
      <c r="U179" t="s">
        <v>1152</v>
      </c>
      <c r="V179">
        <v>16</v>
      </c>
      <c r="W179" s="2">
        <v>2.2648199999999999E-4</v>
      </c>
    </row>
    <row r="180" spans="1:23" x14ac:dyDescent="0.25">
      <c r="A180" t="s">
        <v>31</v>
      </c>
      <c r="B180" t="s">
        <v>32</v>
      </c>
      <c r="C180" t="s">
        <v>33</v>
      </c>
      <c r="D180" t="s">
        <v>34</v>
      </c>
      <c r="E180" t="s">
        <v>35</v>
      </c>
      <c r="F180" t="s">
        <v>36</v>
      </c>
      <c r="G180">
        <v>1141685</v>
      </c>
      <c r="H180" t="s">
        <v>75</v>
      </c>
      <c r="I180" t="s">
        <v>94</v>
      </c>
      <c r="J180" t="s">
        <v>98</v>
      </c>
      <c r="K180" t="s">
        <v>108</v>
      </c>
      <c r="L180" s="1">
        <v>46143</v>
      </c>
      <c r="M180" s="1">
        <v>46173</v>
      </c>
      <c r="N180">
        <v>1.0779826000000001E-3</v>
      </c>
      <c r="O180" t="s">
        <v>56</v>
      </c>
      <c r="P180" t="s">
        <v>63</v>
      </c>
      <c r="Q180" t="s">
        <v>878</v>
      </c>
      <c r="R180" t="s">
        <v>882</v>
      </c>
      <c r="S180" t="s">
        <v>67</v>
      </c>
      <c r="T180" t="s">
        <v>1042</v>
      </c>
      <c r="U180" t="s">
        <v>1266</v>
      </c>
      <c r="V180">
        <v>16</v>
      </c>
      <c r="W180" s="2">
        <v>2.2559647512000001</v>
      </c>
    </row>
    <row r="181" spans="1:23" x14ac:dyDescent="0.25">
      <c r="A181" t="s">
        <v>31</v>
      </c>
      <c r="B181" t="s">
        <v>32</v>
      </c>
      <c r="C181" t="s">
        <v>33</v>
      </c>
      <c r="D181" t="s">
        <v>34</v>
      </c>
      <c r="E181" t="s">
        <v>35</v>
      </c>
      <c r="F181" t="s">
        <v>36</v>
      </c>
      <c r="G181">
        <v>1141685</v>
      </c>
      <c r="H181" t="s">
        <v>75</v>
      </c>
      <c r="I181" t="s">
        <v>94</v>
      </c>
      <c r="J181" t="s">
        <v>98</v>
      </c>
      <c r="K181" t="s">
        <v>108</v>
      </c>
      <c r="L181" s="1">
        <v>46143</v>
      </c>
      <c r="M181" s="1">
        <v>46173</v>
      </c>
      <c r="N181">
        <v>8.2878000000000005E-6</v>
      </c>
      <c r="O181" t="s">
        <v>56</v>
      </c>
      <c r="P181" t="s">
        <v>63</v>
      </c>
      <c r="Q181" t="s">
        <v>878</v>
      </c>
      <c r="R181" t="s">
        <v>882</v>
      </c>
      <c r="S181" t="s">
        <v>67</v>
      </c>
      <c r="T181" t="s">
        <v>1043</v>
      </c>
      <c r="U181" t="s">
        <v>1267</v>
      </c>
      <c r="V181">
        <v>16</v>
      </c>
      <c r="W181" s="2">
        <v>1.52686668E-2</v>
      </c>
    </row>
    <row r="182" spans="1:23" x14ac:dyDescent="0.25">
      <c r="A182" t="s">
        <v>31</v>
      </c>
      <c r="B182" t="s">
        <v>32</v>
      </c>
      <c r="C182" t="s">
        <v>33</v>
      </c>
      <c r="D182" t="s">
        <v>34</v>
      </c>
      <c r="E182" t="s">
        <v>35</v>
      </c>
      <c r="F182" t="s">
        <v>36</v>
      </c>
      <c r="G182">
        <v>1141685</v>
      </c>
      <c r="H182" t="s">
        <v>75</v>
      </c>
      <c r="I182" t="s">
        <v>94</v>
      </c>
      <c r="J182" t="s">
        <v>98</v>
      </c>
      <c r="K182" t="s">
        <v>108</v>
      </c>
      <c r="L182" s="1">
        <v>46143</v>
      </c>
      <c r="M182" s="1">
        <v>46173</v>
      </c>
      <c r="N182">
        <v>0.70565196870000002</v>
      </c>
      <c r="O182" t="s">
        <v>56</v>
      </c>
      <c r="P182" t="s">
        <v>63</v>
      </c>
      <c r="Q182" t="s">
        <v>878</v>
      </c>
      <c r="R182" t="s">
        <v>882</v>
      </c>
      <c r="S182" t="s">
        <v>67</v>
      </c>
      <c r="T182" t="s">
        <v>1044</v>
      </c>
      <c r="U182" t="s">
        <v>1268</v>
      </c>
      <c r="V182">
        <v>16</v>
      </c>
      <c r="W182" s="2">
        <v>1477.300928402</v>
      </c>
    </row>
    <row r="183" spans="1:23" x14ac:dyDescent="0.25">
      <c r="A183" t="s">
        <v>31</v>
      </c>
      <c r="B183" t="s">
        <v>32</v>
      </c>
      <c r="C183" t="s">
        <v>33</v>
      </c>
      <c r="D183" t="s">
        <v>34</v>
      </c>
      <c r="E183" t="s">
        <v>35</v>
      </c>
      <c r="F183" t="s">
        <v>36</v>
      </c>
      <c r="G183">
        <v>1141685</v>
      </c>
      <c r="H183" t="s">
        <v>91</v>
      </c>
      <c r="I183" t="s">
        <v>95</v>
      </c>
      <c r="J183" t="s">
        <v>106</v>
      </c>
      <c r="K183" t="s">
        <v>479</v>
      </c>
      <c r="L183" s="1">
        <v>46143</v>
      </c>
      <c r="M183" s="1">
        <v>46173</v>
      </c>
      <c r="N183">
        <v>0.21667</v>
      </c>
      <c r="O183" t="s">
        <v>58</v>
      </c>
      <c r="P183" t="s">
        <v>63</v>
      </c>
      <c r="Q183" t="s">
        <v>877</v>
      </c>
      <c r="R183" t="s">
        <v>882</v>
      </c>
      <c r="S183" t="s">
        <v>67</v>
      </c>
      <c r="T183" t="s">
        <v>1045</v>
      </c>
      <c r="U183" t="s">
        <v>1269</v>
      </c>
      <c r="V183">
        <v>16</v>
      </c>
      <c r="W183" s="2">
        <v>945.00546039999995</v>
      </c>
    </row>
    <row r="184" spans="1:23" x14ac:dyDescent="0.25">
      <c r="A184" t="s">
        <v>31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>
        <v>1141685</v>
      </c>
      <c r="H184" t="s">
        <v>91</v>
      </c>
      <c r="I184" t="s">
        <v>95</v>
      </c>
      <c r="J184" t="s">
        <v>106</v>
      </c>
      <c r="K184" t="s">
        <v>479</v>
      </c>
      <c r="L184" s="1">
        <v>46143</v>
      </c>
      <c r="M184" s="1">
        <v>46173</v>
      </c>
      <c r="N184">
        <v>0.71667999999999998</v>
      </c>
      <c r="O184" t="s">
        <v>58</v>
      </c>
      <c r="P184" t="s">
        <v>63</v>
      </c>
      <c r="Q184" t="s">
        <v>877</v>
      </c>
      <c r="R184" t="s">
        <v>882</v>
      </c>
      <c r="S184" t="s">
        <v>67</v>
      </c>
      <c r="T184" t="s">
        <v>1046</v>
      </c>
      <c r="U184" t="s">
        <v>1270</v>
      </c>
      <c r="V184">
        <v>16</v>
      </c>
      <c r="W184" s="2">
        <v>3125.8038415999999</v>
      </c>
    </row>
    <row r="185" spans="1:23" x14ac:dyDescent="0.25">
      <c r="A185" t="s">
        <v>31</v>
      </c>
      <c r="B185" t="s">
        <v>32</v>
      </c>
      <c r="C185" t="s">
        <v>33</v>
      </c>
      <c r="D185" t="s">
        <v>34</v>
      </c>
      <c r="E185" t="s">
        <v>35</v>
      </c>
      <c r="F185" t="s">
        <v>36</v>
      </c>
      <c r="G185">
        <v>1141685</v>
      </c>
      <c r="H185" t="s">
        <v>77</v>
      </c>
      <c r="I185" t="s">
        <v>96</v>
      </c>
      <c r="J185" t="s">
        <v>77</v>
      </c>
      <c r="K185" t="s">
        <v>113</v>
      </c>
      <c r="L185" s="1">
        <v>46143</v>
      </c>
      <c r="M185" s="1">
        <v>46173</v>
      </c>
      <c r="N185">
        <v>517.70831294540005</v>
      </c>
      <c r="O185" t="s">
        <v>56</v>
      </c>
      <c r="P185" t="s">
        <v>63</v>
      </c>
      <c r="Q185" t="s">
        <v>878</v>
      </c>
      <c r="R185" t="s">
        <v>882</v>
      </c>
      <c r="S185" t="s">
        <v>67</v>
      </c>
      <c r="T185" t="s">
        <v>1047</v>
      </c>
      <c r="U185" t="s">
        <v>1271</v>
      </c>
      <c r="V185">
        <v>16</v>
      </c>
      <c r="W185" s="2">
        <v>90319.3952032862</v>
      </c>
    </row>
    <row r="186" spans="1:23" x14ac:dyDescent="0.25">
      <c r="A186" t="s">
        <v>31</v>
      </c>
      <c r="B186" t="s">
        <v>32</v>
      </c>
      <c r="C186" t="s">
        <v>33</v>
      </c>
      <c r="D186" t="s">
        <v>34</v>
      </c>
      <c r="E186" t="s">
        <v>35</v>
      </c>
      <c r="F186" t="s">
        <v>36</v>
      </c>
      <c r="G186">
        <v>1141685</v>
      </c>
      <c r="H186" t="s">
        <v>77</v>
      </c>
      <c r="I186" t="s">
        <v>96</v>
      </c>
      <c r="J186" t="s">
        <v>77</v>
      </c>
      <c r="K186" t="s">
        <v>113</v>
      </c>
      <c r="L186" s="1">
        <v>46143</v>
      </c>
      <c r="M186" s="1">
        <v>46173</v>
      </c>
      <c r="N186">
        <v>0.75547040440000002</v>
      </c>
      <c r="O186" t="s">
        <v>56</v>
      </c>
      <c r="P186" t="s">
        <v>63</v>
      </c>
      <c r="Q186" t="s">
        <v>878</v>
      </c>
      <c r="R186" t="s">
        <v>881</v>
      </c>
      <c r="S186" t="s">
        <v>67</v>
      </c>
      <c r="T186" t="s">
        <v>1048</v>
      </c>
      <c r="U186" t="s">
        <v>1272</v>
      </c>
      <c r="V186">
        <v>15</v>
      </c>
      <c r="W186" s="2">
        <v>131.803442741</v>
      </c>
    </row>
    <row r="187" spans="1:23" x14ac:dyDescent="0.25">
      <c r="A187" t="s">
        <v>31</v>
      </c>
      <c r="B187" t="s">
        <v>32</v>
      </c>
      <c r="C187" t="s">
        <v>33</v>
      </c>
      <c r="D187" t="s">
        <v>34</v>
      </c>
      <c r="E187" t="s">
        <v>35</v>
      </c>
      <c r="F187" t="s">
        <v>36</v>
      </c>
      <c r="G187">
        <v>1141685</v>
      </c>
      <c r="H187" t="s">
        <v>93</v>
      </c>
      <c r="I187" t="s">
        <v>93</v>
      </c>
      <c r="J187" t="s">
        <v>93</v>
      </c>
      <c r="K187" t="s">
        <v>133</v>
      </c>
      <c r="L187" s="1">
        <v>46143</v>
      </c>
      <c r="M187" s="1">
        <v>46173</v>
      </c>
      <c r="N187">
        <v>743.97283662919995</v>
      </c>
      <c r="O187" t="s">
        <v>58</v>
      </c>
      <c r="P187" t="s">
        <v>63</v>
      </c>
      <c r="Q187" t="s">
        <v>880</v>
      </c>
      <c r="R187" t="s">
        <v>898</v>
      </c>
      <c r="S187" t="s">
        <v>67</v>
      </c>
      <c r="T187" t="s">
        <v>1049</v>
      </c>
      <c r="U187" t="s">
        <v>1273</v>
      </c>
      <c r="V187">
        <v>10</v>
      </c>
      <c r="W187" s="2">
        <v>1297935.009489377</v>
      </c>
    </row>
    <row r="188" spans="1:23" x14ac:dyDescent="0.25">
      <c r="A188" t="s">
        <v>31</v>
      </c>
      <c r="B188" t="s">
        <v>32</v>
      </c>
      <c r="C188" t="s">
        <v>33</v>
      </c>
      <c r="D188" t="s">
        <v>34</v>
      </c>
      <c r="E188" t="s">
        <v>35</v>
      </c>
      <c r="F188" t="s">
        <v>36</v>
      </c>
      <c r="G188">
        <v>1141685</v>
      </c>
      <c r="H188" t="s">
        <v>77</v>
      </c>
      <c r="I188" t="s">
        <v>96</v>
      </c>
      <c r="J188" t="s">
        <v>77</v>
      </c>
      <c r="K188" t="s">
        <v>113</v>
      </c>
      <c r="L188" s="1">
        <v>46143</v>
      </c>
      <c r="M188" s="1">
        <v>46173</v>
      </c>
      <c r="N188">
        <v>169.0598807083</v>
      </c>
      <c r="O188" t="s">
        <v>56</v>
      </c>
      <c r="P188" t="s">
        <v>63</v>
      </c>
      <c r="Q188" t="s">
        <v>878</v>
      </c>
      <c r="R188" t="s">
        <v>882</v>
      </c>
      <c r="S188" t="s">
        <v>67</v>
      </c>
      <c r="T188" t="s">
        <v>1050</v>
      </c>
      <c r="U188" t="s">
        <v>1274</v>
      </c>
      <c r="V188">
        <v>15</v>
      </c>
      <c r="W188" s="2">
        <v>29494.184373772401</v>
      </c>
    </row>
    <row r="189" spans="1:23" x14ac:dyDescent="0.25">
      <c r="A189" t="s">
        <v>31</v>
      </c>
      <c r="B189" t="s">
        <v>32</v>
      </c>
      <c r="C189" t="s">
        <v>33</v>
      </c>
      <c r="D189" t="s">
        <v>34</v>
      </c>
      <c r="E189" t="s">
        <v>35</v>
      </c>
      <c r="F189" t="s">
        <v>36</v>
      </c>
      <c r="G189">
        <v>1141685</v>
      </c>
      <c r="H189" t="s">
        <v>75</v>
      </c>
      <c r="I189" t="s">
        <v>94</v>
      </c>
      <c r="J189" t="s">
        <v>98</v>
      </c>
      <c r="K189" t="s">
        <v>108</v>
      </c>
      <c r="L189" s="1">
        <v>46143</v>
      </c>
      <c r="M189" s="1">
        <v>46173</v>
      </c>
      <c r="N189">
        <v>0.67189449629999998</v>
      </c>
      <c r="O189" t="s">
        <v>56</v>
      </c>
      <c r="P189" t="s">
        <v>63</v>
      </c>
      <c r="Q189" t="s">
        <v>878</v>
      </c>
      <c r="R189" t="s">
        <v>881</v>
      </c>
      <c r="S189" t="s">
        <v>67</v>
      </c>
      <c r="T189" t="s">
        <v>1051</v>
      </c>
      <c r="U189" t="s">
        <v>1275</v>
      </c>
      <c r="V189">
        <v>15</v>
      </c>
      <c r="W189" s="2">
        <v>1287.8890985564999</v>
      </c>
    </row>
    <row r="190" spans="1:23" x14ac:dyDescent="0.25">
      <c r="A190" t="s">
        <v>31</v>
      </c>
      <c r="B190" t="s">
        <v>32</v>
      </c>
      <c r="C190" t="s">
        <v>33</v>
      </c>
      <c r="D190" t="s">
        <v>34</v>
      </c>
      <c r="E190" t="s">
        <v>35</v>
      </c>
      <c r="F190" t="s">
        <v>36</v>
      </c>
      <c r="G190">
        <v>1141685</v>
      </c>
      <c r="H190" t="s">
        <v>77</v>
      </c>
      <c r="I190" t="s">
        <v>96</v>
      </c>
      <c r="J190" t="s">
        <v>77</v>
      </c>
      <c r="K190" t="s">
        <v>111</v>
      </c>
      <c r="L190" s="1">
        <v>46143</v>
      </c>
      <c r="M190" s="1">
        <v>46173</v>
      </c>
      <c r="N190">
        <v>3.9173713899999997E-2</v>
      </c>
      <c r="O190" t="s">
        <v>56</v>
      </c>
      <c r="P190" t="s">
        <v>63</v>
      </c>
      <c r="Q190" t="s">
        <v>879</v>
      </c>
      <c r="R190" t="s">
        <v>885</v>
      </c>
      <c r="S190" t="s">
        <v>67</v>
      </c>
      <c r="T190" t="s">
        <v>1052</v>
      </c>
      <c r="U190" t="s">
        <v>1276</v>
      </c>
      <c r="V190">
        <v>7</v>
      </c>
      <c r="W190" s="2">
        <v>6.8341365880000007</v>
      </c>
    </row>
    <row r="191" spans="1:23" x14ac:dyDescent="0.25">
      <c r="A191" t="s">
        <v>31</v>
      </c>
      <c r="B191" t="s">
        <v>32</v>
      </c>
      <c r="C191" t="s">
        <v>33</v>
      </c>
      <c r="D191" t="s">
        <v>34</v>
      </c>
      <c r="E191" t="s">
        <v>35</v>
      </c>
      <c r="F191" t="s">
        <v>36</v>
      </c>
      <c r="G191">
        <v>1141685</v>
      </c>
      <c r="H191" t="s">
        <v>75</v>
      </c>
      <c r="I191" t="s">
        <v>94</v>
      </c>
      <c r="J191" t="s">
        <v>98</v>
      </c>
      <c r="K191" t="s">
        <v>108</v>
      </c>
      <c r="L191" s="1">
        <v>46143</v>
      </c>
      <c r="M191" s="1">
        <v>46173</v>
      </c>
      <c r="N191">
        <v>0.60014695299999998</v>
      </c>
      <c r="O191" t="s">
        <v>56</v>
      </c>
      <c r="P191" t="s">
        <v>63</v>
      </c>
      <c r="Q191" t="s">
        <v>878</v>
      </c>
      <c r="R191" t="s">
        <v>882</v>
      </c>
      <c r="S191" t="s">
        <v>67</v>
      </c>
      <c r="T191" t="s">
        <v>1053</v>
      </c>
      <c r="U191" t="s">
        <v>1277</v>
      </c>
      <c r="V191">
        <v>16</v>
      </c>
      <c r="W191" s="2">
        <v>1256.4192911875</v>
      </c>
    </row>
    <row r="192" spans="1:23" x14ac:dyDescent="0.25">
      <c r="A192" t="s">
        <v>31</v>
      </c>
      <c r="B192" t="s">
        <v>32</v>
      </c>
      <c r="C192" t="s">
        <v>33</v>
      </c>
      <c r="D192" t="s">
        <v>34</v>
      </c>
      <c r="E192" t="s">
        <v>35</v>
      </c>
      <c r="F192" t="s">
        <v>36</v>
      </c>
      <c r="G192">
        <v>1141685</v>
      </c>
      <c r="H192" t="s">
        <v>75</v>
      </c>
      <c r="I192" t="s">
        <v>94</v>
      </c>
      <c r="J192" t="s">
        <v>98</v>
      </c>
      <c r="K192" t="s">
        <v>108</v>
      </c>
      <c r="L192" s="1">
        <v>46143</v>
      </c>
      <c r="M192" s="1">
        <v>46173</v>
      </c>
      <c r="N192">
        <v>0.22564033050000001</v>
      </c>
      <c r="O192" t="s">
        <v>56</v>
      </c>
      <c r="P192" t="s">
        <v>63</v>
      </c>
      <c r="Q192" t="s">
        <v>878</v>
      </c>
      <c r="R192" t="s">
        <v>882</v>
      </c>
      <c r="S192" t="s">
        <v>67</v>
      </c>
      <c r="T192" t="s">
        <v>1054</v>
      </c>
      <c r="U192" t="s">
        <v>1278</v>
      </c>
      <c r="V192">
        <v>15</v>
      </c>
      <c r="W192" s="2">
        <v>450.84381572130002</v>
      </c>
    </row>
    <row r="193" spans="1:23" x14ac:dyDescent="0.25">
      <c r="A193" t="s">
        <v>31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>
        <v>1141685</v>
      </c>
      <c r="H193" t="s">
        <v>81</v>
      </c>
      <c r="I193" t="s">
        <v>97</v>
      </c>
      <c r="J193" t="s">
        <v>102</v>
      </c>
      <c r="K193" t="s">
        <v>117</v>
      </c>
      <c r="L193" s="1">
        <v>46143</v>
      </c>
      <c r="M193" s="1">
        <v>46173</v>
      </c>
      <c r="N193">
        <v>2</v>
      </c>
      <c r="O193" t="s">
        <v>58</v>
      </c>
      <c r="P193" t="s">
        <v>63</v>
      </c>
      <c r="Q193" t="s">
        <v>880</v>
      </c>
      <c r="R193" t="s">
        <v>886</v>
      </c>
      <c r="S193" t="s">
        <v>67</v>
      </c>
      <c r="T193" t="s">
        <v>935</v>
      </c>
      <c r="U193" t="s">
        <v>1159</v>
      </c>
      <c r="V193">
        <v>7</v>
      </c>
      <c r="W193" s="2">
        <v>0</v>
      </c>
    </row>
    <row r="194" spans="1:23" x14ac:dyDescent="0.25">
      <c r="A194" t="s">
        <v>31</v>
      </c>
      <c r="B194" t="s">
        <v>32</v>
      </c>
      <c r="C194" t="s">
        <v>33</v>
      </c>
      <c r="D194" t="s">
        <v>34</v>
      </c>
      <c r="E194" t="s">
        <v>35</v>
      </c>
      <c r="F194" t="s">
        <v>36</v>
      </c>
      <c r="G194">
        <v>1141685</v>
      </c>
      <c r="H194" t="s">
        <v>75</v>
      </c>
      <c r="I194" t="s">
        <v>94</v>
      </c>
      <c r="J194" t="s">
        <v>98</v>
      </c>
      <c r="K194" t="s">
        <v>108</v>
      </c>
      <c r="L194" s="1">
        <v>46143</v>
      </c>
      <c r="M194" s="1">
        <v>46173</v>
      </c>
      <c r="N194">
        <v>0.1534953406</v>
      </c>
      <c r="O194" t="s">
        <v>56</v>
      </c>
      <c r="P194" t="s">
        <v>63</v>
      </c>
      <c r="Q194" t="s">
        <v>878</v>
      </c>
      <c r="R194" t="s">
        <v>882</v>
      </c>
      <c r="S194" t="s">
        <v>67</v>
      </c>
      <c r="T194" t="s">
        <v>1055</v>
      </c>
      <c r="U194" t="s">
        <v>1279</v>
      </c>
      <c r="V194">
        <v>16</v>
      </c>
      <c r="W194" s="2">
        <v>321.34409761260002</v>
      </c>
    </row>
    <row r="195" spans="1:23" x14ac:dyDescent="0.25">
      <c r="A195" t="s">
        <v>31</v>
      </c>
      <c r="B195" t="s">
        <v>32</v>
      </c>
      <c r="C195" t="s">
        <v>33</v>
      </c>
      <c r="D195" t="s">
        <v>34</v>
      </c>
      <c r="E195" t="s">
        <v>35</v>
      </c>
      <c r="F195" t="s">
        <v>36</v>
      </c>
      <c r="G195">
        <v>1141685</v>
      </c>
      <c r="H195" t="s">
        <v>91</v>
      </c>
      <c r="I195" t="s">
        <v>95</v>
      </c>
      <c r="J195" t="s">
        <v>106</v>
      </c>
      <c r="K195" t="s">
        <v>129</v>
      </c>
      <c r="L195" s="1">
        <v>46143</v>
      </c>
      <c r="M195" s="1">
        <v>46173</v>
      </c>
      <c r="N195">
        <v>135.88345000000001</v>
      </c>
      <c r="O195" t="s">
        <v>58</v>
      </c>
      <c r="P195" t="s">
        <v>63</v>
      </c>
      <c r="Q195" t="s">
        <v>877</v>
      </c>
      <c r="R195" t="s">
        <v>881</v>
      </c>
      <c r="S195" t="s">
        <v>67</v>
      </c>
      <c r="T195" t="s">
        <v>1056</v>
      </c>
      <c r="U195" t="s">
        <v>1280</v>
      </c>
      <c r="V195">
        <v>15</v>
      </c>
      <c r="W195" s="2">
        <v>296327.83355699998</v>
      </c>
    </row>
    <row r="196" spans="1:23" x14ac:dyDescent="0.25">
      <c r="A196" t="s">
        <v>31</v>
      </c>
      <c r="B196" t="s">
        <v>32</v>
      </c>
      <c r="C196" t="s">
        <v>33</v>
      </c>
      <c r="D196" t="s">
        <v>34</v>
      </c>
      <c r="E196" t="s">
        <v>35</v>
      </c>
      <c r="F196" t="s">
        <v>36</v>
      </c>
      <c r="G196">
        <v>1141685</v>
      </c>
      <c r="H196" t="s">
        <v>91</v>
      </c>
      <c r="I196" t="s">
        <v>95</v>
      </c>
      <c r="J196" t="s">
        <v>106</v>
      </c>
      <c r="K196" t="s">
        <v>129</v>
      </c>
      <c r="L196" s="1">
        <v>46143</v>
      </c>
      <c r="M196" s="1">
        <v>46173</v>
      </c>
      <c r="N196">
        <v>1.2333700000000001</v>
      </c>
      <c r="O196" t="s">
        <v>58</v>
      </c>
      <c r="P196" t="s">
        <v>63</v>
      </c>
      <c r="Q196" t="s">
        <v>877</v>
      </c>
      <c r="R196" t="s">
        <v>881</v>
      </c>
      <c r="S196" t="s">
        <v>67</v>
      </c>
      <c r="T196" t="s">
        <v>1057</v>
      </c>
      <c r="U196" t="s">
        <v>1281</v>
      </c>
      <c r="V196">
        <v>15</v>
      </c>
      <c r="W196" s="2">
        <v>2689.6710321999999</v>
      </c>
    </row>
    <row r="197" spans="1:23" x14ac:dyDescent="0.25">
      <c r="A197" t="s">
        <v>31</v>
      </c>
      <c r="B197" t="s">
        <v>32</v>
      </c>
      <c r="C197" t="s">
        <v>33</v>
      </c>
      <c r="D197" t="s">
        <v>34</v>
      </c>
      <c r="E197" t="s">
        <v>35</v>
      </c>
      <c r="F197" t="s">
        <v>36</v>
      </c>
      <c r="G197">
        <v>1141685</v>
      </c>
      <c r="H197" t="s">
        <v>91</v>
      </c>
      <c r="I197" t="s">
        <v>95</v>
      </c>
      <c r="J197" t="s">
        <v>106</v>
      </c>
      <c r="K197" t="s">
        <v>129</v>
      </c>
      <c r="L197" s="1">
        <v>46143</v>
      </c>
      <c r="M197" s="1">
        <v>46173</v>
      </c>
      <c r="N197">
        <v>0.66666999999999998</v>
      </c>
      <c r="O197" t="s">
        <v>58</v>
      </c>
      <c r="P197" t="s">
        <v>63</v>
      </c>
      <c r="Q197" t="s">
        <v>877</v>
      </c>
      <c r="R197" t="s">
        <v>881</v>
      </c>
      <c r="S197" t="s">
        <v>67</v>
      </c>
      <c r="T197" t="s">
        <v>1058</v>
      </c>
      <c r="U197" t="s">
        <v>1282</v>
      </c>
      <c r="V197">
        <v>16</v>
      </c>
      <c r="W197" s="2">
        <v>1453.8397302000001</v>
      </c>
    </row>
    <row r="198" spans="1:23" x14ac:dyDescent="0.25">
      <c r="A198" t="s">
        <v>31</v>
      </c>
      <c r="B198" t="s">
        <v>32</v>
      </c>
      <c r="C198" t="s">
        <v>33</v>
      </c>
      <c r="D198" t="s">
        <v>34</v>
      </c>
      <c r="E198" t="s">
        <v>35</v>
      </c>
      <c r="F198" t="s">
        <v>36</v>
      </c>
      <c r="G198">
        <v>1141685</v>
      </c>
      <c r="H198" t="s">
        <v>91</v>
      </c>
      <c r="I198" t="s">
        <v>95</v>
      </c>
      <c r="J198" t="s">
        <v>106</v>
      </c>
      <c r="K198" t="s">
        <v>129</v>
      </c>
      <c r="L198" s="1">
        <v>46143</v>
      </c>
      <c r="M198" s="1">
        <v>46173</v>
      </c>
      <c r="N198">
        <v>0.35005999999999998</v>
      </c>
      <c r="O198" t="s">
        <v>58</v>
      </c>
      <c r="P198" t="s">
        <v>63</v>
      </c>
      <c r="Q198" t="s">
        <v>877</v>
      </c>
      <c r="R198" t="s">
        <v>881</v>
      </c>
      <c r="S198" t="s">
        <v>67</v>
      </c>
      <c r="T198" t="s">
        <v>1059</v>
      </c>
      <c r="U198" t="s">
        <v>1283</v>
      </c>
      <c r="V198">
        <v>16</v>
      </c>
      <c r="W198" s="2">
        <v>763.39614359999996</v>
      </c>
    </row>
    <row r="199" spans="1:23" x14ac:dyDescent="0.25">
      <c r="A199" t="s">
        <v>31</v>
      </c>
      <c r="B199" t="s">
        <v>32</v>
      </c>
      <c r="C199" t="s">
        <v>33</v>
      </c>
      <c r="D199" t="s">
        <v>34</v>
      </c>
      <c r="E199" t="s">
        <v>35</v>
      </c>
      <c r="F199" t="s">
        <v>36</v>
      </c>
      <c r="G199">
        <v>1141685</v>
      </c>
      <c r="H199" t="s">
        <v>91</v>
      </c>
      <c r="I199" t="s">
        <v>95</v>
      </c>
      <c r="J199" t="s">
        <v>106</v>
      </c>
      <c r="K199" t="s">
        <v>129</v>
      </c>
      <c r="L199" s="1">
        <v>46143</v>
      </c>
      <c r="M199" s="1">
        <v>46173</v>
      </c>
      <c r="N199">
        <v>0.26667200000000002</v>
      </c>
      <c r="O199" t="s">
        <v>58</v>
      </c>
      <c r="P199" t="s">
        <v>63</v>
      </c>
      <c r="Q199" t="s">
        <v>877</v>
      </c>
      <c r="R199" t="s">
        <v>881</v>
      </c>
      <c r="S199" t="s">
        <v>67</v>
      </c>
      <c r="T199" t="s">
        <v>1060</v>
      </c>
      <c r="U199" t="s">
        <v>1284</v>
      </c>
      <c r="V199">
        <v>16</v>
      </c>
      <c r="W199" s="2">
        <v>581.54956832000005</v>
      </c>
    </row>
    <row r="200" spans="1:23" x14ac:dyDescent="0.25">
      <c r="A200" t="s">
        <v>31</v>
      </c>
      <c r="B200" t="s">
        <v>32</v>
      </c>
      <c r="C200" t="s">
        <v>33</v>
      </c>
      <c r="D200" t="s">
        <v>34</v>
      </c>
      <c r="E200" t="s">
        <v>35</v>
      </c>
      <c r="F200" t="s">
        <v>36</v>
      </c>
      <c r="G200">
        <v>1141685</v>
      </c>
      <c r="H200" t="s">
        <v>75</v>
      </c>
      <c r="I200" t="s">
        <v>94</v>
      </c>
      <c r="J200" t="s">
        <v>98</v>
      </c>
      <c r="K200" t="s">
        <v>108</v>
      </c>
      <c r="L200" s="1">
        <v>46143</v>
      </c>
      <c r="M200" s="1">
        <v>46173</v>
      </c>
      <c r="N200">
        <v>5.1931000000000003E-6</v>
      </c>
      <c r="O200" t="s">
        <v>56</v>
      </c>
      <c r="P200" t="s">
        <v>63</v>
      </c>
      <c r="Q200" t="s">
        <v>878</v>
      </c>
      <c r="R200" t="s">
        <v>882</v>
      </c>
      <c r="S200" t="s">
        <v>67</v>
      </c>
      <c r="T200" t="s">
        <v>1061</v>
      </c>
      <c r="U200" t="s">
        <v>1285</v>
      </c>
      <c r="V200">
        <v>16</v>
      </c>
      <c r="W200" s="2">
        <v>9.5671520000000006E-3</v>
      </c>
    </row>
    <row r="201" spans="1:23" x14ac:dyDescent="0.25">
      <c r="A201" t="s">
        <v>31</v>
      </c>
      <c r="B201" t="s">
        <v>32</v>
      </c>
      <c r="C201" t="s">
        <v>33</v>
      </c>
      <c r="D201" t="s">
        <v>34</v>
      </c>
      <c r="E201" t="s">
        <v>35</v>
      </c>
      <c r="F201" t="s">
        <v>36</v>
      </c>
      <c r="G201">
        <v>1141685</v>
      </c>
      <c r="H201" t="s">
        <v>84</v>
      </c>
      <c r="I201" t="s">
        <v>97</v>
      </c>
      <c r="J201" t="s">
        <v>104</v>
      </c>
      <c r="K201" t="s">
        <v>121</v>
      </c>
      <c r="L201" s="1">
        <v>46143</v>
      </c>
      <c r="M201" s="1">
        <v>46173</v>
      </c>
      <c r="N201">
        <v>78.1237871724</v>
      </c>
      <c r="O201" t="s">
        <v>57</v>
      </c>
      <c r="P201" t="s">
        <v>63</v>
      </c>
      <c r="Q201" t="s">
        <v>880</v>
      </c>
      <c r="R201" t="s">
        <v>886</v>
      </c>
      <c r="S201" t="s">
        <v>67</v>
      </c>
      <c r="T201" t="s">
        <v>1062</v>
      </c>
      <c r="U201" t="s">
        <v>1286</v>
      </c>
      <c r="V201">
        <v>7</v>
      </c>
      <c r="W201" s="2">
        <v>327107.42122116941</v>
      </c>
    </row>
    <row r="202" spans="1:23" x14ac:dyDescent="0.25">
      <c r="A202" t="s">
        <v>31</v>
      </c>
      <c r="B202" t="s">
        <v>32</v>
      </c>
      <c r="C202" t="s">
        <v>33</v>
      </c>
      <c r="D202" t="s">
        <v>34</v>
      </c>
      <c r="E202" t="s">
        <v>35</v>
      </c>
      <c r="F202" t="s">
        <v>36</v>
      </c>
      <c r="G202">
        <v>1141685</v>
      </c>
      <c r="H202" t="s">
        <v>80</v>
      </c>
      <c r="I202" t="s">
        <v>96</v>
      </c>
      <c r="J202" t="s">
        <v>80</v>
      </c>
      <c r="K202" t="s">
        <v>122</v>
      </c>
      <c r="L202" s="1">
        <v>46143</v>
      </c>
      <c r="M202" s="1">
        <v>46173</v>
      </c>
      <c r="N202">
        <v>1.29323E-5</v>
      </c>
      <c r="O202" t="s">
        <v>56</v>
      </c>
      <c r="P202" t="s">
        <v>63</v>
      </c>
      <c r="Q202" t="s">
        <v>878</v>
      </c>
      <c r="R202" t="s">
        <v>882</v>
      </c>
      <c r="S202" t="s">
        <v>67</v>
      </c>
      <c r="T202" t="s">
        <v>1063</v>
      </c>
      <c r="U202" t="s">
        <v>1287</v>
      </c>
      <c r="V202">
        <v>16</v>
      </c>
      <c r="W202" s="2">
        <v>1.9854356E-3</v>
      </c>
    </row>
    <row r="203" spans="1:23" x14ac:dyDescent="0.25">
      <c r="A203" t="s">
        <v>31</v>
      </c>
      <c r="B203" t="s">
        <v>32</v>
      </c>
      <c r="C203" t="s">
        <v>33</v>
      </c>
      <c r="D203" t="s">
        <v>34</v>
      </c>
      <c r="E203" t="s">
        <v>35</v>
      </c>
      <c r="F203" t="s">
        <v>36</v>
      </c>
      <c r="G203">
        <v>1141685</v>
      </c>
      <c r="H203" t="s">
        <v>80</v>
      </c>
      <c r="I203" t="s">
        <v>96</v>
      </c>
      <c r="J203" t="s">
        <v>80</v>
      </c>
      <c r="K203" t="s">
        <v>122</v>
      </c>
      <c r="L203" s="1">
        <v>46143</v>
      </c>
      <c r="M203" s="1">
        <v>46173</v>
      </c>
      <c r="N203">
        <v>0.43542964099999998</v>
      </c>
      <c r="O203" t="s">
        <v>56</v>
      </c>
      <c r="P203" t="s">
        <v>63</v>
      </c>
      <c r="Q203" t="s">
        <v>878</v>
      </c>
      <c r="R203" t="s">
        <v>882</v>
      </c>
      <c r="S203" t="s">
        <v>67</v>
      </c>
      <c r="T203" t="s">
        <v>1064</v>
      </c>
      <c r="U203" t="s">
        <v>1288</v>
      </c>
      <c r="V203">
        <v>15</v>
      </c>
      <c r="W203" s="2">
        <v>75.969248555299998</v>
      </c>
    </row>
    <row r="204" spans="1:23" x14ac:dyDescent="0.25">
      <c r="A204" t="s">
        <v>31</v>
      </c>
      <c r="B204" t="s">
        <v>32</v>
      </c>
      <c r="C204" t="s">
        <v>33</v>
      </c>
      <c r="D204" t="s">
        <v>34</v>
      </c>
      <c r="E204" t="s">
        <v>35</v>
      </c>
      <c r="F204" t="s">
        <v>36</v>
      </c>
      <c r="G204">
        <v>1141685</v>
      </c>
      <c r="H204" t="s">
        <v>80</v>
      </c>
      <c r="I204" t="s">
        <v>96</v>
      </c>
      <c r="J204" t="s">
        <v>80</v>
      </c>
      <c r="K204" t="s">
        <v>122</v>
      </c>
      <c r="L204" s="1">
        <v>46143</v>
      </c>
      <c r="M204" s="1">
        <v>46173</v>
      </c>
      <c r="N204">
        <v>0.54945731630000005</v>
      </c>
      <c r="O204" t="s">
        <v>56</v>
      </c>
      <c r="P204" t="s">
        <v>63</v>
      </c>
      <c r="Q204" t="s">
        <v>878</v>
      </c>
      <c r="R204" t="s">
        <v>881</v>
      </c>
      <c r="S204" t="s">
        <v>67</v>
      </c>
      <c r="T204" t="s">
        <v>1065</v>
      </c>
      <c r="U204" t="s">
        <v>1289</v>
      </c>
      <c r="V204">
        <v>16</v>
      </c>
      <c r="W204" s="2">
        <v>95.855324588800002</v>
      </c>
    </row>
    <row r="205" spans="1:23" x14ac:dyDescent="0.25">
      <c r="A205" t="s">
        <v>31</v>
      </c>
      <c r="B205" t="s">
        <v>32</v>
      </c>
      <c r="C205" t="s">
        <v>33</v>
      </c>
      <c r="D205" t="s">
        <v>34</v>
      </c>
      <c r="E205" t="s">
        <v>35</v>
      </c>
      <c r="F205" t="s">
        <v>36</v>
      </c>
      <c r="G205">
        <v>1141685</v>
      </c>
      <c r="H205" t="s">
        <v>80</v>
      </c>
      <c r="I205" t="s">
        <v>96</v>
      </c>
      <c r="J205" t="s">
        <v>80</v>
      </c>
      <c r="K205" t="s">
        <v>122</v>
      </c>
      <c r="L205" s="1">
        <v>46143</v>
      </c>
      <c r="M205" s="1">
        <v>46173</v>
      </c>
      <c r="N205">
        <v>0.58051493759999995</v>
      </c>
      <c r="O205" t="s">
        <v>56</v>
      </c>
      <c r="P205" t="s">
        <v>63</v>
      </c>
      <c r="Q205" t="s">
        <v>878</v>
      </c>
      <c r="R205" t="s">
        <v>882</v>
      </c>
      <c r="S205" t="s">
        <v>67</v>
      </c>
      <c r="T205" t="s">
        <v>1066</v>
      </c>
      <c r="U205" t="s">
        <v>1290</v>
      </c>
      <c r="V205">
        <v>16</v>
      </c>
      <c r="W205" s="2">
        <v>101.27343969730001</v>
      </c>
    </row>
    <row r="206" spans="1:23" x14ac:dyDescent="0.25">
      <c r="A206" t="s">
        <v>31</v>
      </c>
      <c r="B206" t="s">
        <v>32</v>
      </c>
      <c r="C206" t="s">
        <v>33</v>
      </c>
      <c r="D206" t="s">
        <v>34</v>
      </c>
      <c r="E206" t="s">
        <v>35</v>
      </c>
      <c r="F206" t="s">
        <v>36</v>
      </c>
      <c r="G206">
        <v>1141685</v>
      </c>
      <c r="H206" t="s">
        <v>80</v>
      </c>
      <c r="I206" t="s">
        <v>96</v>
      </c>
      <c r="J206" t="s">
        <v>80</v>
      </c>
      <c r="K206" t="s">
        <v>122</v>
      </c>
      <c r="L206" s="1">
        <v>46143</v>
      </c>
      <c r="M206" s="1">
        <v>46173</v>
      </c>
      <c r="N206">
        <v>0.38494163749999999</v>
      </c>
      <c r="O206" t="s">
        <v>56</v>
      </c>
      <c r="P206" t="s">
        <v>63</v>
      </c>
      <c r="Q206" t="s">
        <v>878</v>
      </c>
      <c r="R206" t="s">
        <v>882</v>
      </c>
      <c r="S206" t="s">
        <v>67</v>
      </c>
      <c r="T206" t="s">
        <v>1067</v>
      </c>
      <c r="U206" t="s">
        <v>1291</v>
      </c>
      <c r="V206">
        <v>15</v>
      </c>
      <c r="W206" s="2">
        <v>67.158087910700004</v>
      </c>
    </row>
    <row r="207" spans="1:23" x14ac:dyDescent="0.25">
      <c r="A207" t="s">
        <v>31</v>
      </c>
      <c r="B207" t="s">
        <v>32</v>
      </c>
      <c r="C207" t="s">
        <v>33</v>
      </c>
      <c r="D207" t="s">
        <v>34</v>
      </c>
      <c r="E207" t="s">
        <v>35</v>
      </c>
      <c r="F207" t="s">
        <v>36</v>
      </c>
      <c r="G207">
        <v>1141685</v>
      </c>
      <c r="H207" t="s">
        <v>80</v>
      </c>
      <c r="I207" t="s">
        <v>96</v>
      </c>
      <c r="J207" t="s">
        <v>80</v>
      </c>
      <c r="K207" t="s">
        <v>122</v>
      </c>
      <c r="L207" s="1">
        <v>46143</v>
      </c>
      <c r="M207" s="1">
        <v>46173</v>
      </c>
      <c r="N207">
        <v>6.2461289999999996E-4</v>
      </c>
      <c r="O207" t="s">
        <v>56</v>
      </c>
      <c r="P207" t="s">
        <v>63</v>
      </c>
      <c r="Q207" t="s">
        <v>878</v>
      </c>
      <c r="R207" t="s">
        <v>882</v>
      </c>
      <c r="S207" t="s">
        <v>67</v>
      </c>
      <c r="T207" t="s">
        <v>1068</v>
      </c>
      <c r="U207" t="s">
        <v>1292</v>
      </c>
      <c r="V207">
        <v>16</v>
      </c>
      <c r="W207" s="2">
        <v>0.1058935713</v>
      </c>
    </row>
    <row r="208" spans="1:23" x14ac:dyDescent="0.25">
      <c r="A208" t="s">
        <v>31</v>
      </c>
      <c r="B208" t="s">
        <v>32</v>
      </c>
      <c r="C208" t="s">
        <v>33</v>
      </c>
      <c r="D208" t="s">
        <v>34</v>
      </c>
      <c r="E208" t="s">
        <v>35</v>
      </c>
      <c r="F208" t="s">
        <v>36</v>
      </c>
      <c r="G208">
        <v>1141685</v>
      </c>
      <c r="H208" t="s">
        <v>80</v>
      </c>
      <c r="I208" t="s">
        <v>96</v>
      </c>
      <c r="J208" t="s">
        <v>80</v>
      </c>
      <c r="K208" t="s">
        <v>122</v>
      </c>
      <c r="L208" s="1">
        <v>46143</v>
      </c>
      <c r="M208" s="1">
        <v>46173</v>
      </c>
      <c r="N208">
        <v>1.1375267000000001E-3</v>
      </c>
      <c r="O208" t="s">
        <v>56</v>
      </c>
      <c r="P208" t="s">
        <v>63</v>
      </c>
      <c r="Q208" t="s">
        <v>878</v>
      </c>
      <c r="R208" t="s">
        <v>882</v>
      </c>
      <c r="S208" t="s">
        <v>67</v>
      </c>
      <c r="T208" t="s">
        <v>1069</v>
      </c>
      <c r="U208" t="s">
        <v>1293</v>
      </c>
      <c r="V208">
        <v>16</v>
      </c>
      <c r="W208" s="2">
        <v>0.1946385598</v>
      </c>
    </row>
    <row r="209" spans="1:23" x14ac:dyDescent="0.25">
      <c r="A209" t="s">
        <v>31</v>
      </c>
      <c r="B209" t="s">
        <v>32</v>
      </c>
      <c r="C209" t="s">
        <v>33</v>
      </c>
      <c r="D209" t="s">
        <v>34</v>
      </c>
      <c r="E209" t="s">
        <v>35</v>
      </c>
      <c r="F209" t="s">
        <v>36</v>
      </c>
      <c r="G209">
        <v>1141685</v>
      </c>
      <c r="H209" t="s">
        <v>80</v>
      </c>
      <c r="I209" t="s">
        <v>96</v>
      </c>
      <c r="J209" t="s">
        <v>80</v>
      </c>
      <c r="K209" t="s">
        <v>122</v>
      </c>
      <c r="L209" s="1">
        <v>46143</v>
      </c>
      <c r="M209" s="1">
        <v>46173</v>
      </c>
      <c r="N209">
        <v>3.1183433699999999E-2</v>
      </c>
      <c r="O209" t="s">
        <v>56</v>
      </c>
      <c r="P209" t="s">
        <v>63</v>
      </c>
      <c r="Q209" t="s">
        <v>878</v>
      </c>
      <c r="R209" t="s">
        <v>881</v>
      </c>
      <c r="S209" t="s">
        <v>67</v>
      </c>
      <c r="T209" t="s">
        <v>1070</v>
      </c>
      <c r="U209" t="s">
        <v>1294</v>
      </c>
      <c r="V209">
        <v>15</v>
      </c>
      <c r="W209" s="2">
        <v>5.4374304244999996</v>
      </c>
    </row>
    <row r="210" spans="1:23" x14ac:dyDescent="0.25">
      <c r="A210" t="s">
        <v>31</v>
      </c>
      <c r="B210" t="s">
        <v>32</v>
      </c>
      <c r="C210" t="s">
        <v>33</v>
      </c>
      <c r="D210" t="s">
        <v>34</v>
      </c>
      <c r="E210" t="s">
        <v>35</v>
      </c>
      <c r="F210" t="s">
        <v>36</v>
      </c>
      <c r="G210">
        <v>1141685</v>
      </c>
      <c r="H210" t="s">
        <v>79</v>
      </c>
      <c r="I210" t="s">
        <v>94</v>
      </c>
      <c r="J210" t="s">
        <v>101</v>
      </c>
      <c r="K210" t="s">
        <v>116</v>
      </c>
      <c r="L210" s="1">
        <v>46143</v>
      </c>
      <c r="M210" s="1">
        <v>46173</v>
      </c>
      <c r="N210">
        <v>0.33627417310000002</v>
      </c>
      <c r="O210" t="s">
        <v>56</v>
      </c>
      <c r="P210" t="s">
        <v>63</v>
      </c>
      <c r="Q210" t="s">
        <v>878</v>
      </c>
      <c r="R210" t="s">
        <v>882</v>
      </c>
      <c r="S210" t="s">
        <v>67</v>
      </c>
      <c r="T210" t="s">
        <v>1071</v>
      </c>
      <c r="U210" t="s">
        <v>1295</v>
      </c>
      <c r="V210">
        <v>15</v>
      </c>
      <c r="W210" s="2">
        <v>390.09235780360001</v>
      </c>
    </row>
    <row r="211" spans="1:23" x14ac:dyDescent="0.25">
      <c r="A211" t="s">
        <v>31</v>
      </c>
      <c r="B211" t="s">
        <v>32</v>
      </c>
      <c r="C211" t="s">
        <v>33</v>
      </c>
      <c r="D211" t="s">
        <v>34</v>
      </c>
      <c r="E211" t="s">
        <v>35</v>
      </c>
      <c r="F211" t="s">
        <v>36</v>
      </c>
      <c r="G211">
        <v>1141685</v>
      </c>
      <c r="H211" t="s">
        <v>79</v>
      </c>
      <c r="I211" t="s">
        <v>94</v>
      </c>
      <c r="J211" t="s">
        <v>101</v>
      </c>
      <c r="K211" t="s">
        <v>116</v>
      </c>
      <c r="L211" s="1">
        <v>46143</v>
      </c>
      <c r="M211" s="1">
        <v>46173</v>
      </c>
      <c r="N211">
        <v>1.2503E-5</v>
      </c>
      <c r="O211" t="s">
        <v>56</v>
      </c>
      <c r="P211" t="s">
        <v>63</v>
      </c>
      <c r="Q211" t="s">
        <v>878</v>
      </c>
      <c r="R211" t="s">
        <v>882</v>
      </c>
      <c r="S211" t="s">
        <v>67</v>
      </c>
      <c r="T211" t="s">
        <v>1072</v>
      </c>
      <c r="U211" t="s">
        <v>1296</v>
      </c>
      <c r="V211">
        <v>16</v>
      </c>
      <c r="W211" s="2">
        <v>1.5356171300000001E-2</v>
      </c>
    </row>
    <row r="212" spans="1:23" x14ac:dyDescent="0.25">
      <c r="A212" t="s">
        <v>31</v>
      </c>
      <c r="B212" t="s">
        <v>32</v>
      </c>
      <c r="C212" t="s">
        <v>33</v>
      </c>
      <c r="D212" t="s">
        <v>34</v>
      </c>
      <c r="E212" t="s">
        <v>35</v>
      </c>
      <c r="F212" t="s">
        <v>36</v>
      </c>
      <c r="G212">
        <v>1141685</v>
      </c>
      <c r="H212" t="s">
        <v>79</v>
      </c>
      <c r="I212" t="s">
        <v>94</v>
      </c>
      <c r="J212" t="s">
        <v>101</v>
      </c>
      <c r="K212" t="s">
        <v>116</v>
      </c>
      <c r="L212" s="1">
        <v>46143</v>
      </c>
      <c r="M212" s="1">
        <v>46173</v>
      </c>
      <c r="N212">
        <v>5.6651399999999998E-5</v>
      </c>
      <c r="O212" t="s">
        <v>56</v>
      </c>
      <c r="P212" t="s">
        <v>63</v>
      </c>
      <c r="Q212" t="s">
        <v>878</v>
      </c>
      <c r="R212" t="s">
        <v>882</v>
      </c>
      <c r="S212" t="s">
        <v>67</v>
      </c>
      <c r="T212" t="s">
        <v>1073</v>
      </c>
      <c r="U212" t="s">
        <v>1297</v>
      </c>
      <c r="V212">
        <v>16</v>
      </c>
      <c r="W212" s="2">
        <v>7.9579184499999997E-2</v>
      </c>
    </row>
    <row r="213" spans="1:23" x14ac:dyDescent="0.25">
      <c r="A213" t="s">
        <v>31</v>
      </c>
      <c r="B213" t="s">
        <v>32</v>
      </c>
      <c r="C213" t="s">
        <v>33</v>
      </c>
      <c r="D213" t="s">
        <v>34</v>
      </c>
      <c r="E213" t="s">
        <v>35</v>
      </c>
      <c r="F213" t="s">
        <v>36</v>
      </c>
      <c r="G213">
        <v>1141685</v>
      </c>
      <c r="H213" t="s">
        <v>79</v>
      </c>
      <c r="I213" t="s">
        <v>94</v>
      </c>
      <c r="J213" t="s">
        <v>101</v>
      </c>
      <c r="K213" t="s">
        <v>116</v>
      </c>
      <c r="L213" s="1">
        <v>46143</v>
      </c>
      <c r="M213" s="1">
        <v>46173</v>
      </c>
      <c r="N213">
        <v>1.1650181691999999</v>
      </c>
      <c r="O213" t="s">
        <v>56</v>
      </c>
      <c r="P213" t="s">
        <v>63</v>
      </c>
      <c r="Q213" t="s">
        <v>878</v>
      </c>
      <c r="R213" t="s">
        <v>882</v>
      </c>
      <c r="S213" t="s">
        <v>67</v>
      </c>
      <c r="T213" t="s">
        <v>1074</v>
      </c>
      <c r="U213" t="s">
        <v>1298</v>
      </c>
      <c r="V213">
        <v>16</v>
      </c>
      <c r="W213" s="2">
        <v>1625.9934513921</v>
      </c>
    </row>
    <row r="214" spans="1:23" x14ac:dyDescent="0.25">
      <c r="A214" t="s">
        <v>31</v>
      </c>
      <c r="B214" t="s">
        <v>32</v>
      </c>
      <c r="C214" t="s">
        <v>33</v>
      </c>
      <c r="D214" t="s">
        <v>34</v>
      </c>
      <c r="E214" t="s">
        <v>35</v>
      </c>
      <c r="F214" t="s">
        <v>36</v>
      </c>
      <c r="G214">
        <v>1141685</v>
      </c>
      <c r="H214" t="s">
        <v>79</v>
      </c>
      <c r="I214" t="s">
        <v>94</v>
      </c>
      <c r="J214" t="s">
        <v>101</v>
      </c>
      <c r="K214" t="s">
        <v>116</v>
      </c>
      <c r="L214" s="1">
        <v>46143</v>
      </c>
      <c r="M214" s="1">
        <v>46173</v>
      </c>
      <c r="N214">
        <v>0.11401314749999999</v>
      </c>
      <c r="O214" t="s">
        <v>56</v>
      </c>
      <c r="P214" t="s">
        <v>63</v>
      </c>
      <c r="Q214" t="s">
        <v>878</v>
      </c>
      <c r="R214" t="s">
        <v>881</v>
      </c>
      <c r="S214" t="s">
        <v>67</v>
      </c>
      <c r="T214" t="s">
        <v>1075</v>
      </c>
      <c r="U214" t="s">
        <v>1299</v>
      </c>
      <c r="V214">
        <v>15</v>
      </c>
      <c r="W214" s="2">
        <v>130.6760354848</v>
      </c>
    </row>
    <row r="215" spans="1:23" x14ac:dyDescent="0.25">
      <c r="A215" t="s">
        <v>31</v>
      </c>
      <c r="B215" t="s">
        <v>32</v>
      </c>
      <c r="C215" t="s">
        <v>33</v>
      </c>
      <c r="D215" t="s">
        <v>34</v>
      </c>
      <c r="E215" t="s">
        <v>35</v>
      </c>
      <c r="F215" t="s">
        <v>36</v>
      </c>
      <c r="G215">
        <v>1141685</v>
      </c>
      <c r="H215" t="s">
        <v>79</v>
      </c>
      <c r="I215" t="s">
        <v>94</v>
      </c>
      <c r="J215" t="s">
        <v>101</v>
      </c>
      <c r="K215" t="s">
        <v>116</v>
      </c>
      <c r="L215" s="1">
        <v>46143</v>
      </c>
      <c r="M215" s="1">
        <v>46173</v>
      </c>
      <c r="N215">
        <v>0.35080201090000002</v>
      </c>
      <c r="O215" t="s">
        <v>56</v>
      </c>
      <c r="P215" t="s">
        <v>63</v>
      </c>
      <c r="Q215" t="s">
        <v>878</v>
      </c>
      <c r="R215" t="s">
        <v>884</v>
      </c>
      <c r="S215" t="s">
        <v>67</v>
      </c>
      <c r="T215" t="s">
        <v>1076</v>
      </c>
      <c r="U215" t="s">
        <v>1300</v>
      </c>
      <c r="V215">
        <v>17</v>
      </c>
      <c r="W215" s="2">
        <v>489.60446844849997</v>
      </c>
    </row>
    <row r="216" spans="1:23" x14ac:dyDescent="0.25">
      <c r="A216" t="s">
        <v>31</v>
      </c>
      <c r="B216" t="s">
        <v>32</v>
      </c>
      <c r="C216" t="s">
        <v>33</v>
      </c>
      <c r="D216" t="s">
        <v>34</v>
      </c>
      <c r="E216" t="s">
        <v>35</v>
      </c>
      <c r="F216" t="s">
        <v>36</v>
      </c>
      <c r="G216">
        <v>1141685</v>
      </c>
      <c r="H216" t="s">
        <v>79</v>
      </c>
      <c r="I216" t="s">
        <v>94</v>
      </c>
      <c r="J216" t="s">
        <v>101</v>
      </c>
      <c r="K216" t="s">
        <v>116</v>
      </c>
      <c r="L216" s="1">
        <v>46143</v>
      </c>
      <c r="M216" s="1">
        <v>46173</v>
      </c>
      <c r="N216">
        <v>9.9018000000000006E-6</v>
      </c>
      <c r="O216" t="s">
        <v>56</v>
      </c>
      <c r="P216" t="s">
        <v>63</v>
      </c>
      <c r="Q216" t="s">
        <v>878</v>
      </c>
      <c r="R216" t="s">
        <v>882</v>
      </c>
      <c r="S216" t="s">
        <v>67</v>
      </c>
      <c r="T216" t="s">
        <v>1077</v>
      </c>
      <c r="U216" t="s">
        <v>1301</v>
      </c>
      <c r="V216">
        <v>16</v>
      </c>
      <c r="W216" s="2">
        <v>1.2161401299999999E-2</v>
      </c>
    </row>
    <row r="217" spans="1:23" x14ac:dyDescent="0.25">
      <c r="A217" t="s">
        <v>31</v>
      </c>
      <c r="B217" t="s">
        <v>32</v>
      </c>
      <c r="C217" t="s">
        <v>33</v>
      </c>
      <c r="D217" t="s">
        <v>34</v>
      </c>
      <c r="E217" t="s">
        <v>35</v>
      </c>
      <c r="F217" t="s">
        <v>36</v>
      </c>
      <c r="G217">
        <v>1141685</v>
      </c>
      <c r="H217" t="s">
        <v>79</v>
      </c>
      <c r="I217" t="s">
        <v>94</v>
      </c>
      <c r="J217" t="s">
        <v>101</v>
      </c>
      <c r="K217" t="s">
        <v>116</v>
      </c>
      <c r="L217" s="1">
        <v>46143</v>
      </c>
      <c r="M217" s="1">
        <v>46173</v>
      </c>
      <c r="N217">
        <v>0.32335974179999999</v>
      </c>
      <c r="O217" t="s">
        <v>56</v>
      </c>
      <c r="P217" t="s">
        <v>63</v>
      </c>
      <c r="Q217" t="s">
        <v>878</v>
      </c>
      <c r="R217" t="s">
        <v>881</v>
      </c>
      <c r="S217" t="s">
        <v>67</v>
      </c>
      <c r="T217" t="s">
        <v>1078</v>
      </c>
      <c r="U217" t="s">
        <v>1302</v>
      </c>
      <c r="V217">
        <v>16</v>
      </c>
      <c r="W217" s="2">
        <v>451.30991753680001</v>
      </c>
    </row>
    <row r="218" spans="1:23" x14ac:dyDescent="0.25">
      <c r="A218" t="s">
        <v>31</v>
      </c>
      <c r="B218" t="s">
        <v>32</v>
      </c>
      <c r="C218" t="s">
        <v>33</v>
      </c>
      <c r="D218" t="s">
        <v>34</v>
      </c>
      <c r="E218" t="s">
        <v>35</v>
      </c>
      <c r="F218" t="s">
        <v>36</v>
      </c>
      <c r="G218">
        <v>1141685</v>
      </c>
      <c r="H218" t="s">
        <v>77</v>
      </c>
      <c r="I218" t="s">
        <v>96</v>
      </c>
      <c r="J218" t="s">
        <v>77</v>
      </c>
      <c r="K218" t="s">
        <v>111</v>
      </c>
      <c r="L218" s="1">
        <v>46143</v>
      </c>
      <c r="M218" s="1">
        <v>46173</v>
      </c>
      <c r="N218">
        <v>2.1122564E-3</v>
      </c>
      <c r="O218" t="s">
        <v>56</v>
      </c>
      <c r="P218" t="s">
        <v>63</v>
      </c>
      <c r="Q218" t="s">
        <v>879</v>
      </c>
      <c r="R218" t="s">
        <v>885</v>
      </c>
      <c r="S218" t="s">
        <v>67</v>
      </c>
      <c r="T218" t="s">
        <v>1079</v>
      </c>
      <c r="U218" t="s">
        <v>1303</v>
      </c>
      <c r="V218">
        <v>7</v>
      </c>
      <c r="W218" s="2">
        <v>0.364283735</v>
      </c>
    </row>
    <row r="219" spans="1:23" x14ac:dyDescent="0.25">
      <c r="A219" t="s">
        <v>31</v>
      </c>
      <c r="B219" t="s">
        <v>32</v>
      </c>
      <c r="C219" t="s">
        <v>33</v>
      </c>
      <c r="D219" t="s">
        <v>34</v>
      </c>
      <c r="E219" t="s">
        <v>35</v>
      </c>
      <c r="F219" t="s">
        <v>36</v>
      </c>
      <c r="G219">
        <v>1141685</v>
      </c>
      <c r="H219" t="s">
        <v>79</v>
      </c>
      <c r="I219" t="s">
        <v>94</v>
      </c>
      <c r="J219" t="s">
        <v>101</v>
      </c>
      <c r="K219" t="s">
        <v>116</v>
      </c>
      <c r="L219" s="1">
        <v>46143</v>
      </c>
      <c r="M219" s="1">
        <v>46173</v>
      </c>
      <c r="N219">
        <v>0.53385198580000004</v>
      </c>
      <c r="O219" t="s">
        <v>56</v>
      </c>
      <c r="P219" t="s">
        <v>63</v>
      </c>
      <c r="Q219" t="s">
        <v>878</v>
      </c>
      <c r="R219" t="s">
        <v>882</v>
      </c>
      <c r="S219" t="s">
        <v>67</v>
      </c>
      <c r="T219" t="s">
        <v>1080</v>
      </c>
      <c r="U219" t="s">
        <v>1304</v>
      </c>
      <c r="V219">
        <v>16</v>
      </c>
      <c r="W219" s="2">
        <v>745.0861548199</v>
      </c>
    </row>
    <row r="220" spans="1:23" x14ac:dyDescent="0.25">
      <c r="A220" t="s">
        <v>31</v>
      </c>
      <c r="B220" t="s">
        <v>32</v>
      </c>
      <c r="C220" t="s">
        <v>33</v>
      </c>
      <c r="D220" t="s">
        <v>34</v>
      </c>
      <c r="E220" t="s">
        <v>35</v>
      </c>
      <c r="F220" t="s">
        <v>36</v>
      </c>
      <c r="G220">
        <v>1141685</v>
      </c>
      <c r="H220" t="s">
        <v>76</v>
      </c>
      <c r="I220" t="s">
        <v>95</v>
      </c>
      <c r="J220" t="s">
        <v>99</v>
      </c>
      <c r="K220" t="s">
        <v>109</v>
      </c>
      <c r="L220" s="1">
        <v>46143</v>
      </c>
      <c r="M220" s="1">
        <v>46173</v>
      </c>
      <c r="N220">
        <v>82.216230999999993</v>
      </c>
      <c r="O220" t="s">
        <v>58</v>
      </c>
      <c r="P220" t="s">
        <v>63</v>
      </c>
      <c r="Q220" t="s">
        <v>877</v>
      </c>
      <c r="R220" t="s">
        <v>882</v>
      </c>
      <c r="S220" t="s">
        <v>67</v>
      </c>
      <c r="T220" t="s">
        <v>903</v>
      </c>
      <c r="U220" t="s">
        <v>1127</v>
      </c>
      <c r="V220">
        <v>15</v>
      </c>
      <c r="W220" s="2">
        <v>0</v>
      </c>
    </row>
    <row r="221" spans="1:23" x14ac:dyDescent="0.25">
      <c r="A221" t="s">
        <v>31</v>
      </c>
      <c r="B221" t="s">
        <v>32</v>
      </c>
      <c r="C221" t="s">
        <v>33</v>
      </c>
      <c r="D221" t="s">
        <v>34</v>
      </c>
      <c r="E221" t="s">
        <v>35</v>
      </c>
      <c r="F221" t="s">
        <v>36</v>
      </c>
      <c r="G221">
        <v>1141685</v>
      </c>
      <c r="H221" t="s">
        <v>76</v>
      </c>
      <c r="I221" t="s">
        <v>95</v>
      </c>
      <c r="J221" t="s">
        <v>99</v>
      </c>
      <c r="K221" t="s">
        <v>109</v>
      </c>
      <c r="L221" s="1">
        <v>46143</v>
      </c>
      <c r="M221" s="1">
        <v>46173</v>
      </c>
      <c r="N221">
        <v>2.8502369999999999</v>
      </c>
      <c r="O221" t="s">
        <v>58</v>
      </c>
      <c r="P221" t="s">
        <v>63</v>
      </c>
      <c r="Q221" t="s">
        <v>877</v>
      </c>
      <c r="R221" t="s">
        <v>882</v>
      </c>
      <c r="S221" t="s">
        <v>67</v>
      </c>
      <c r="T221" t="s">
        <v>903</v>
      </c>
      <c r="U221" t="s">
        <v>1127</v>
      </c>
      <c r="V221">
        <v>15</v>
      </c>
      <c r="W221" s="2">
        <v>0</v>
      </c>
    </row>
    <row r="222" spans="1:23" x14ac:dyDescent="0.25">
      <c r="A222" t="s">
        <v>31</v>
      </c>
      <c r="B222" t="s">
        <v>32</v>
      </c>
      <c r="C222" t="s">
        <v>33</v>
      </c>
      <c r="D222" t="s">
        <v>34</v>
      </c>
      <c r="E222" t="s">
        <v>35</v>
      </c>
      <c r="F222" t="s">
        <v>36</v>
      </c>
      <c r="G222">
        <v>1141685</v>
      </c>
      <c r="H222" t="s">
        <v>76</v>
      </c>
      <c r="I222" t="s">
        <v>95</v>
      </c>
      <c r="J222" t="s">
        <v>99</v>
      </c>
      <c r="K222" t="s">
        <v>109</v>
      </c>
      <c r="L222" s="1">
        <v>46143</v>
      </c>
      <c r="M222" s="1">
        <v>46173</v>
      </c>
      <c r="N222">
        <v>74.315916999999999</v>
      </c>
      <c r="O222" t="s">
        <v>58</v>
      </c>
      <c r="P222" t="s">
        <v>63</v>
      </c>
      <c r="Q222" t="s">
        <v>877</v>
      </c>
      <c r="R222" t="s">
        <v>882</v>
      </c>
      <c r="S222" t="s">
        <v>67</v>
      </c>
      <c r="T222" t="s">
        <v>903</v>
      </c>
      <c r="U222" t="s">
        <v>1127</v>
      </c>
      <c r="V222">
        <v>15</v>
      </c>
      <c r="W222" s="2">
        <v>0</v>
      </c>
    </row>
    <row r="223" spans="1:23" x14ac:dyDescent="0.25">
      <c r="A223" t="s">
        <v>31</v>
      </c>
      <c r="B223" t="s">
        <v>32</v>
      </c>
      <c r="C223" t="s">
        <v>33</v>
      </c>
      <c r="D223" t="s">
        <v>34</v>
      </c>
      <c r="E223" t="s">
        <v>35</v>
      </c>
      <c r="F223" t="s">
        <v>36</v>
      </c>
      <c r="G223">
        <v>1141685</v>
      </c>
      <c r="H223" t="s">
        <v>76</v>
      </c>
      <c r="I223" t="s">
        <v>95</v>
      </c>
      <c r="J223" t="s">
        <v>99</v>
      </c>
      <c r="K223" t="s">
        <v>109</v>
      </c>
      <c r="L223" s="1">
        <v>46143</v>
      </c>
      <c r="M223" s="1">
        <v>46173</v>
      </c>
      <c r="N223">
        <v>4.2836379999999998</v>
      </c>
      <c r="O223" t="s">
        <v>58</v>
      </c>
      <c r="P223" t="s">
        <v>63</v>
      </c>
      <c r="Q223" t="s">
        <v>877</v>
      </c>
      <c r="R223" t="s">
        <v>882</v>
      </c>
      <c r="S223" t="s">
        <v>67</v>
      </c>
      <c r="T223" t="s">
        <v>903</v>
      </c>
      <c r="U223" t="s">
        <v>1127</v>
      </c>
      <c r="V223">
        <v>15</v>
      </c>
      <c r="W223" s="2">
        <v>0</v>
      </c>
    </row>
    <row r="224" spans="1:23" x14ac:dyDescent="0.25">
      <c r="A224" t="s">
        <v>31</v>
      </c>
      <c r="B224" t="s">
        <v>32</v>
      </c>
      <c r="C224" t="s">
        <v>33</v>
      </c>
      <c r="D224" t="s">
        <v>34</v>
      </c>
      <c r="E224" t="s">
        <v>35</v>
      </c>
      <c r="F224" t="s">
        <v>36</v>
      </c>
      <c r="G224">
        <v>1141685</v>
      </c>
      <c r="H224" t="s">
        <v>76</v>
      </c>
      <c r="I224" t="s">
        <v>95</v>
      </c>
      <c r="J224" t="s">
        <v>99</v>
      </c>
      <c r="K224" t="s">
        <v>109</v>
      </c>
      <c r="L224" s="1">
        <v>46143</v>
      </c>
      <c r="M224" s="1">
        <v>46173</v>
      </c>
      <c r="N224">
        <v>249.66655800000001</v>
      </c>
      <c r="O224" t="s">
        <v>58</v>
      </c>
      <c r="P224" t="s">
        <v>63</v>
      </c>
      <c r="Q224" t="s">
        <v>877</v>
      </c>
      <c r="R224" t="s">
        <v>882</v>
      </c>
      <c r="S224" t="s">
        <v>67</v>
      </c>
      <c r="T224" t="s">
        <v>906</v>
      </c>
      <c r="U224" t="s">
        <v>1130</v>
      </c>
      <c r="V224">
        <v>16</v>
      </c>
      <c r="W224" s="2">
        <v>0</v>
      </c>
    </row>
    <row r="225" spans="1:23" x14ac:dyDescent="0.25">
      <c r="A225" t="s">
        <v>31</v>
      </c>
      <c r="B225" t="s">
        <v>32</v>
      </c>
      <c r="C225" t="s">
        <v>33</v>
      </c>
      <c r="D225" t="s">
        <v>34</v>
      </c>
      <c r="E225" t="s">
        <v>35</v>
      </c>
      <c r="F225" t="s">
        <v>36</v>
      </c>
      <c r="G225">
        <v>1141685</v>
      </c>
      <c r="H225" t="s">
        <v>76</v>
      </c>
      <c r="I225" t="s">
        <v>95</v>
      </c>
      <c r="J225" t="s">
        <v>99</v>
      </c>
      <c r="K225" t="s">
        <v>109</v>
      </c>
      <c r="L225" s="1">
        <v>46143</v>
      </c>
      <c r="M225" s="1">
        <v>46173</v>
      </c>
      <c r="N225">
        <v>84.933408</v>
      </c>
      <c r="O225" t="s">
        <v>58</v>
      </c>
      <c r="P225" t="s">
        <v>63</v>
      </c>
      <c r="Q225" t="s">
        <v>877</v>
      </c>
      <c r="R225" t="s">
        <v>882</v>
      </c>
      <c r="S225" t="s">
        <v>67</v>
      </c>
      <c r="T225" t="s">
        <v>906</v>
      </c>
      <c r="U225" t="s">
        <v>1130</v>
      </c>
      <c r="V225">
        <v>16</v>
      </c>
      <c r="W225" s="2">
        <v>0</v>
      </c>
    </row>
    <row r="226" spans="1:23" x14ac:dyDescent="0.25">
      <c r="A226" t="s">
        <v>31</v>
      </c>
      <c r="B226" t="s">
        <v>32</v>
      </c>
      <c r="C226" t="s">
        <v>33</v>
      </c>
      <c r="D226" t="s">
        <v>34</v>
      </c>
      <c r="E226" t="s">
        <v>35</v>
      </c>
      <c r="F226" t="s">
        <v>36</v>
      </c>
      <c r="G226">
        <v>1141685</v>
      </c>
      <c r="H226" t="s">
        <v>76</v>
      </c>
      <c r="I226" t="s">
        <v>95</v>
      </c>
      <c r="J226" t="s">
        <v>99</v>
      </c>
      <c r="K226" t="s">
        <v>109</v>
      </c>
      <c r="L226" s="1">
        <v>46143</v>
      </c>
      <c r="M226" s="1">
        <v>46173</v>
      </c>
      <c r="N226">
        <v>3.3187000000000001E-2</v>
      </c>
      <c r="O226" t="s">
        <v>58</v>
      </c>
      <c r="P226" t="s">
        <v>63</v>
      </c>
      <c r="Q226" t="s">
        <v>877</v>
      </c>
      <c r="R226" t="s">
        <v>882</v>
      </c>
      <c r="S226" t="s">
        <v>67</v>
      </c>
      <c r="T226" t="s">
        <v>906</v>
      </c>
      <c r="U226" t="s">
        <v>1130</v>
      </c>
      <c r="V226">
        <v>16</v>
      </c>
      <c r="W226" s="2">
        <v>0</v>
      </c>
    </row>
    <row r="227" spans="1:23" x14ac:dyDescent="0.25">
      <c r="A227" t="s">
        <v>31</v>
      </c>
      <c r="B227" t="s">
        <v>32</v>
      </c>
      <c r="C227" t="s">
        <v>33</v>
      </c>
      <c r="D227" t="s">
        <v>34</v>
      </c>
      <c r="E227" t="s">
        <v>35</v>
      </c>
      <c r="F227" t="s">
        <v>36</v>
      </c>
      <c r="G227">
        <v>1141685</v>
      </c>
      <c r="H227" t="s">
        <v>76</v>
      </c>
      <c r="I227" t="s">
        <v>95</v>
      </c>
      <c r="J227" t="s">
        <v>99</v>
      </c>
      <c r="K227" t="s">
        <v>109</v>
      </c>
      <c r="L227" s="1">
        <v>46143</v>
      </c>
      <c r="M227" s="1">
        <v>46173</v>
      </c>
      <c r="N227">
        <v>74.916759999999996</v>
      </c>
      <c r="O227" t="s">
        <v>58</v>
      </c>
      <c r="P227" t="s">
        <v>63</v>
      </c>
      <c r="Q227" t="s">
        <v>877</v>
      </c>
      <c r="R227" t="s">
        <v>882</v>
      </c>
      <c r="S227" t="s">
        <v>67</v>
      </c>
      <c r="T227" t="s">
        <v>906</v>
      </c>
      <c r="U227" t="s">
        <v>1130</v>
      </c>
      <c r="V227">
        <v>16</v>
      </c>
      <c r="W227" s="2">
        <v>0</v>
      </c>
    </row>
    <row r="228" spans="1:23" x14ac:dyDescent="0.25">
      <c r="A228" t="s">
        <v>31</v>
      </c>
      <c r="B228" t="s">
        <v>32</v>
      </c>
      <c r="C228" t="s">
        <v>33</v>
      </c>
      <c r="D228" t="s">
        <v>34</v>
      </c>
      <c r="E228" t="s">
        <v>35</v>
      </c>
      <c r="F228" t="s">
        <v>36</v>
      </c>
      <c r="G228">
        <v>1141685</v>
      </c>
      <c r="H228" t="s">
        <v>76</v>
      </c>
      <c r="I228" t="s">
        <v>95</v>
      </c>
      <c r="J228" t="s">
        <v>99</v>
      </c>
      <c r="K228" t="s">
        <v>109</v>
      </c>
      <c r="L228" s="1">
        <v>46143</v>
      </c>
      <c r="M228" s="1">
        <v>46173</v>
      </c>
      <c r="N228">
        <v>0.250004</v>
      </c>
      <c r="O228" t="s">
        <v>58</v>
      </c>
      <c r="P228" t="s">
        <v>63</v>
      </c>
      <c r="Q228" t="s">
        <v>877</v>
      </c>
      <c r="R228" t="s">
        <v>882</v>
      </c>
      <c r="S228" t="s">
        <v>67</v>
      </c>
      <c r="T228" t="s">
        <v>906</v>
      </c>
      <c r="U228" t="s">
        <v>1130</v>
      </c>
      <c r="V228">
        <v>16</v>
      </c>
      <c r="W228" s="2">
        <v>0</v>
      </c>
    </row>
    <row r="229" spans="1:23" x14ac:dyDescent="0.25">
      <c r="A229" t="s">
        <v>31</v>
      </c>
      <c r="B229" t="s">
        <v>32</v>
      </c>
      <c r="C229" t="s">
        <v>33</v>
      </c>
      <c r="D229" t="s">
        <v>34</v>
      </c>
      <c r="E229" t="s">
        <v>35</v>
      </c>
      <c r="F229" t="s">
        <v>36</v>
      </c>
      <c r="G229">
        <v>1141685</v>
      </c>
      <c r="H229" t="s">
        <v>76</v>
      </c>
      <c r="I229" t="s">
        <v>95</v>
      </c>
      <c r="J229" t="s">
        <v>99</v>
      </c>
      <c r="K229" t="s">
        <v>109</v>
      </c>
      <c r="L229" s="1">
        <v>46143</v>
      </c>
      <c r="M229" s="1">
        <v>46173</v>
      </c>
      <c r="N229">
        <v>51.300026000000003</v>
      </c>
      <c r="O229" t="s">
        <v>58</v>
      </c>
      <c r="P229" t="s">
        <v>63</v>
      </c>
      <c r="Q229" t="s">
        <v>877</v>
      </c>
      <c r="R229" t="s">
        <v>882</v>
      </c>
      <c r="S229" t="s">
        <v>67</v>
      </c>
      <c r="T229" t="s">
        <v>906</v>
      </c>
      <c r="U229" t="s">
        <v>1130</v>
      </c>
      <c r="V229">
        <v>16</v>
      </c>
      <c r="W229" s="2">
        <v>0</v>
      </c>
    </row>
    <row r="230" spans="1:23" x14ac:dyDescent="0.25">
      <c r="A230" t="s">
        <v>31</v>
      </c>
      <c r="B230" t="s">
        <v>32</v>
      </c>
      <c r="C230" t="s">
        <v>33</v>
      </c>
      <c r="D230" t="s">
        <v>34</v>
      </c>
      <c r="E230" t="s">
        <v>35</v>
      </c>
      <c r="F230" t="s">
        <v>36</v>
      </c>
      <c r="G230">
        <v>1141685</v>
      </c>
      <c r="H230" t="s">
        <v>76</v>
      </c>
      <c r="I230" t="s">
        <v>95</v>
      </c>
      <c r="J230" t="s">
        <v>99</v>
      </c>
      <c r="K230" t="s">
        <v>109</v>
      </c>
      <c r="L230" s="1">
        <v>46143</v>
      </c>
      <c r="M230" s="1">
        <v>46173</v>
      </c>
      <c r="N230">
        <v>0.16650400000000001</v>
      </c>
      <c r="O230" t="s">
        <v>58</v>
      </c>
      <c r="P230" t="s">
        <v>63</v>
      </c>
      <c r="Q230" t="s">
        <v>877</v>
      </c>
      <c r="R230" t="s">
        <v>882</v>
      </c>
      <c r="S230" t="s">
        <v>67</v>
      </c>
      <c r="T230" t="s">
        <v>906</v>
      </c>
      <c r="U230" t="s">
        <v>1130</v>
      </c>
      <c r="V230">
        <v>16</v>
      </c>
      <c r="W230" s="2">
        <v>0</v>
      </c>
    </row>
    <row r="231" spans="1:23" x14ac:dyDescent="0.25">
      <c r="A231" t="s">
        <v>31</v>
      </c>
      <c r="B231" t="s">
        <v>32</v>
      </c>
      <c r="C231" t="s">
        <v>33</v>
      </c>
      <c r="D231" t="s">
        <v>34</v>
      </c>
      <c r="E231" t="s">
        <v>35</v>
      </c>
      <c r="F231" t="s">
        <v>36</v>
      </c>
      <c r="G231">
        <v>1141685</v>
      </c>
      <c r="H231" t="s">
        <v>79</v>
      </c>
      <c r="I231" t="s">
        <v>94</v>
      </c>
      <c r="J231" t="s">
        <v>101</v>
      </c>
      <c r="K231" t="s">
        <v>114</v>
      </c>
      <c r="L231" s="1">
        <v>46143</v>
      </c>
      <c r="M231" s="1">
        <v>46173</v>
      </c>
      <c r="N231">
        <v>2.2350000000000001E-7</v>
      </c>
      <c r="O231" t="s">
        <v>56</v>
      </c>
      <c r="P231" t="s">
        <v>63</v>
      </c>
      <c r="Q231" t="s">
        <v>878</v>
      </c>
      <c r="R231" t="s">
        <v>882</v>
      </c>
      <c r="S231" t="s">
        <v>67</v>
      </c>
      <c r="T231" t="s">
        <v>1014</v>
      </c>
      <c r="U231" t="s">
        <v>1238</v>
      </c>
      <c r="V231">
        <v>16</v>
      </c>
      <c r="W231" s="2">
        <v>2.7452370000000001E-4</v>
      </c>
    </row>
    <row r="232" spans="1:23" x14ac:dyDescent="0.25">
      <c r="A232" t="s">
        <v>31</v>
      </c>
      <c r="B232" t="s">
        <v>32</v>
      </c>
      <c r="C232" t="s">
        <v>33</v>
      </c>
      <c r="D232" t="s">
        <v>34</v>
      </c>
      <c r="E232" t="s">
        <v>35</v>
      </c>
      <c r="F232" t="s">
        <v>36</v>
      </c>
      <c r="G232">
        <v>1141685</v>
      </c>
      <c r="H232" t="s">
        <v>79</v>
      </c>
      <c r="I232" t="s">
        <v>94</v>
      </c>
      <c r="J232" t="s">
        <v>101</v>
      </c>
      <c r="K232" t="s">
        <v>114</v>
      </c>
      <c r="L232" s="1">
        <v>46143</v>
      </c>
      <c r="M232" s="1">
        <v>46173</v>
      </c>
      <c r="N232">
        <v>0.38281362499999999</v>
      </c>
      <c r="O232" t="s">
        <v>56</v>
      </c>
      <c r="P232" t="s">
        <v>63</v>
      </c>
      <c r="Q232" t="s">
        <v>878</v>
      </c>
      <c r="R232" t="s">
        <v>882</v>
      </c>
      <c r="S232" t="s">
        <v>67</v>
      </c>
      <c r="T232" t="s">
        <v>1081</v>
      </c>
      <c r="U232" t="s">
        <v>1305</v>
      </c>
      <c r="V232">
        <v>15</v>
      </c>
      <c r="W232" s="2">
        <v>534.28108176909996</v>
      </c>
    </row>
    <row r="233" spans="1:23" x14ac:dyDescent="0.25">
      <c r="A233" t="s">
        <v>31</v>
      </c>
      <c r="B233" t="s">
        <v>32</v>
      </c>
      <c r="C233" t="s">
        <v>33</v>
      </c>
      <c r="D233" t="s">
        <v>34</v>
      </c>
      <c r="E233" t="s">
        <v>35</v>
      </c>
      <c r="F233" t="s">
        <v>36</v>
      </c>
      <c r="G233">
        <v>1141685</v>
      </c>
      <c r="H233" t="s">
        <v>79</v>
      </c>
      <c r="I233" t="s">
        <v>94</v>
      </c>
      <c r="J233" t="s">
        <v>101</v>
      </c>
      <c r="K233" t="s">
        <v>114</v>
      </c>
      <c r="L233" s="1">
        <v>46143</v>
      </c>
      <c r="M233" s="1">
        <v>46173</v>
      </c>
      <c r="N233">
        <v>6.7557058999999997E-3</v>
      </c>
      <c r="O233" t="s">
        <v>56</v>
      </c>
      <c r="P233" t="s">
        <v>63</v>
      </c>
      <c r="Q233" t="s">
        <v>878</v>
      </c>
      <c r="R233" t="s">
        <v>882</v>
      </c>
      <c r="S233" t="s">
        <v>67</v>
      </c>
      <c r="T233" t="s">
        <v>1082</v>
      </c>
      <c r="U233" t="s">
        <v>1306</v>
      </c>
      <c r="V233">
        <v>16</v>
      </c>
      <c r="W233" s="2">
        <v>9.4273472052000002</v>
      </c>
    </row>
    <row r="234" spans="1:23" x14ac:dyDescent="0.25">
      <c r="A234" t="s">
        <v>31</v>
      </c>
      <c r="B234" t="s">
        <v>32</v>
      </c>
      <c r="C234" t="s">
        <v>33</v>
      </c>
      <c r="D234" t="s">
        <v>34</v>
      </c>
      <c r="E234" t="s">
        <v>35</v>
      </c>
      <c r="F234" t="s">
        <v>36</v>
      </c>
      <c r="G234">
        <v>1141685</v>
      </c>
      <c r="H234" t="s">
        <v>87</v>
      </c>
      <c r="I234" t="s">
        <v>87</v>
      </c>
      <c r="J234" t="s">
        <v>87</v>
      </c>
      <c r="K234" t="s">
        <v>125</v>
      </c>
      <c r="L234" s="1">
        <v>46143</v>
      </c>
      <c r="M234" s="1">
        <v>46173</v>
      </c>
      <c r="N234">
        <v>744</v>
      </c>
      <c r="O234" t="s">
        <v>58</v>
      </c>
      <c r="P234" t="s">
        <v>63</v>
      </c>
      <c r="Q234" t="s">
        <v>878</v>
      </c>
      <c r="R234" t="s">
        <v>164</v>
      </c>
      <c r="S234" t="s">
        <v>67</v>
      </c>
      <c r="T234" t="s">
        <v>1083</v>
      </c>
      <c r="U234" t="s">
        <v>1307</v>
      </c>
      <c r="V234">
        <v>12</v>
      </c>
      <c r="W234" s="2">
        <v>324495.598</v>
      </c>
    </row>
    <row r="235" spans="1:23" x14ac:dyDescent="0.25">
      <c r="A235" t="s">
        <v>31</v>
      </c>
      <c r="B235" t="s">
        <v>32</v>
      </c>
      <c r="C235" t="s">
        <v>33</v>
      </c>
      <c r="D235" t="s">
        <v>34</v>
      </c>
      <c r="E235" t="s">
        <v>35</v>
      </c>
      <c r="F235" t="s">
        <v>36</v>
      </c>
      <c r="G235">
        <v>1141685</v>
      </c>
      <c r="H235" t="s">
        <v>87</v>
      </c>
      <c r="I235" t="s">
        <v>87</v>
      </c>
      <c r="J235" t="s">
        <v>87</v>
      </c>
      <c r="K235" t="s">
        <v>131</v>
      </c>
      <c r="L235" s="1">
        <v>46143</v>
      </c>
      <c r="M235" s="1">
        <v>46173</v>
      </c>
      <c r="N235">
        <v>136.62999411210001</v>
      </c>
      <c r="O235" t="s">
        <v>56</v>
      </c>
      <c r="P235" t="s">
        <v>63</v>
      </c>
      <c r="Q235" t="s">
        <v>878</v>
      </c>
      <c r="R235" t="s">
        <v>158</v>
      </c>
      <c r="S235" t="s">
        <v>67</v>
      </c>
      <c r="T235" t="s">
        <v>1084</v>
      </c>
      <c r="U235" t="s">
        <v>1308</v>
      </c>
      <c r="V235">
        <v>12</v>
      </c>
      <c r="W235" s="2">
        <v>11918.236260028099</v>
      </c>
    </row>
    <row r="236" spans="1:23" x14ac:dyDescent="0.25">
      <c r="A236" t="s">
        <v>31</v>
      </c>
      <c r="B236" t="s">
        <v>32</v>
      </c>
      <c r="C236" t="s">
        <v>33</v>
      </c>
      <c r="D236" t="s">
        <v>34</v>
      </c>
      <c r="E236" t="s">
        <v>35</v>
      </c>
      <c r="F236" t="s">
        <v>36</v>
      </c>
      <c r="G236">
        <v>1141685</v>
      </c>
      <c r="H236" t="s">
        <v>76</v>
      </c>
      <c r="I236" t="s">
        <v>95</v>
      </c>
      <c r="J236" t="s">
        <v>99</v>
      </c>
      <c r="K236" t="s">
        <v>109</v>
      </c>
      <c r="L236" s="1">
        <v>46143</v>
      </c>
      <c r="M236" s="1">
        <v>46173</v>
      </c>
      <c r="N236">
        <v>2.950059</v>
      </c>
      <c r="O236" t="s">
        <v>58</v>
      </c>
      <c r="P236" t="s">
        <v>63</v>
      </c>
      <c r="Q236" t="s">
        <v>877</v>
      </c>
      <c r="R236" t="s">
        <v>884</v>
      </c>
      <c r="S236" t="s">
        <v>67</v>
      </c>
      <c r="T236" t="s">
        <v>1085</v>
      </c>
      <c r="U236" t="s">
        <v>1309</v>
      </c>
      <c r="V236">
        <v>16</v>
      </c>
      <c r="W236" s="2">
        <v>0</v>
      </c>
    </row>
    <row r="237" spans="1:23" x14ac:dyDescent="0.25">
      <c r="A237" t="s">
        <v>31</v>
      </c>
      <c r="B237" t="s">
        <v>32</v>
      </c>
      <c r="C237" t="s">
        <v>33</v>
      </c>
      <c r="D237" t="s">
        <v>34</v>
      </c>
      <c r="E237" t="s">
        <v>35</v>
      </c>
      <c r="F237" t="s">
        <v>36</v>
      </c>
      <c r="G237">
        <v>1141685</v>
      </c>
      <c r="H237" t="s">
        <v>76</v>
      </c>
      <c r="I237" t="s">
        <v>95</v>
      </c>
      <c r="J237" t="s">
        <v>99</v>
      </c>
      <c r="K237" t="s">
        <v>109</v>
      </c>
      <c r="L237" s="1">
        <v>46143</v>
      </c>
      <c r="M237" s="1">
        <v>46173</v>
      </c>
      <c r="N237">
        <v>4.9940999999999999E-2</v>
      </c>
      <c r="O237" t="s">
        <v>58</v>
      </c>
      <c r="P237" t="s">
        <v>63</v>
      </c>
      <c r="Q237" t="s">
        <v>877</v>
      </c>
      <c r="R237" t="s">
        <v>881</v>
      </c>
      <c r="S237" t="s">
        <v>67</v>
      </c>
      <c r="T237" t="s">
        <v>901</v>
      </c>
      <c r="U237" t="s">
        <v>1125</v>
      </c>
      <c r="V237">
        <v>15</v>
      </c>
      <c r="W237" s="2">
        <v>0</v>
      </c>
    </row>
    <row r="238" spans="1:23" x14ac:dyDescent="0.25">
      <c r="A238" t="s">
        <v>31</v>
      </c>
      <c r="B238" t="s">
        <v>32</v>
      </c>
      <c r="C238" t="s">
        <v>33</v>
      </c>
      <c r="D238" t="s">
        <v>34</v>
      </c>
      <c r="E238" t="s">
        <v>35</v>
      </c>
      <c r="F238" t="s">
        <v>36</v>
      </c>
      <c r="G238">
        <v>1141685</v>
      </c>
      <c r="H238" t="s">
        <v>76</v>
      </c>
      <c r="I238" t="s">
        <v>95</v>
      </c>
      <c r="J238" t="s">
        <v>99</v>
      </c>
      <c r="K238" t="s">
        <v>109</v>
      </c>
      <c r="L238" s="1">
        <v>46143</v>
      </c>
      <c r="M238" s="1">
        <v>46173</v>
      </c>
      <c r="N238">
        <v>353</v>
      </c>
      <c r="O238" t="s">
        <v>58</v>
      </c>
      <c r="P238" t="s">
        <v>63</v>
      </c>
      <c r="Q238" t="s">
        <v>877</v>
      </c>
      <c r="R238" t="s">
        <v>884</v>
      </c>
      <c r="S238" t="s">
        <v>67</v>
      </c>
      <c r="T238" t="s">
        <v>941</v>
      </c>
      <c r="U238" t="s">
        <v>1165</v>
      </c>
      <c r="V238">
        <v>17</v>
      </c>
      <c r="W238" s="2">
        <v>0</v>
      </c>
    </row>
    <row r="239" spans="1:23" x14ac:dyDescent="0.25">
      <c r="A239" t="s">
        <v>31</v>
      </c>
      <c r="B239" t="s">
        <v>32</v>
      </c>
      <c r="C239" t="s">
        <v>33</v>
      </c>
      <c r="D239" t="s">
        <v>34</v>
      </c>
      <c r="E239" t="s">
        <v>35</v>
      </c>
      <c r="F239" t="s">
        <v>36</v>
      </c>
      <c r="G239">
        <v>1141685</v>
      </c>
      <c r="H239" t="s">
        <v>76</v>
      </c>
      <c r="I239" t="s">
        <v>95</v>
      </c>
      <c r="J239" t="s">
        <v>99</v>
      </c>
      <c r="K239" t="s">
        <v>109</v>
      </c>
      <c r="L239" s="1">
        <v>46143</v>
      </c>
      <c r="M239" s="1">
        <v>46173</v>
      </c>
      <c r="N239">
        <v>0.983352</v>
      </c>
      <c r="O239" t="s">
        <v>58</v>
      </c>
      <c r="P239" t="s">
        <v>63</v>
      </c>
      <c r="Q239" t="s">
        <v>877</v>
      </c>
      <c r="R239" t="s">
        <v>881</v>
      </c>
      <c r="S239" t="s">
        <v>67</v>
      </c>
      <c r="T239" t="s">
        <v>911</v>
      </c>
      <c r="U239" t="s">
        <v>1135</v>
      </c>
      <c r="V239">
        <v>16</v>
      </c>
      <c r="W239" s="2">
        <v>0</v>
      </c>
    </row>
    <row r="240" spans="1:23" x14ac:dyDescent="0.25">
      <c r="A240" t="s">
        <v>31</v>
      </c>
      <c r="B240" t="s">
        <v>32</v>
      </c>
      <c r="C240" t="s">
        <v>33</v>
      </c>
      <c r="D240" t="s">
        <v>34</v>
      </c>
      <c r="E240" t="s">
        <v>35</v>
      </c>
      <c r="F240" t="s">
        <v>36</v>
      </c>
      <c r="G240">
        <v>1141685</v>
      </c>
      <c r="H240" t="s">
        <v>76</v>
      </c>
      <c r="I240" t="s">
        <v>95</v>
      </c>
      <c r="J240" t="s">
        <v>99</v>
      </c>
      <c r="K240" t="s">
        <v>109</v>
      </c>
      <c r="L240" s="1">
        <v>46143</v>
      </c>
      <c r="M240" s="1">
        <v>46173</v>
      </c>
      <c r="N240">
        <v>0.13325999999999999</v>
      </c>
      <c r="O240" t="s">
        <v>58</v>
      </c>
      <c r="P240" t="s">
        <v>63</v>
      </c>
      <c r="Q240" t="s">
        <v>877</v>
      </c>
      <c r="R240" t="s">
        <v>881</v>
      </c>
      <c r="S240" t="s">
        <v>67</v>
      </c>
      <c r="T240" t="s">
        <v>911</v>
      </c>
      <c r="U240" t="s">
        <v>1135</v>
      </c>
      <c r="V240">
        <v>16</v>
      </c>
      <c r="W240" s="2">
        <v>0</v>
      </c>
    </row>
    <row r="241" spans="1:23" x14ac:dyDescent="0.25">
      <c r="A241" t="s">
        <v>31</v>
      </c>
      <c r="B241" t="s">
        <v>32</v>
      </c>
      <c r="C241" t="s">
        <v>33</v>
      </c>
      <c r="D241" t="s">
        <v>34</v>
      </c>
      <c r="E241" t="s">
        <v>35</v>
      </c>
      <c r="F241" t="s">
        <v>36</v>
      </c>
      <c r="G241">
        <v>1141685</v>
      </c>
      <c r="H241" t="s">
        <v>76</v>
      </c>
      <c r="I241" t="s">
        <v>95</v>
      </c>
      <c r="J241" t="s">
        <v>99</v>
      </c>
      <c r="K241" t="s">
        <v>109</v>
      </c>
      <c r="L241" s="1">
        <v>46143</v>
      </c>
      <c r="M241" s="1">
        <v>46173</v>
      </c>
      <c r="N241">
        <v>113.800016</v>
      </c>
      <c r="O241" t="s">
        <v>58</v>
      </c>
      <c r="P241" t="s">
        <v>63</v>
      </c>
      <c r="Q241" t="s">
        <v>877</v>
      </c>
      <c r="R241" t="s">
        <v>881</v>
      </c>
      <c r="S241" t="s">
        <v>67</v>
      </c>
      <c r="T241" t="s">
        <v>911</v>
      </c>
      <c r="U241" t="s">
        <v>1135</v>
      </c>
      <c r="V241">
        <v>16</v>
      </c>
      <c r="W241" s="2">
        <v>0</v>
      </c>
    </row>
    <row r="242" spans="1:23" x14ac:dyDescent="0.25">
      <c r="A242" t="s">
        <v>31</v>
      </c>
      <c r="B242" t="s">
        <v>32</v>
      </c>
      <c r="C242" t="s">
        <v>33</v>
      </c>
      <c r="D242" t="s">
        <v>34</v>
      </c>
      <c r="E242" t="s">
        <v>35</v>
      </c>
      <c r="F242" t="s">
        <v>36</v>
      </c>
      <c r="G242">
        <v>1141685</v>
      </c>
      <c r="H242" t="s">
        <v>76</v>
      </c>
      <c r="I242" t="s">
        <v>95</v>
      </c>
      <c r="J242" t="s">
        <v>99</v>
      </c>
      <c r="K242" t="s">
        <v>109</v>
      </c>
      <c r="L242" s="1">
        <v>46143</v>
      </c>
      <c r="M242" s="1">
        <v>46173</v>
      </c>
      <c r="N242">
        <v>0.31629299999999999</v>
      </c>
      <c r="O242" t="s">
        <v>58</v>
      </c>
      <c r="P242" t="s">
        <v>63</v>
      </c>
      <c r="Q242" t="s">
        <v>877</v>
      </c>
      <c r="R242" t="s">
        <v>881</v>
      </c>
      <c r="S242" t="s">
        <v>67</v>
      </c>
      <c r="T242" t="s">
        <v>911</v>
      </c>
      <c r="U242" t="s">
        <v>1135</v>
      </c>
      <c r="V242">
        <v>16</v>
      </c>
      <c r="W242" s="2">
        <v>0</v>
      </c>
    </row>
    <row r="243" spans="1:23" x14ac:dyDescent="0.25">
      <c r="A243" t="s">
        <v>31</v>
      </c>
      <c r="B243" t="s">
        <v>32</v>
      </c>
      <c r="C243" t="s">
        <v>33</v>
      </c>
      <c r="D243" t="s">
        <v>34</v>
      </c>
      <c r="E243" t="s">
        <v>35</v>
      </c>
      <c r="F243" t="s">
        <v>36</v>
      </c>
      <c r="G243">
        <v>1141685</v>
      </c>
      <c r="H243" t="s">
        <v>76</v>
      </c>
      <c r="I243" t="s">
        <v>95</v>
      </c>
      <c r="J243" t="s">
        <v>99</v>
      </c>
      <c r="K243" t="s">
        <v>109</v>
      </c>
      <c r="L243" s="1">
        <v>46143</v>
      </c>
      <c r="M243" s="1">
        <v>46173</v>
      </c>
      <c r="N243">
        <v>8.3239999999999995E-2</v>
      </c>
      <c r="O243" t="s">
        <v>58</v>
      </c>
      <c r="P243" t="s">
        <v>63</v>
      </c>
      <c r="Q243" t="s">
        <v>877</v>
      </c>
      <c r="R243" t="s">
        <v>881</v>
      </c>
      <c r="S243" t="s">
        <v>67</v>
      </c>
      <c r="T243" t="s">
        <v>911</v>
      </c>
      <c r="U243" t="s">
        <v>1135</v>
      </c>
      <c r="V243">
        <v>16</v>
      </c>
      <c r="W243" s="2">
        <v>0</v>
      </c>
    </row>
    <row r="244" spans="1:23" x14ac:dyDescent="0.25">
      <c r="A244" t="s">
        <v>31</v>
      </c>
      <c r="B244" t="s">
        <v>32</v>
      </c>
      <c r="C244" t="s">
        <v>33</v>
      </c>
      <c r="D244" t="s">
        <v>34</v>
      </c>
      <c r="E244" t="s">
        <v>35</v>
      </c>
      <c r="F244" t="s">
        <v>36</v>
      </c>
      <c r="G244">
        <v>1141685</v>
      </c>
      <c r="H244" t="s">
        <v>76</v>
      </c>
      <c r="I244" t="s">
        <v>95</v>
      </c>
      <c r="J244" t="s">
        <v>99</v>
      </c>
      <c r="K244" t="s">
        <v>109</v>
      </c>
      <c r="L244" s="1">
        <v>46143</v>
      </c>
      <c r="M244" s="1">
        <v>46173</v>
      </c>
      <c r="N244">
        <v>56.183056999999998</v>
      </c>
      <c r="O244" t="s">
        <v>58</v>
      </c>
      <c r="P244" t="s">
        <v>63</v>
      </c>
      <c r="Q244" t="s">
        <v>877</v>
      </c>
      <c r="R244" t="s">
        <v>882</v>
      </c>
      <c r="S244" t="s">
        <v>67</v>
      </c>
      <c r="T244" t="s">
        <v>906</v>
      </c>
      <c r="U244" t="s">
        <v>1130</v>
      </c>
      <c r="V244">
        <v>16</v>
      </c>
      <c r="W244" s="2">
        <v>0</v>
      </c>
    </row>
    <row r="245" spans="1:23" x14ac:dyDescent="0.25">
      <c r="A245" t="s">
        <v>31</v>
      </c>
      <c r="B245" t="s">
        <v>32</v>
      </c>
      <c r="C245" t="s">
        <v>33</v>
      </c>
      <c r="D245" t="s">
        <v>34</v>
      </c>
      <c r="E245" t="s">
        <v>35</v>
      </c>
      <c r="F245" t="s">
        <v>36</v>
      </c>
      <c r="G245">
        <v>1141685</v>
      </c>
      <c r="H245" t="s">
        <v>76</v>
      </c>
      <c r="I245" t="s">
        <v>95</v>
      </c>
      <c r="J245" t="s">
        <v>99</v>
      </c>
      <c r="K245" t="s">
        <v>109</v>
      </c>
      <c r="L245" s="1">
        <v>46143</v>
      </c>
      <c r="M245" s="1">
        <v>46173</v>
      </c>
      <c r="N245">
        <v>2.950056</v>
      </c>
      <c r="O245" t="s">
        <v>58</v>
      </c>
      <c r="P245" t="s">
        <v>63</v>
      </c>
      <c r="Q245" t="s">
        <v>877</v>
      </c>
      <c r="R245" t="s">
        <v>882</v>
      </c>
      <c r="S245" t="s">
        <v>67</v>
      </c>
      <c r="T245" t="s">
        <v>906</v>
      </c>
      <c r="U245" t="s">
        <v>1130</v>
      </c>
      <c r="V245">
        <v>16</v>
      </c>
      <c r="W245" s="2">
        <v>0</v>
      </c>
    </row>
    <row r="246" spans="1:23" x14ac:dyDescent="0.25">
      <c r="A246" t="s">
        <v>31</v>
      </c>
      <c r="B246" t="s">
        <v>32</v>
      </c>
      <c r="C246" t="s">
        <v>33</v>
      </c>
      <c r="D246" t="s">
        <v>34</v>
      </c>
      <c r="E246" t="s">
        <v>35</v>
      </c>
      <c r="F246" t="s">
        <v>36</v>
      </c>
      <c r="G246">
        <v>1141685</v>
      </c>
      <c r="H246" t="s">
        <v>76</v>
      </c>
      <c r="I246" t="s">
        <v>95</v>
      </c>
      <c r="J246" t="s">
        <v>99</v>
      </c>
      <c r="K246" t="s">
        <v>109</v>
      </c>
      <c r="L246" s="1">
        <v>46143</v>
      </c>
      <c r="M246" s="1">
        <v>46173</v>
      </c>
      <c r="N246">
        <v>0.199984</v>
      </c>
      <c r="O246" t="s">
        <v>58</v>
      </c>
      <c r="P246" t="s">
        <v>63</v>
      </c>
      <c r="Q246" t="s">
        <v>877</v>
      </c>
      <c r="R246" t="s">
        <v>882</v>
      </c>
      <c r="S246" t="s">
        <v>67</v>
      </c>
      <c r="T246" t="s">
        <v>906</v>
      </c>
      <c r="U246" t="s">
        <v>1130</v>
      </c>
      <c r="V246">
        <v>16</v>
      </c>
      <c r="W246" s="2">
        <v>0</v>
      </c>
    </row>
    <row r="247" spans="1:23" x14ac:dyDescent="0.25">
      <c r="A247" t="s">
        <v>31</v>
      </c>
      <c r="B247" t="s">
        <v>32</v>
      </c>
      <c r="C247" t="s">
        <v>33</v>
      </c>
      <c r="D247" t="s">
        <v>34</v>
      </c>
      <c r="E247" t="s">
        <v>35</v>
      </c>
      <c r="F247" t="s">
        <v>36</v>
      </c>
      <c r="G247">
        <v>1141685</v>
      </c>
      <c r="H247" t="s">
        <v>76</v>
      </c>
      <c r="I247" t="s">
        <v>95</v>
      </c>
      <c r="J247" t="s">
        <v>99</v>
      </c>
      <c r="K247" t="s">
        <v>109</v>
      </c>
      <c r="L247" s="1">
        <v>46143</v>
      </c>
      <c r="M247" s="1">
        <v>46173</v>
      </c>
      <c r="N247">
        <v>1</v>
      </c>
      <c r="O247" t="s">
        <v>58</v>
      </c>
      <c r="P247" t="s">
        <v>63</v>
      </c>
      <c r="Q247" t="s">
        <v>877</v>
      </c>
      <c r="R247" t="s">
        <v>882</v>
      </c>
      <c r="S247" t="s">
        <v>67</v>
      </c>
      <c r="T247" t="s">
        <v>906</v>
      </c>
      <c r="U247" t="s">
        <v>1130</v>
      </c>
      <c r="V247">
        <v>16</v>
      </c>
      <c r="W247" s="2">
        <v>0</v>
      </c>
    </row>
    <row r="248" spans="1:23" x14ac:dyDescent="0.25">
      <c r="A248" t="s">
        <v>31</v>
      </c>
      <c r="B248" t="s">
        <v>32</v>
      </c>
      <c r="C248" t="s">
        <v>33</v>
      </c>
      <c r="D248" t="s">
        <v>34</v>
      </c>
      <c r="E248" t="s">
        <v>35</v>
      </c>
      <c r="F248" t="s">
        <v>36</v>
      </c>
      <c r="G248">
        <v>1141685</v>
      </c>
      <c r="H248" t="s">
        <v>76</v>
      </c>
      <c r="I248" t="s">
        <v>95</v>
      </c>
      <c r="J248" t="s">
        <v>99</v>
      </c>
      <c r="K248" t="s">
        <v>109</v>
      </c>
      <c r="L248" s="1">
        <v>46143</v>
      </c>
      <c r="M248" s="1">
        <v>46173</v>
      </c>
      <c r="N248">
        <v>58.582830999999999</v>
      </c>
      <c r="O248" t="s">
        <v>58</v>
      </c>
      <c r="P248" t="s">
        <v>63</v>
      </c>
      <c r="Q248" t="s">
        <v>877</v>
      </c>
      <c r="R248" t="s">
        <v>882</v>
      </c>
      <c r="S248" t="s">
        <v>67</v>
      </c>
      <c r="T248" t="s">
        <v>906</v>
      </c>
      <c r="U248" t="s">
        <v>1130</v>
      </c>
      <c r="V248">
        <v>16</v>
      </c>
      <c r="W248" s="2">
        <v>0</v>
      </c>
    </row>
    <row r="249" spans="1:23" x14ac:dyDescent="0.25">
      <c r="A249" t="s">
        <v>31</v>
      </c>
      <c r="B249" t="s">
        <v>32</v>
      </c>
      <c r="C249" t="s">
        <v>33</v>
      </c>
      <c r="D249" t="s">
        <v>34</v>
      </c>
      <c r="E249" t="s">
        <v>35</v>
      </c>
      <c r="F249" t="s">
        <v>36</v>
      </c>
      <c r="G249">
        <v>1141685</v>
      </c>
      <c r="H249" t="s">
        <v>76</v>
      </c>
      <c r="I249" t="s">
        <v>95</v>
      </c>
      <c r="J249" t="s">
        <v>99</v>
      </c>
      <c r="K249" t="s">
        <v>109</v>
      </c>
      <c r="L249" s="1">
        <v>46143</v>
      </c>
      <c r="M249" s="1">
        <v>46173</v>
      </c>
      <c r="N249">
        <v>6.6834870000000004</v>
      </c>
      <c r="O249" t="s">
        <v>58</v>
      </c>
      <c r="P249" t="s">
        <v>63</v>
      </c>
      <c r="Q249" t="s">
        <v>877</v>
      </c>
      <c r="R249" t="s">
        <v>882</v>
      </c>
      <c r="S249" t="s">
        <v>67</v>
      </c>
      <c r="T249" t="s">
        <v>906</v>
      </c>
      <c r="U249" t="s">
        <v>1130</v>
      </c>
      <c r="V249">
        <v>16</v>
      </c>
      <c r="W249" s="2">
        <v>0</v>
      </c>
    </row>
    <row r="250" spans="1:23" x14ac:dyDescent="0.25">
      <c r="A250" t="s">
        <v>31</v>
      </c>
      <c r="B250" t="s">
        <v>32</v>
      </c>
      <c r="C250" t="s">
        <v>33</v>
      </c>
      <c r="D250" t="s">
        <v>34</v>
      </c>
      <c r="E250" t="s">
        <v>35</v>
      </c>
      <c r="F250" t="s">
        <v>36</v>
      </c>
      <c r="G250">
        <v>1141685</v>
      </c>
      <c r="H250" t="s">
        <v>78</v>
      </c>
      <c r="I250" t="s">
        <v>96</v>
      </c>
      <c r="J250" t="s">
        <v>100</v>
      </c>
      <c r="K250" t="s">
        <v>112</v>
      </c>
      <c r="L250" s="1">
        <v>46143</v>
      </c>
      <c r="M250" s="1">
        <v>46173</v>
      </c>
      <c r="N250">
        <v>744</v>
      </c>
      <c r="O250" t="s">
        <v>58</v>
      </c>
      <c r="P250" t="s">
        <v>63</v>
      </c>
      <c r="Q250" t="s">
        <v>878</v>
      </c>
      <c r="R250" t="s">
        <v>899</v>
      </c>
      <c r="S250" t="s">
        <v>67</v>
      </c>
      <c r="T250" t="s">
        <v>1086</v>
      </c>
      <c r="U250" t="s">
        <v>1310</v>
      </c>
      <c r="V250">
        <v>13</v>
      </c>
      <c r="W250" s="2">
        <v>64899.115599999997</v>
      </c>
    </row>
    <row r="251" spans="1:23" x14ac:dyDescent="0.25">
      <c r="A251" t="s">
        <v>31</v>
      </c>
      <c r="B251" t="s">
        <v>32</v>
      </c>
      <c r="C251" t="s">
        <v>33</v>
      </c>
      <c r="D251" t="s">
        <v>34</v>
      </c>
      <c r="E251" t="s">
        <v>35</v>
      </c>
      <c r="F251" t="s">
        <v>36</v>
      </c>
      <c r="G251">
        <v>1141685</v>
      </c>
      <c r="H251" t="s">
        <v>91</v>
      </c>
      <c r="I251" t="s">
        <v>95</v>
      </c>
      <c r="J251" t="s">
        <v>106</v>
      </c>
      <c r="K251" t="s">
        <v>479</v>
      </c>
      <c r="L251" s="1">
        <v>46143</v>
      </c>
      <c r="M251" s="1">
        <v>46173</v>
      </c>
      <c r="N251">
        <v>2.6170200000000001</v>
      </c>
      <c r="O251" t="s">
        <v>58</v>
      </c>
      <c r="P251" t="s">
        <v>63</v>
      </c>
      <c r="Q251" t="s">
        <v>877</v>
      </c>
      <c r="R251" t="s">
        <v>882</v>
      </c>
      <c r="S251" t="s">
        <v>67</v>
      </c>
      <c r="T251" t="s">
        <v>1087</v>
      </c>
      <c r="U251" t="s">
        <v>1311</v>
      </c>
      <c r="V251">
        <v>16</v>
      </c>
      <c r="W251" s="2">
        <v>11414.1368024</v>
      </c>
    </row>
    <row r="252" spans="1:23" x14ac:dyDescent="0.25">
      <c r="A252" t="s">
        <v>31</v>
      </c>
      <c r="B252" t="s">
        <v>32</v>
      </c>
      <c r="C252" t="s">
        <v>33</v>
      </c>
      <c r="D252" t="s">
        <v>34</v>
      </c>
      <c r="E252" t="s">
        <v>35</v>
      </c>
      <c r="F252" t="s">
        <v>36</v>
      </c>
      <c r="G252">
        <v>1141685</v>
      </c>
      <c r="H252" t="s">
        <v>91</v>
      </c>
      <c r="I252" t="s">
        <v>95</v>
      </c>
      <c r="J252" t="s">
        <v>106</v>
      </c>
      <c r="K252" t="s">
        <v>479</v>
      </c>
      <c r="L252" s="1">
        <v>46143</v>
      </c>
      <c r="M252" s="1">
        <v>46173</v>
      </c>
      <c r="N252">
        <v>0.20000299999999999</v>
      </c>
      <c r="O252" t="s">
        <v>58</v>
      </c>
      <c r="P252" t="s">
        <v>63</v>
      </c>
      <c r="Q252" t="s">
        <v>877</v>
      </c>
      <c r="R252" t="s">
        <v>882</v>
      </c>
      <c r="S252" t="s">
        <v>67</v>
      </c>
      <c r="T252" t="s">
        <v>956</v>
      </c>
      <c r="U252" t="s">
        <v>1180</v>
      </c>
      <c r="V252">
        <v>16</v>
      </c>
      <c r="W252" s="2">
        <v>872.31551435999995</v>
      </c>
    </row>
    <row r="253" spans="1:23" x14ac:dyDescent="0.25">
      <c r="A253" t="s">
        <v>31</v>
      </c>
      <c r="B253" t="s">
        <v>32</v>
      </c>
      <c r="C253" t="s">
        <v>33</v>
      </c>
      <c r="D253" t="s">
        <v>34</v>
      </c>
      <c r="E253" t="s">
        <v>35</v>
      </c>
      <c r="F253" t="s">
        <v>36</v>
      </c>
      <c r="G253">
        <v>1141685</v>
      </c>
      <c r="H253" t="s">
        <v>82</v>
      </c>
      <c r="I253" t="s">
        <v>82</v>
      </c>
      <c r="J253" t="s">
        <v>82</v>
      </c>
      <c r="K253" t="s">
        <v>120</v>
      </c>
      <c r="L253" s="1">
        <v>46143</v>
      </c>
      <c r="M253" s="1">
        <v>46173</v>
      </c>
      <c r="N253">
        <v>1</v>
      </c>
      <c r="O253" t="s">
        <v>61</v>
      </c>
      <c r="P253" t="s">
        <v>63</v>
      </c>
      <c r="Q253" t="s">
        <v>879</v>
      </c>
      <c r="R253" t="s">
        <v>148</v>
      </c>
      <c r="S253" t="s">
        <v>68</v>
      </c>
      <c r="T253" t="s">
        <v>1088</v>
      </c>
      <c r="U253" t="s">
        <v>1312</v>
      </c>
      <c r="V253">
        <v>7</v>
      </c>
      <c r="W253" s="2">
        <v>2691.9341720419998</v>
      </c>
    </row>
    <row r="254" spans="1:23" x14ac:dyDescent="0.25">
      <c r="A254" t="s">
        <v>31</v>
      </c>
      <c r="B254" t="s">
        <v>32</v>
      </c>
      <c r="C254" t="s">
        <v>33</v>
      </c>
      <c r="D254" t="s">
        <v>34</v>
      </c>
      <c r="E254" t="s">
        <v>35</v>
      </c>
      <c r="F254" t="s">
        <v>36</v>
      </c>
      <c r="G254">
        <v>1141685</v>
      </c>
      <c r="H254" t="s">
        <v>80</v>
      </c>
      <c r="I254" t="s">
        <v>96</v>
      </c>
      <c r="J254" t="s">
        <v>80</v>
      </c>
      <c r="K254" t="s">
        <v>122</v>
      </c>
      <c r="L254" s="1">
        <v>46143</v>
      </c>
      <c r="M254" s="1">
        <v>46173</v>
      </c>
      <c r="N254">
        <v>0.2697881963</v>
      </c>
      <c r="O254" t="s">
        <v>56</v>
      </c>
      <c r="P254" t="s">
        <v>63</v>
      </c>
      <c r="Q254" t="s">
        <v>878</v>
      </c>
      <c r="R254" t="s">
        <v>881</v>
      </c>
      <c r="S254" t="s">
        <v>67</v>
      </c>
      <c r="T254" t="s">
        <v>1089</v>
      </c>
      <c r="U254" t="s">
        <v>1313</v>
      </c>
      <c r="V254">
        <v>16</v>
      </c>
      <c r="W254" s="2">
        <v>47.069178878599999</v>
      </c>
    </row>
    <row r="255" spans="1:23" x14ac:dyDescent="0.25">
      <c r="A255" t="s">
        <v>31</v>
      </c>
      <c r="B255" t="s">
        <v>32</v>
      </c>
      <c r="C255" t="s">
        <v>33</v>
      </c>
      <c r="D255" t="s">
        <v>34</v>
      </c>
      <c r="E255" t="s">
        <v>35</v>
      </c>
      <c r="F255" t="s">
        <v>36</v>
      </c>
      <c r="G255">
        <v>1141685</v>
      </c>
      <c r="H255" t="s">
        <v>80</v>
      </c>
      <c r="I255" t="s">
        <v>96</v>
      </c>
      <c r="J255" t="s">
        <v>80</v>
      </c>
      <c r="K255" t="s">
        <v>122</v>
      </c>
      <c r="L255" s="1">
        <v>46143</v>
      </c>
      <c r="M255" s="1">
        <v>46173</v>
      </c>
      <c r="N255">
        <v>1.2538694283</v>
      </c>
      <c r="O255" t="s">
        <v>56</v>
      </c>
      <c r="P255" t="s">
        <v>63</v>
      </c>
      <c r="Q255" t="s">
        <v>878</v>
      </c>
      <c r="R255" t="s">
        <v>882</v>
      </c>
      <c r="S255" t="s">
        <v>67</v>
      </c>
      <c r="T255" t="s">
        <v>1090</v>
      </c>
      <c r="U255" t="s">
        <v>1314</v>
      </c>
      <c r="V255">
        <v>16</v>
      </c>
      <c r="W255" s="2">
        <v>218.75005320400001</v>
      </c>
    </row>
    <row r="256" spans="1:23" x14ac:dyDescent="0.25">
      <c r="A256" t="s">
        <v>31</v>
      </c>
      <c r="B256" t="s">
        <v>32</v>
      </c>
      <c r="C256" t="s">
        <v>33</v>
      </c>
      <c r="D256" t="s">
        <v>34</v>
      </c>
      <c r="E256" t="s">
        <v>35</v>
      </c>
      <c r="F256" t="s">
        <v>36</v>
      </c>
      <c r="G256">
        <v>1141685</v>
      </c>
      <c r="H256" t="s">
        <v>80</v>
      </c>
      <c r="I256" t="s">
        <v>96</v>
      </c>
      <c r="J256" t="s">
        <v>80</v>
      </c>
      <c r="K256" t="s">
        <v>122</v>
      </c>
      <c r="L256" s="1">
        <v>46143</v>
      </c>
      <c r="M256" s="1">
        <v>46173</v>
      </c>
      <c r="N256">
        <v>1.4525800000000001E-5</v>
      </c>
      <c r="O256" t="s">
        <v>56</v>
      </c>
      <c r="P256" t="s">
        <v>63</v>
      </c>
      <c r="Q256" t="s">
        <v>878</v>
      </c>
      <c r="R256" t="s">
        <v>882</v>
      </c>
      <c r="S256" t="s">
        <v>67</v>
      </c>
      <c r="T256" t="s">
        <v>1091</v>
      </c>
      <c r="U256" t="s">
        <v>1315</v>
      </c>
      <c r="V256">
        <v>16</v>
      </c>
      <c r="W256" s="2">
        <v>2.2300763000000002E-3</v>
      </c>
    </row>
    <row r="257" spans="1:23" x14ac:dyDescent="0.25">
      <c r="A257" t="s">
        <v>31</v>
      </c>
      <c r="B257" t="s">
        <v>32</v>
      </c>
      <c r="C257" t="s">
        <v>33</v>
      </c>
      <c r="D257" t="s">
        <v>34</v>
      </c>
      <c r="E257" t="s">
        <v>35</v>
      </c>
      <c r="F257" t="s">
        <v>36</v>
      </c>
      <c r="G257">
        <v>1141685</v>
      </c>
      <c r="H257" t="s">
        <v>79</v>
      </c>
      <c r="I257" t="s">
        <v>94</v>
      </c>
      <c r="J257" t="s">
        <v>101</v>
      </c>
      <c r="K257" t="s">
        <v>116</v>
      </c>
      <c r="L257" s="1">
        <v>46143</v>
      </c>
      <c r="M257" s="1">
        <v>46173</v>
      </c>
      <c r="N257">
        <v>0.39067962769999998</v>
      </c>
      <c r="O257" t="s">
        <v>56</v>
      </c>
      <c r="P257" t="s">
        <v>63</v>
      </c>
      <c r="Q257" t="s">
        <v>878</v>
      </c>
      <c r="R257" t="s">
        <v>882</v>
      </c>
      <c r="S257" t="s">
        <v>67</v>
      </c>
      <c r="T257" t="s">
        <v>1092</v>
      </c>
      <c r="U257" t="s">
        <v>1316</v>
      </c>
      <c r="V257">
        <v>16</v>
      </c>
      <c r="W257" s="2">
        <v>545.2620936001</v>
      </c>
    </row>
    <row r="258" spans="1:23" x14ac:dyDescent="0.25">
      <c r="A258" t="s">
        <v>31</v>
      </c>
      <c r="B258" t="s">
        <v>32</v>
      </c>
      <c r="C258" t="s">
        <v>33</v>
      </c>
      <c r="D258" t="s">
        <v>34</v>
      </c>
      <c r="E258" t="s">
        <v>35</v>
      </c>
      <c r="F258" t="s">
        <v>36</v>
      </c>
      <c r="G258">
        <v>1141685</v>
      </c>
      <c r="H258" t="s">
        <v>79</v>
      </c>
      <c r="I258" t="s">
        <v>94</v>
      </c>
      <c r="J258" t="s">
        <v>101</v>
      </c>
      <c r="K258" t="s">
        <v>116</v>
      </c>
      <c r="L258" s="1">
        <v>46143</v>
      </c>
      <c r="M258" s="1">
        <v>46173</v>
      </c>
      <c r="N258">
        <v>1.0773499999999999E-5</v>
      </c>
      <c r="O258" t="s">
        <v>56</v>
      </c>
      <c r="P258" t="s">
        <v>63</v>
      </c>
      <c r="Q258" t="s">
        <v>878</v>
      </c>
      <c r="R258" t="s">
        <v>882</v>
      </c>
      <c r="S258" t="s">
        <v>67</v>
      </c>
      <c r="T258" t="s">
        <v>1093</v>
      </c>
      <c r="U258" t="s">
        <v>1317</v>
      </c>
      <c r="V258">
        <v>16</v>
      </c>
      <c r="W258" s="2">
        <v>1.32320439E-2</v>
      </c>
    </row>
    <row r="259" spans="1:23" x14ac:dyDescent="0.25">
      <c r="A259" t="s">
        <v>31</v>
      </c>
      <c r="B259" t="s">
        <v>32</v>
      </c>
      <c r="C259" t="s">
        <v>33</v>
      </c>
      <c r="D259" t="s">
        <v>34</v>
      </c>
      <c r="E259" t="s">
        <v>35</v>
      </c>
      <c r="F259" t="s">
        <v>36</v>
      </c>
      <c r="G259">
        <v>1141685</v>
      </c>
      <c r="H259" t="s">
        <v>79</v>
      </c>
      <c r="I259" t="s">
        <v>94</v>
      </c>
      <c r="J259" t="s">
        <v>101</v>
      </c>
      <c r="K259" t="s">
        <v>116</v>
      </c>
      <c r="L259" s="1">
        <v>46143</v>
      </c>
      <c r="M259" s="1">
        <v>46173</v>
      </c>
      <c r="N259">
        <v>1.2345029321000001</v>
      </c>
      <c r="O259" t="s">
        <v>56</v>
      </c>
      <c r="P259" t="s">
        <v>63</v>
      </c>
      <c r="Q259" t="s">
        <v>878</v>
      </c>
      <c r="R259" t="s">
        <v>882</v>
      </c>
      <c r="S259" t="s">
        <v>67</v>
      </c>
      <c r="T259" t="s">
        <v>1094</v>
      </c>
      <c r="U259" t="s">
        <v>1318</v>
      </c>
      <c r="V259">
        <v>16</v>
      </c>
      <c r="W259" s="2">
        <v>1722.9745259455001</v>
      </c>
    </row>
    <row r="260" spans="1:23" x14ac:dyDescent="0.25">
      <c r="A260" t="s">
        <v>31</v>
      </c>
      <c r="B260" t="s">
        <v>32</v>
      </c>
      <c r="C260" t="s">
        <v>33</v>
      </c>
      <c r="D260" t="s">
        <v>34</v>
      </c>
      <c r="E260" t="s">
        <v>35</v>
      </c>
      <c r="F260" t="s">
        <v>36</v>
      </c>
      <c r="G260">
        <v>1141685</v>
      </c>
      <c r="H260" t="s">
        <v>79</v>
      </c>
      <c r="I260" t="s">
        <v>94</v>
      </c>
      <c r="J260" t="s">
        <v>101</v>
      </c>
      <c r="K260" t="s">
        <v>114</v>
      </c>
      <c r="L260" s="1">
        <v>46143</v>
      </c>
      <c r="M260" s="1">
        <v>46173</v>
      </c>
      <c r="N260">
        <v>0.45086099299999999</v>
      </c>
      <c r="O260" t="s">
        <v>56</v>
      </c>
      <c r="P260" t="s">
        <v>63</v>
      </c>
      <c r="Q260" t="s">
        <v>878</v>
      </c>
      <c r="R260" t="s">
        <v>882</v>
      </c>
      <c r="S260" t="s">
        <v>67</v>
      </c>
      <c r="T260" t="s">
        <v>1095</v>
      </c>
      <c r="U260" t="s">
        <v>1319</v>
      </c>
      <c r="V260">
        <v>15</v>
      </c>
      <c r="W260" s="2">
        <v>629.25675023099996</v>
      </c>
    </row>
    <row r="261" spans="1:23" x14ac:dyDescent="0.25">
      <c r="A261" t="s">
        <v>31</v>
      </c>
      <c r="B261" t="s">
        <v>32</v>
      </c>
      <c r="C261" t="s">
        <v>33</v>
      </c>
      <c r="D261" t="s">
        <v>34</v>
      </c>
      <c r="E261" t="s">
        <v>35</v>
      </c>
      <c r="F261" t="s">
        <v>36</v>
      </c>
      <c r="G261">
        <v>1141685</v>
      </c>
      <c r="H261" t="s">
        <v>79</v>
      </c>
      <c r="I261" t="s">
        <v>94</v>
      </c>
      <c r="J261" t="s">
        <v>101</v>
      </c>
      <c r="K261" t="s">
        <v>114</v>
      </c>
      <c r="L261" s="1">
        <v>46143</v>
      </c>
      <c r="M261" s="1">
        <v>46173</v>
      </c>
      <c r="N261">
        <v>3.9180284225999999</v>
      </c>
      <c r="O261" t="s">
        <v>56</v>
      </c>
      <c r="P261" t="s">
        <v>63</v>
      </c>
      <c r="Q261" t="s">
        <v>878</v>
      </c>
      <c r="R261" t="s">
        <v>882</v>
      </c>
      <c r="S261" t="s">
        <v>67</v>
      </c>
      <c r="T261" t="s">
        <v>1096</v>
      </c>
      <c r="U261" t="s">
        <v>1320</v>
      </c>
      <c r="V261">
        <v>16</v>
      </c>
      <c r="W261" s="2">
        <v>5468.3162398294999</v>
      </c>
    </row>
    <row r="262" spans="1:23" x14ac:dyDescent="0.25">
      <c r="A262" t="s">
        <v>31</v>
      </c>
      <c r="B262" t="s">
        <v>32</v>
      </c>
      <c r="C262" t="s">
        <v>33</v>
      </c>
      <c r="D262" t="s">
        <v>34</v>
      </c>
      <c r="E262" t="s">
        <v>35</v>
      </c>
      <c r="F262" t="s">
        <v>36</v>
      </c>
      <c r="G262">
        <v>1141685</v>
      </c>
      <c r="H262" t="s">
        <v>76</v>
      </c>
      <c r="I262" t="s">
        <v>95</v>
      </c>
      <c r="J262" t="s">
        <v>99</v>
      </c>
      <c r="K262" t="s">
        <v>109</v>
      </c>
      <c r="L262" s="1">
        <v>46143</v>
      </c>
      <c r="M262" s="1">
        <v>46173</v>
      </c>
      <c r="N262">
        <v>133</v>
      </c>
      <c r="O262" t="s">
        <v>58</v>
      </c>
      <c r="P262" t="s">
        <v>63</v>
      </c>
      <c r="Q262" t="s">
        <v>877</v>
      </c>
      <c r="R262" t="s">
        <v>884</v>
      </c>
      <c r="S262" t="s">
        <v>67</v>
      </c>
      <c r="T262" t="s">
        <v>1085</v>
      </c>
      <c r="U262" t="s">
        <v>1309</v>
      </c>
      <c r="V262">
        <v>16</v>
      </c>
      <c r="W262" s="2">
        <v>0</v>
      </c>
    </row>
    <row r="263" spans="1:23" x14ac:dyDescent="0.25">
      <c r="A263" t="s">
        <v>31</v>
      </c>
      <c r="B263" t="s">
        <v>32</v>
      </c>
      <c r="C263" t="s">
        <v>33</v>
      </c>
      <c r="D263" t="s">
        <v>34</v>
      </c>
      <c r="E263" t="s">
        <v>35</v>
      </c>
      <c r="F263" t="s">
        <v>36</v>
      </c>
      <c r="G263">
        <v>1141685</v>
      </c>
      <c r="H263" t="s">
        <v>76</v>
      </c>
      <c r="I263" t="s">
        <v>95</v>
      </c>
      <c r="J263" t="s">
        <v>99</v>
      </c>
      <c r="K263" t="s">
        <v>109</v>
      </c>
      <c r="L263" s="1">
        <v>46143</v>
      </c>
      <c r="M263" s="1">
        <v>46173</v>
      </c>
      <c r="N263">
        <v>0.11652899999999999</v>
      </c>
      <c r="O263" t="s">
        <v>58</v>
      </c>
      <c r="P263" t="s">
        <v>63</v>
      </c>
      <c r="Q263" t="s">
        <v>877</v>
      </c>
      <c r="R263" t="s">
        <v>881</v>
      </c>
      <c r="S263" t="s">
        <v>67</v>
      </c>
      <c r="T263" t="s">
        <v>901</v>
      </c>
      <c r="U263" t="s">
        <v>1125</v>
      </c>
      <c r="V263">
        <v>15</v>
      </c>
      <c r="W263" s="2">
        <v>0</v>
      </c>
    </row>
    <row r="264" spans="1:23" x14ac:dyDescent="0.25">
      <c r="A264" t="s">
        <v>31</v>
      </c>
      <c r="B264" t="s">
        <v>32</v>
      </c>
      <c r="C264" t="s">
        <v>33</v>
      </c>
      <c r="D264" t="s">
        <v>34</v>
      </c>
      <c r="E264" t="s">
        <v>35</v>
      </c>
      <c r="F264" t="s">
        <v>36</v>
      </c>
      <c r="G264">
        <v>1141685</v>
      </c>
      <c r="H264" t="s">
        <v>76</v>
      </c>
      <c r="I264" t="s">
        <v>95</v>
      </c>
      <c r="J264" t="s">
        <v>99</v>
      </c>
      <c r="K264" t="s">
        <v>109</v>
      </c>
      <c r="L264" s="1">
        <v>46143</v>
      </c>
      <c r="M264" s="1">
        <v>46173</v>
      </c>
      <c r="N264">
        <v>115.99986800000001</v>
      </c>
      <c r="O264" t="s">
        <v>58</v>
      </c>
      <c r="P264" t="s">
        <v>63</v>
      </c>
      <c r="Q264" t="s">
        <v>877</v>
      </c>
      <c r="R264" t="s">
        <v>881</v>
      </c>
      <c r="S264" t="s">
        <v>67</v>
      </c>
      <c r="T264" t="s">
        <v>911</v>
      </c>
      <c r="U264" t="s">
        <v>1135</v>
      </c>
      <c r="V264">
        <v>16</v>
      </c>
      <c r="W264" s="2">
        <v>0</v>
      </c>
    </row>
    <row r="265" spans="1:23" x14ac:dyDescent="0.25">
      <c r="A265" t="s">
        <v>31</v>
      </c>
      <c r="B265" t="s">
        <v>32</v>
      </c>
      <c r="C265" t="s">
        <v>33</v>
      </c>
      <c r="D265" t="s">
        <v>34</v>
      </c>
      <c r="E265" t="s">
        <v>35</v>
      </c>
      <c r="F265" t="s">
        <v>36</v>
      </c>
      <c r="G265">
        <v>1141685</v>
      </c>
      <c r="H265" t="s">
        <v>76</v>
      </c>
      <c r="I265" t="s">
        <v>95</v>
      </c>
      <c r="J265" t="s">
        <v>99</v>
      </c>
      <c r="K265" t="s">
        <v>109</v>
      </c>
      <c r="L265" s="1">
        <v>46143</v>
      </c>
      <c r="M265" s="1">
        <v>46173</v>
      </c>
      <c r="N265">
        <v>168.06664799999999</v>
      </c>
      <c r="O265" t="s">
        <v>58</v>
      </c>
      <c r="P265" t="s">
        <v>63</v>
      </c>
      <c r="Q265" t="s">
        <v>877</v>
      </c>
      <c r="R265" t="s">
        <v>881</v>
      </c>
      <c r="S265" t="s">
        <v>67</v>
      </c>
      <c r="T265" t="s">
        <v>911</v>
      </c>
      <c r="U265" t="s">
        <v>1135</v>
      </c>
      <c r="V265">
        <v>16</v>
      </c>
      <c r="W265" s="2">
        <v>0</v>
      </c>
    </row>
    <row r="266" spans="1:23" x14ac:dyDescent="0.25">
      <c r="A266" t="s">
        <v>31</v>
      </c>
      <c r="B266" t="s">
        <v>32</v>
      </c>
      <c r="C266" t="s">
        <v>33</v>
      </c>
      <c r="D266" t="s">
        <v>34</v>
      </c>
      <c r="E266" t="s">
        <v>35</v>
      </c>
      <c r="F266" t="s">
        <v>36</v>
      </c>
      <c r="G266">
        <v>1141685</v>
      </c>
      <c r="H266" t="s">
        <v>76</v>
      </c>
      <c r="I266" t="s">
        <v>95</v>
      </c>
      <c r="J266" t="s">
        <v>99</v>
      </c>
      <c r="K266" t="s">
        <v>109</v>
      </c>
      <c r="L266" s="1">
        <v>46143</v>
      </c>
      <c r="M266" s="1">
        <v>46173</v>
      </c>
      <c r="N266">
        <v>0.95001800000000003</v>
      </c>
      <c r="O266" t="s">
        <v>58</v>
      </c>
      <c r="P266" t="s">
        <v>63</v>
      </c>
      <c r="Q266" t="s">
        <v>877</v>
      </c>
      <c r="R266" t="s">
        <v>882</v>
      </c>
      <c r="S266" t="s">
        <v>67</v>
      </c>
      <c r="T266" t="s">
        <v>906</v>
      </c>
      <c r="U266" t="s">
        <v>1130</v>
      </c>
      <c r="V266">
        <v>16</v>
      </c>
      <c r="W266" s="2">
        <v>0</v>
      </c>
    </row>
    <row r="267" spans="1:23" x14ac:dyDescent="0.25">
      <c r="A267" t="s">
        <v>31</v>
      </c>
      <c r="B267" t="s">
        <v>32</v>
      </c>
      <c r="C267" t="s">
        <v>33</v>
      </c>
      <c r="D267" t="s">
        <v>34</v>
      </c>
      <c r="E267" t="s">
        <v>35</v>
      </c>
      <c r="F267" t="s">
        <v>36</v>
      </c>
      <c r="G267">
        <v>1141685</v>
      </c>
      <c r="H267" t="s">
        <v>76</v>
      </c>
      <c r="I267" t="s">
        <v>95</v>
      </c>
      <c r="J267" t="s">
        <v>99</v>
      </c>
      <c r="K267" t="s">
        <v>109</v>
      </c>
      <c r="L267" s="1">
        <v>46143</v>
      </c>
      <c r="M267" s="1">
        <v>46173</v>
      </c>
      <c r="N267">
        <v>23.199867999999999</v>
      </c>
      <c r="O267" t="s">
        <v>58</v>
      </c>
      <c r="P267" t="s">
        <v>63</v>
      </c>
      <c r="Q267" t="s">
        <v>877</v>
      </c>
      <c r="R267" t="s">
        <v>882</v>
      </c>
      <c r="S267" t="s">
        <v>67</v>
      </c>
      <c r="T267" t="s">
        <v>906</v>
      </c>
      <c r="U267" t="s">
        <v>1130</v>
      </c>
      <c r="V267">
        <v>16</v>
      </c>
      <c r="W267" s="2">
        <v>0</v>
      </c>
    </row>
    <row r="268" spans="1:23" x14ac:dyDescent="0.25">
      <c r="A268" t="s">
        <v>31</v>
      </c>
      <c r="B268" t="s">
        <v>32</v>
      </c>
      <c r="C268" t="s">
        <v>33</v>
      </c>
      <c r="D268" t="s">
        <v>34</v>
      </c>
      <c r="E268" t="s">
        <v>35</v>
      </c>
      <c r="F268" t="s">
        <v>36</v>
      </c>
      <c r="G268">
        <v>1141685</v>
      </c>
      <c r="H268" t="s">
        <v>76</v>
      </c>
      <c r="I268" t="s">
        <v>95</v>
      </c>
      <c r="J268" t="s">
        <v>99</v>
      </c>
      <c r="K268" t="s">
        <v>109</v>
      </c>
      <c r="L268" s="1">
        <v>46143</v>
      </c>
      <c r="M268" s="1">
        <v>46173</v>
      </c>
      <c r="N268">
        <v>0.38334000000000001</v>
      </c>
      <c r="O268" t="s">
        <v>58</v>
      </c>
      <c r="P268" t="s">
        <v>63</v>
      </c>
      <c r="Q268" t="s">
        <v>877</v>
      </c>
      <c r="R268" t="s">
        <v>882</v>
      </c>
      <c r="S268" t="s">
        <v>67</v>
      </c>
      <c r="T268" t="s">
        <v>906</v>
      </c>
      <c r="U268" t="s">
        <v>1130</v>
      </c>
      <c r="V268">
        <v>16</v>
      </c>
      <c r="W268" s="2">
        <v>0</v>
      </c>
    </row>
    <row r="269" spans="1:23" x14ac:dyDescent="0.25">
      <c r="A269" t="s">
        <v>31</v>
      </c>
      <c r="B269" t="s">
        <v>32</v>
      </c>
      <c r="C269" t="s">
        <v>33</v>
      </c>
      <c r="D269" t="s">
        <v>34</v>
      </c>
      <c r="E269" t="s">
        <v>35</v>
      </c>
      <c r="F269" t="s">
        <v>36</v>
      </c>
      <c r="G269">
        <v>1141685</v>
      </c>
      <c r="H269" t="s">
        <v>76</v>
      </c>
      <c r="I269" t="s">
        <v>95</v>
      </c>
      <c r="J269" t="s">
        <v>99</v>
      </c>
      <c r="K269" t="s">
        <v>109</v>
      </c>
      <c r="L269" s="1">
        <v>46143</v>
      </c>
      <c r="M269" s="1">
        <v>46173</v>
      </c>
      <c r="N269">
        <v>1.6667000000000001E-2</v>
      </c>
      <c r="O269" t="s">
        <v>58</v>
      </c>
      <c r="P269" t="s">
        <v>63</v>
      </c>
      <c r="Q269" t="s">
        <v>877</v>
      </c>
      <c r="R269" t="s">
        <v>882</v>
      </c>
      <c r="S269" t="s">
        <v>67</v>
      </c>
      <c r="T269" t="s">
        <v>906</v>
      </c>
      <c r="U269" t="s">
        <v>1130</v>
      </c>
      <c r="V269">
        <v>16</v>
      </c>
      <c r="W269" s="2">
        <v>0</v>
      </c>
    </row>
    <row r="270" spans="1:23" x14ac:dyDescent="0.25">
      <c r="A270" t="s">
        <v>31</v>
      </c>
      <c r="B270" t="s">
        <v>32</v>
      </c>
      <c r="C270" t="s">
        <v>33</v>
      </c>
      <c r="D270" t="s">
        <v>34</v>
      </c>
      <c r="E270" t="s">
        <v>35</v>
      </c>
      <c r="F270" t="s">
        <v>36</v>
      </c>
      <c r="G270">
        <v>1141685</v>
      </c>
      <c r="H270" t="s">
        <v>76</v>
      </c>
      <c r="I270" t="s">
        <v>95</v>
      </c>
      <c r="J270" t="s">
        <v>99</v>
      </c>
      <c r="K270" t="s">
        <v>109</v>
      </c>
      <c r="L270" s="1">
        <v>46143</v>
      </c>
      <c r="M270" s="1">
        <v>46173</v>
      </c>
      <c r="N270">
        <v>0.20000299999999999</v>
      </c>
      <c r="O270" t="s">
        <v>58</v>
      </c>
      <c r="P270" t="s">
        <v>63</v>
      </c>
      <c r="Q270" t="s">
        <v>877</v>
      </c>
      <c r="R270" t="s">
        <v>882</v>
      </c>
      <c r="S270" t="s">
        <v>67</v>
      </c>
      <c r="T270" t="s">
        <v>906</v>
      </c>
      <c r="U270" t="s">
        <v>1130</v>
      </c>
      <c r="V270">
        <v>16</v>
      </c>
      <c r="W270" s="2">
        <v>0</v>
      </c>
    </row>
    <row r="271" spans="1:23" x14ac:dyDescent="0.25">
      <c r="A271" t="s">
        <v>31</v>
      </c>
      <c r="B271" t="s">
        <v>32</v>
      </c>
      <c r="C271" t="s">
        <v>33</v>
      </c>
      <c r="D271" t="s">
        <v>34</v>
      </c>
      <c r="E271" t="s">
        <v>35</v>
      </c>
      <c r="F271" t="s">
        <v>36</v>
      </c>
      <c r="G271">
        <v>1141685</v>
      </c>
      <c r="H271" t="s">
        <v>76</v>
      </c>
      <c r="I271" t="s">
        <v>95</v>
      </c>
      <c r="J271" t="s">
        <v>99</v>
      </c>
      <c r="K271" t="s">
        <v>109</v>
      </c>
      <c r="L271" s="1">
        <v>46143</v>
      </c>
      <c r="M271" s="1">
        <v>46173</v>
      </c>
      <c r="N271">
        <v>6.6668000000000005E-2</v>
      </c>
      <c r="O271" t="s">
        <v>58</v>
      </c>
      <c r="P271" t="s">
        <v>63</v>
      </c>
      <c r="Q271" t="s">
        <v>877</v>
      </c>
      <c r="R271" t="s">
        <v>882</v>
      </c>
      <c r="S271" t="s">
        <v>67</v>
      </c>
      <c r="T271" t="s">
        <v>906</v>
      </c>
      <c r="U271" t="s">
        <v>1130</v>
      </c>
      <c r="V271">
        <v>16</v>
      </c>
      <c r="W271" s="2">
        <v>0</v>
      </c>
    </row>
    <row r="272" spans="1:23" x14ac:dyDescent="0.25">
      <c r="A272" t="s">
        <v>31</v>
      </c>
      <c r="B272" t="s">
        <v>32</v>
      </c>
      <c r="C272" t="s">
        <v>33</v>
      </c>
      <c r="D272" t="s">
        <v>34</v>
      </c>
      <c r="E272" t="s">
        <v>35</v>
      </c>
      <c r="F272" t="s">
        <v>36</v>
      </c>
      <c r="G272">
        <v>1141685</v>
      </c>
      <c r="H272" t="s">
        <v>76</v>
      </c>
      <c r="I272" t="s">
        <v>95</v>
      </c>
      <c r="J272" t="s">
        <v>99</v>
      </c>
      <c r="K272" t="s">
        <v>109</v>
      </c>
      <c r="L272" s="1">
        <v>46143</v>
      </c>
      <c r="M272" s="1">
        <v>46173</v>
      </c>
      <c r="N272">
        <v>0.30000500000000002</v>
      </c>
      <c r="O272" t="s">
        <v>58</v>
      </c>
      <c r="P272" t="s">
        <v>63</v>
      </c>
      <c r="Q272" t="s">
        <v>877</v>
      </c>
      <c r="R272" t="s">
        <v>882</v>
      </c>
      <c r="S272" t="s">
        <v>67</v>
      </c>
      <c r="T272" t="s">
        <v>906</v>
      </c>
      <c r="U272" t="s">
        <v>1130</v>
      </c>
      <c r="V272">
        <v>16</v>
      </c>
      <c r="W272" s="2">
        <v>0</v>
      </c>
    </row>
    <row r="273" spans="1:23" x14ac:dyDescent="0.25">
      <c r="A273" t="s">
        <v>31</v>
      </c>
      <c r="B273" t="s">
        <v>32</v>
      </c>
      <c r="C273" t="s">
        <v>33</v>
      </c>
      <c r="D273" t="s">
        <v>34</v>
      </c>
      <c r="E273" t="s">
        <v>35</v>
      </c>
      <c r="F273" t="s">
        <v>36</v>
      </c>
      <c r="G273">
        <v>1141685</v>
      </c>
      <c r="H273" t="s">
        <v>77</v>
      </c>
      <c r="I273" t="s">
        <v>96</v>
      </c>
      <c r="J273" t="s">
        <v>77</v>
      </c>
      <c r="K273" t="s">
        <v>110</v>
      </c>
      <c r="L273" s="1">
        <v>46143</v>
      </c>
      <c r="M273" s="1">
        <v>46173</v>
      </c>
      <c r="N273">
        <v>744</v>
      </c>
      <c r="O273" t="s">
        <v>58</v>
      </c>
      <c r="P273" t="s">
        <v>63</v>
      </c>
      <c r="Q273" t="s">
        <v>879</v>
      </c>
      <c r="R273" t="s">
        <v>900</v>
      </c>
      <c r="S273" t="s">
        <v>67</v>
      </c>
      <c r="T273" t="s">
        <v>1097</v>
      </c>
      <c r="U273" t="s">
        <v>1321</v>
      </c>
      <c r="V273">
        <v>7</v>
      </c>
      <c r="W273" s="2">
        <v>129798.2412</v>
      </c>
    </row>
    <row r="274" spans="1:23" x14ac:dyDescent="0.25">
      <c r="A274" t="s">
        <v>31</v>
      </c>
      <c r="B274" t="s">
        <v>32</v>
      </c>
      <c r="C274" t="s">
        <v>33</v>
      </c>
      <c r="D274" t="s">
        <v>34</v>
      </c>
      <c r="E274" t="s">
        <v>35</v>
      </c>
      <c r="F274" t="s">
        <v>36</v>
      </c>
      <c r="G274">
        <v>1141685</v>
      </c>
      <c r="H274" t="s">
        <v>77</v>
      </c>
      <c r="I274" t="s">
        <v>96</v>
      </c>
      <c r="J274" t="s">
        <v>77</v>
      </c>
      <c r="K274" t="s">
        <v>113</v>
      </c>
      <c r="L274" s="1">
        <v>46143</v>
      </c>
      <c r="M274" s="1">
        <v>46173</v>
      </c>
      <c r="N274">
        <v>0.1476377686</v>
      </c>
      <c r="O274" t="s">
        <v>56</v>
      </c>
      <c r="P274" t="s">
        <v>63</v>
      </c>
      <c r="Q274" t="s">
        <v>878</v>
      </c>
      <c r="R274" t="s">
        <v>882</v>
      </c>
      <c r="S274" t="s">
        <v>67</v>
      </c>
      <c r="T274" t="s">
        <v>1098</v>
      </c>
      <c r="U274" t="s">
        <v>1322</v>
      </c>
      <c r="V274">
        <v>16</v>
      </c>
      <c r="W274" s="2">
        <v>25.7560589042</v>
      </c>
    </row>
    <row r="275" spans="1:23" x14ac:dyDescent="0.25">
      <c r="A275" t="s">
        <v>31</v>
      </c>
      <c r="B275" t="s">
        <v>32</v>
      </c>
      <c r="C275" t="s">
        <v>33</v>
      </c>
      <c r="D275" t="s">
        <v>34</v>
      </c>
      <c r="E275" t="s">
        <v>35</v>
      </c>
      <c r="F275" t="s">
        <v>36</v>
      </c>
      <c r="G275">
        <v>1141685</v>
      </c>
      <c r="H275" t="s">
        <v>77</v>
      </c>
      <c r="I275" t="s">
        <v>96</v>
      </c>
      <c r="J275" t="s">
        <v>77</v>
      </c>
      <c r="K275" t="s">
        <v>113</v>
      </c>
      <c r="L275" s="1">
        <v>46143</v>
      </c>
      <c r="M275" s="1">
        <v>46173</v>
      </c>
      <c r="N275">
        <v>1.1733894274000001</v>
      </c>
      <c r="O275" t="s">
        <v>56</v>
      </c>
      <c r="P275" t="s">
        <v>63</v>
      </c>
      <c r="Q275" t="s">
        <v>878</v>
      </c>
      <c r="R275" t="s">
        <v>882</v>
      </c>
      <c r="S275" t="s">
        <v>67</v>
      </c>
      <c r="T275" t="s">
        <v>1099</v>
      </c>
      <c r="U275" t="s">
        <v>1323</v>
      </c>
      <c r="V275">
        <v>16</v>
      </c>
      <c r="W275" s="2">
        <v>204.71437715819999</v>
      </c>
    </row>
    <row r="276" spans="1:23" x14ac:dyDescent="0.25">
      <c r="A276" t="s">
        <v>31</v>
      </c>
      <c r="B276" t="s">
        <v>32</v>
      </c>
      <c r="C276" t="s">
        <v>33</v>
      </c>
      <c r="D276" t="s">
        <v>34</v>
      </c>
      <c r="E276" t="s">
        <v>35</v>
      </c>
      <c r="F276" t="s">
        <v>36</v>
      </c>
      <c r="G276">
        <v>1141685</v>
      </c>
      <c r="H276" t="s">
        <v>77</v>
      </c>
      <c r="I276" t="s">
        <v>96</v>
      </c>
      <c r="J276" t="s">
        <v>77</v>
      </c>
      <c r="K276" t="s">
        <v>113</v>
      </c>
      <c r="L276" s="1">
        <v>46143</v>
      </c>
      <c r="M276" s="1">
        <v>46173</v>
      </c>
      <c r="N276">
        <v>2.7737893199999999E-2</v>
      </c>
      <c r="O276" t="s">
        <v>56</v>
      </c>
      <c r="P276" t="s">
        <v>63</v>
      </c>
      <c r="Q276" t="s">
        <v>878</v>
      </c>
      <c r="R276" t="s">
        <v>882</v>
      </c>
      <c r="S276" t="s">
        <v>67</v>
      </c>
      <c r="T276" t="s">
        <v>1100</v>
      </c>
      <c r="U276" t="s">
        <v>1324</v>
      </c>
      <c r="V276">
        <v>16</v>
      </c>
      <c r="W276" s="2">
        <v>4.8384545004000001</v>
      </c>
    </row>
    <row r="277" spans="1:23" x14ac:dyDescent="0.25">
      <c r="A277" t="s">
        <v>31</v>
      </c>
      <c r="B277" t="s">
        <v>32</v>
      </c>
      <c r="C277" t="s">
        <v>33</v>
      </c>
      <c r="D277" t="s">
        <v>34</v>
      </c>
      <c r="E277" t="s">
        <v>35</v>
      </c>
      <c r="F277" t="s">
        <v>36</v>
      </c>
      <c r="G277">
        <v>1141685</v>
      </c>
      <c r="H277" t="s">
        <v>77</v>
      </c>
      <c r="I277" t="s">
        <v>96</v>
      </c>
      <c r="J277" t="s">
        <v>77</v>
      </c>
      <c r="K277" t="s">
        <v>111</v>
      </c>
      <c r="L277" s="1">
        <v>46143</v>
      </c>
      <c r="M277" s="1">
        <v>46173</v>
      </c>
      <c r="N277">
        <v>0.1743203737</v>
      </c>
      <c r="O277" t="s">
        <v>56</v>
      </c>
      <c r="P277" t="s">
        <v>63</v>
      </c>
      <c r="Q277" t="s">
        <v>878</v>
      </c>
      <c r="R277" t="s">
        <v>881</v>
      </c>
      <c r="S277" t="s">
        <v>67</v>
      </c>
      <c r="T277" t="s">
        <v>1101</v>
      </c>
      <c r="U277" t="s">
        <v>1325</v>
      </c>
      <c r="V277">
        <v>15</v>
      </c>
      <c r="W277" s="2">
        <v>30.412500505299999</v>
      </c>
    </row>
    <row r="278" spans="1:23" x14ac:dyDescent="0.25">
      <c r="A278" t="s">
        <v>31</v>
      </c>
      <c r="B278" t="s">
        <v>32</v>
      </c>
      <c r="C278" t="s">
        <v>33</v>
      </c>
      <c r="D278" t="s">
        <v>34</v>
      </c>
      <c r="E278" t="s">
        <v>35</v>
      </c>
      <c r="F278" t="s">
        <v>36</v>
      </c>
      <c r="G278">
        <v>1141685</v>
      </c>
      <c r="H278" t="s">
        <v>77</v>
      </c>
      <c r="I278" t="s">
        <v>96</v>
      </c>
      <c r="J278" t="s">
        <v>77</v>
      </c>
      <c r="K278" t="s">
        <v>113</v>
      </c>
      <c r="L278" s="1">
        <v>46143</v>
      </c>
      <c r="M278" s="1">
        <v>46173</v>
      </c>
      <c r="N278">
        <v>232.0837293081</v>
      </c>
      <c r="O278" t="s">
        <v>56</v>
      </c>
      <c r="P278" t="s">
        <v>63</v>
      </c>
      <c r="Q278" t="s">
        <v>878</v>
      </c>
      <c r="R278" t="s">
        <v>882</v>
      </c>
      <c r="S278" t="s">
        <v>67</v>
      </c>
      <c r="T278" t="s">
        <v>1102</v>
      </c>
      <c r="U278" t="s">
        <v>1326</v>
      </c>
      <c r="V278">
        <v>16</v>
      </c>
      <c r="W278" s="2">
        <v>40489.328125280001</v>
      </c>
    </row>
    <row r="279" spans="1:23" x14ac:dyDescent="0.25">
      <c r="A279" t="s">
        <v>31</v>
      </c>
      <c r="B279" t="s">
        <v>32</v>
      </c>
      <c r="C279" t="s">
        <v>33</v>
      </c>
      <c r="D279" t="s">
        <v>34</v>
      </c>
      <c r="E279" t="s">
        <v>35</v>
      </c>
      <c r="F279" t="s">
        <v>36</v>
      </c>
      <c r="G279">
        <v>1141685</v>
      </c>
      <c r="H279" t="s">
        <v>79</v>
      </c>
      <c r="I279" t="s">
        <v>94</v>
      </c>
      <c r="J279" t="s">
        <v>101</v>
      </c>
      <c r="K279" t="s">
        <v>114</v>
      </c>
      <c r="L279" s="1">
        <v>46143</v>
      </c>
      <c r="M279" s="1">
        <v>46173</v>
      </c>
      <c r="N279">
        <v>1.3928013E-3</v>
      </c>
      <c r="O279" t="s">
        <v>56</v>
      </c>
      <c r="P279" t="s">
        <v>63</v>
      </c>
      <c r="Q279" t="s">
        <v>878</v>
      </c>
      <c r="R279" t="s">
        <v>882</v>
      </c>
      <c r="S279" t="s">
        <v>67</v>
      </c>
      <c r="T279" t="s">
        <v>1103</v>
      </c>
      <c r="U279" t="s">
        <v>1327</v>
      </c>
      <c r="V279">
        <v>16</v>
      </c>
      <c r="W279" s="2">
        <v>1.9406363186</v>
      </c>
    </row>
    <row r="280" spans="1:23" x14ac:dyDescent="0.25">
      <c r="A280" t="s">
        <v>31</v>
      </c>
      <c r="B280" t="s">
        <v>32</v>
      </c>
      <c r="C280" t="s">
        <v>33</v>
      </c>
      <c r="D280" t="s">
        <v>34</v>
      </c>
      <c r="E280" t="s">
        <v>35</v>
      </c>
      <c r="F280" t="s">
        <v>36</v>
      </c>
      <c r="G280">
        <v>1141685</v>
      </c>
      <c r="H280" t="s">
        <v>79</v>
      </c>
      <c r="I280" t="s">
        <v>94</v>
      </c>
      <c r="J280" t="s">
        <v>101</v>
      </c>
      <c r="K280" t="s">
        <v>114</v>
      </c>
      <c r="L280" s="1">
        <v>46143</v>
      </c>
      <c r="M280" s="1">
        <v>46173</v>
      </c>
      <c r="N280">
        <v>2.2350000000000001E-7</v>
      </c>
      <c r="O280" t="s">
        <v>56</v>
      </c>
      <c r="P280" t="s">
        <v>63</v>
      </c>
      <c r="Q280" t="s">
        <v>878</v>
      </c>
      <c r="R280" t="s">
        <v>882</v>
      </c>
      <c r="S280" t="s">
        <v>67</v>
      </c>
      <c r="T280" t="s">
        <v>1014</v>
      </c>
      <c r="U280" t="s">
        <v>1238</v>
      </c>
      <c r="V280">
        <v>16</v>
      </c>
      <c r="W280" s="2">
        <v>2.7452370000000001E-4</v>
      </c>
    </row>
    <row r="281" spans="1:23" x14ac:dyDescent="0.25">
      <c r="A281" t="s">
        <v>31</v>
      </c>
      <c r="B281" t="s">
        <v>32</v>
      </c>
      <c r="C281" t="s">
        <v>33</v>
      </c>
      <c r="D281" t="s">
        <v>34</v>
      </c>
      <c r="E281" t="s">
        <v>35</v>
      </c>
      <c r="F281" t="s">
        <v>36</v>
      </c>
      <c r="G281">
        <v>1141685</v>
      </c>
      <c r="H281" t="s">
        <v>77</v>
      </c>
      <c r="I281" t="s">
        <v>96</v>
      </c>
      <c r="J281" t="s">
        <v>77</v>
      </c>
      <c r="K281" t="s">
        <v>111</v>
      </c>
      <c r="L281" s="1">
        <v>46143</v>
      </c>
      <c r="M281" s="1">
        <v>46173</v>
      </c>
      <c r="N281">
        <v>1.6474440000000001E-4</v>
      </c>
      <c r="O281" t="s">
        <v>56</v>
      </c>
      <c r="P281" t="s">
        <v>63</v>
      </c>
      <c r="Q281" t="s">
        <v>878</v>
      </c>
      <c r="R281" t="s">
        <v>882</v>
      </c>
      <c r="S281" t="s">
        <v>67</v>
      </c>
      <c r="T281" t="s">
        <v>1104</v>
      </c>
      <c r="U281" t="s">
        <v>1328</v>
      </c>
      <c r="V281">
        <v>16</v>
      </c>
      <c r="W281" s="2">
        <v>2.52923577E-2</v>
      </c>
    </row>
    <row r="282" spans="1:23" x14ac:dyDescent="0.25">
      <c r="A282" t="s">
        <v>31</v>
      </c>
      <c r="B282" t="s">
        <v>32</v>
      </c>
      <c r="C282" t="s">
        <v>33</v>
      </c>
      <c r="D282" t="s">
        <v>34</v>
      </c>
      <c r="E282" t="s">
        <v>35</v>
      </c>
      <c r="F282" t="s">
        <v>36</v>
      </c>
      <c r="G282">
        <v>1141685</v>
      </c>
      <c r="H282" t="s">
        <v>77</v>
      </c>
      <c r="I282" t="s">
        <v>96</v>
      </c>
      <c r="J282" t="s">
        <v>77</v>
      </c>
      <c r="K282" t="s">
        <v>111</v>
      </c>
      <c r="L282" s="1">
        <v>46143</v>
      </c>
      <c r="M282" s="1">
        <v>46173</v>
      </c>
      <c r="N282">
        <v>14.3333282117</v>
      </c>
      <c r="O282" t="s">
        <v>56</v>
      </c>
      <c r="P282" t="s">
        <v>63</v>
      </c>
      <c r="Q282" t="s">
        <v>878</v>
      </c>
      <c r="R282" t="s">
        <v>881</v>
      </c>
      <c r="S282" t="s">
        <v>67</v>
      </c>
      <c r="T282" t="s">
        <v>1105</v>
      </c>
      <c r="U282" t="s">
        <v>1329</v>
      </c>
      <c r="V282">
        <v>16</v>
      </c>
      <c r="W282" s="2">
        <v>2500.5913470297</v>
      </c>
    </row>
    <row r="283" spans="1:23" x14ac:dyDescent="0.25">
      <c r="A283" t="s">
        <v>31</v>
      </c>
      <c r="B283" t="s">
        <v>32</v>
      </c>
      <c r="C283" t="s">
        <v>33</v>
      </c>
      <c r="D283" t="s">
        <v>34</v>
      </c>
      <c r="E283" t="s">
        <v>35</v>
      </c>
      <c r="F283" t="s">
        <v>36</v>
      </c>
      <c r="G283">
        <v>1141685</v>
      </c>
      <c r="H283" t="s">
        <v>77</v>
      </c>
      <c r="I283" t="s">
        <v>96</v>
      </c>
      <c r="J283" t="s">
        <v>77</v>
      </c>
      <c r="K283" t="s">
        <v>111</v>
      </c>
      <c r="L283" s="1">
        <v>46143</v>
      </c>
      <c r="M283" s="1">
        <v>46173</v>
      </c>
      <c r="N283">
        <v>38.7813890511</v>
      </c>
      <c r="O283" t="s">
        <v>56</v>
      </c>
      <c r="P283" t="s">
        <v>63</v>
      </c>
      <c r="Q283" t="s">
        <v>878</v>
      </c>
      <c r="R283" t="s">
        <v>882</v>
      </c>
      <c r="S283" t="s">
        <v>67</v>
      </c>
      <c r="T283" t="s">
        <v>1106</v>
      </c>
      <c r="U283" t="s">
        <v>1330</v>
      </c>
      <c r="V283">
        <v>16</v>
      </c>
      <c r="W283" s="2">
        <v>6765.8049977948986</v>
      </c>
    </row>
    <row r="284" spans="1:23" x14ac:dyDescent="0.25">
      <c r="A284" t="s">
        <v>31</v>
      </c>
      <c r="B284" t="s">
        <v>32</v>
      </c>
      <c r="C284" t="s">
        <v>33</v>
      </c>
      <c r="D284" t="s">
        <v>34</v>
      </c>
      <c r="E284" t="s">
        <v>35</v>
      </c>
      <c r="F284" t="s">
        <v>36</v>
      </c>
      <c r="G284">
        <v>1141685</v>
      </c>
      <c r="H284" t="s">
        <v>77</v>
      </c>
      <c r="I284" t="s">
        <v>96</v>
      </c>
      <c r="J284" t="s">
        <v>77</v>
      </c>
      <c r="K284" t="s">
        <v>111</v>
      </c>
      <c r="L284" s="1">
        <v>46143</v>
      </c>
      <c r="M284" s="1">
        <v>46173</v>
      </c>
      <c r="N284">
        <v>19.799778431699998</v>
      </c>
      <c r="O284" t="s">
        <v>56</v>
      </c>
      <c r="P284" t="s">
        <v>63</v>
      </c>
      <c r="Q284" t="s">
        <v>878</v>
      </c>
      <c r="R284" t="s">
        <v>882</v>
      </c>
      <c r="S284" t="s">
        <v>67</v>
      </c>
      <c r="T284" t="s">
        <v>1107</v>
      </c>
      <c r="U284" t="s">
        <v>1331</v>
      </c>
      <c r="V284">
        <v>16</v>
      </c>
      <c r="W284" s="2">
        <v>3454.267023764</v>
      </c>
    </row>
    <row r="285" spans="1:23" x14ac:dyDescent="0.25">
      <c r="A285" t="s">
        <v>31</v>
      </c>
      <c r="B285" t="s">
        <v>32</v>
      </c>
      <c r="C285" t="s">
        <v>33</v>
      </c>
      <c r="D285" t="s">
        <v>34</v>
      </c>
      <c r="E285" t="s">
        <v>35</v>
      </c>
      <c r="F285" t="s">
        <v>36</v>
      </c>
      <c r="G285">
        <v>1141685</v>
      </c>
      <c r="H285" t="s">
        <v>77</v>
      </c>
      <c r="I285" t="s">
        <v>96</v>
      </c>
      <c r="J285" t="s">
        <v>77</v>
      </c>
      <c r="K285" t="s">
        <v>111</v>
      </c>
      <c r="L285" s="1">
        <v>46143</v>
      </c>
      <c r="M285" s="1">
        <v>46173</v>
      </c>
      <c r="N285">
        <v>59.737842509499998</v>
      </c>
      <c r="O285" t="s">
        <v>56</v>
      </c>
      <c r="P285" t="s">
        <v>63</v>
      </c>
      <c r="Q285" t="s">
        <v>878</v>
      </c>
      <c r="R285" t="s">
        <v>882</v>
      </c>
      <c r="S285" t="s">
        <v>67</v>
      </c>
      <c r="T285" t="s">
        <v>1108</v>
      </c>
      <c r="U285" t="s">
        <v>1332</v>
      </c>
      <c r="V285">
        <v>16</v>
      </c>
      <c r="W285" s="2">
        <v>10421.860323706</v>
      </c>
    </row>
    <row r="286" spans="1:23" x14ac:dyDescent="0.25">
      <c r="A286" t="s">
        <v>31</v>
      </c>
      <c r="B286" t="s">
        <v>32</v>
      </c>
      <c r="C286" t="s">
        <v>33</v>
      </c>
      <c r="D286" t="s">
        <v>34</v>
      </c>
      <c r="E286" t="s">
        <v>35</v>
      </c>
      <c r="F286" t="s">
        <v>36</v>
      </c>
      <c r="G286">
        <v>1141685</v>
      </c>
      <c r="H286" t="s">
        <v>79</v>
      </c>
      <c r="I286" t="s">
        <v>94</v>
      </c>
      <c r="J286" t="s">
        <v>101</v>
      </c>
      <c r="K286" t="s">
        <v>114</v>
      </c>
      <c r="L286" s="1">
        <v>46143</v>
      </c>
      <c r="M286" s="1">
        <v>46173</v>
      </c>
      <c r="N286">
        <v>2.7613619999999997E-4</v>
      </c>
      <c r="O286" t="s">
        <v>56</v>
      </c>
      <c r="P286" t="s">
        <v>63</v>
      </c>
      <c r="Q286" t="s">
        <v>878</v>
      </c>
      <c r="R286" t="s">
        <v>882</v>
      </c>
      <c r="S286" t="s">
        <v>67</v>
      </c>
      <c r="T286" t="s">
        <v>1109</v>
      </c>
      <c r="U286" t="s">
        <v>1333</v>
      </c>
      <c r="V286">
        <v>16</v>
      </c>
      <c r="W286" s="2">
        <v>0.3891500537</v>
      </c>
    </row>
    <row r="287" spans="1:23" x14ac:dyDescent="0.25">
      <c r="A287" t="s">
        <v>31</v>
      </c>
      <c r="B287" t="s">
        <v>32</v>
      </c>
      <c r="C287" t="s">
        <v>33</v>
      </c>
      <c r="D287" t="s">
        <v>34</v>
      </c>
      <c r="E287" t="s">
        <v>35</v>
      </c>
      <c r="F287" t="s">
        <v>36</v>
      </c>
      <c r="G287">
        <v>1141685</v>
      </c>
      <c r="H287" t="s">
        <v>79</v>
      </c>
      <c r="I287" t="s">
        <v>94</v>
      </c>
      <c r="J287" t="s">
        <v>101</v>
      </c>
      <c r="K287" t="s">
        <v>114</v>
      </c>
      <c r="L287" s="1">
        <v>46143</v>
      </c>
      <c r="M287" s="1">
        <v>46173</v>
      </c>
      <c r="N287">
        <v>2.1333799999999999E-5</v>
      </c>
      <c r="O287" t="s">
        <v>56</v>
      </c>
      <c r="P287" t="s">
        <v>63</v>
      </c>
      <c r="Q287" t="s">
        <v>878</v>
      </c>
      <c r="R287" t="s">
        <v>882</v>
      </c>
      <c r="S287" t="s">
        <v>67</v>
      </c>
      <c r="T287" t="s">
        <v>1110</v>
      </c>
      <c r="U287" t="s">
        <v>1334</v>
      </c>
      <c r="V287">
        <v>16</v>
      </c>
      <c r="W287" s="2">
        <v>2.62021466E-2</v>
      </c>
    </row>
    <row r="288" spans="1:23" x14ac:dyDescent="0.25">
      <c r="A288" t="s">
        <v>31</v>
      </c>
      <c r="B288" t="s">
        <v>32</v>
      </c>
      <c r="C288" t="s">
        <v>33</v>
      </c>
      <c r="D288" t="s">
        <v>34</v>
      </c>
      <c r="E288" t="s">
        <v>35</v>
      </c>
      <c r="F288" t="s">
        <v>36</v>
      </c>
      <c r="G288">
        <v>1141685</v>
      </c>
      <c r="H288" t="s">
        <v>79</v>
      </c>
      <c r="I288" t="s">
        <v>94</v>
      </c>
      <c r="J288" t="s">
        <v>101</v>
      </c>
      <c r="K288" t="s">
        <v>114</v>
      </c>
      <c r="L288" s="1">
        <v>46143</v>
      </c>
      <c r="M288" s="1">
        <v>46173</v>
      </c>
      <c r="N288">
        <v>1.5847243248</v>
      </c>
      <c r="O288" t="s">
        <v>56</v>
      </c>
      <c r="P288" t="s">
        <v>63</v>
      </c>
      <c r="Q288" t="s">
        <v>878</v>
      </c>
      <c r="R288" t="s">
        <v>882</v>
      </c>
      <c r="S288" t="s">
        <v>67</v>
      </c>
      <c r="T288" t="s">
        <v>1111</v>
      </c>
      <c r="U288" t="s">
        <v>1335</v>
      </c>
      <c r="V288">
        <v>16</v>
      </c>
      <c r="W288" s="2">
        <v>2211.7658801040002</v>
      </c>
    </row>
    <row r="289" spans="1:23" x14ac:dyDescent="0.25">
      <c r="A289" t="s">
        <v>31</v>
      </c>
      <c r="B289" t="s">
        <v>32</v>
      </c>
      <c r="C289" t="s">
        <v>33</v>
      </c>
      <c r="D289" t="s">
        <v>34</v>
      </c>
      <c r="E289" t="s">
        <v>35</v>
      </c>
      <c r="F289" t="s">
        <v>36</v>
      </c>
      <c r="G289">
        <v>1141685</v>
      </c>
      <c r="H289" t="s">
        <v>77</v>
      </c>
      <c r="I289" t="s">
        <v>96</v>
      </c>
      <c r="J289" t="s">
        <v>77</v>
      </c>
      <c r="K289" t="s">
        <v>113</v>
      </c>
      <c r="L289" s="1">
        <v>46143</v>
      </c>
      <c r="M289" s="1">
        <v>46173</v>
      </c>
      <c r="N289">
        <v>0.28030029779999999</v>
      </c>
      <c r="O289" t="s">
        <v>56</v>
      </c>
      <c r="P289" t="s">
        <v>63</v>
      </c>
      <c r="Q289" t="s">
        <v>878</v>
      </c>
      <c r="R289" t="s">
        <v>882</v>
      </c>
      <c r="S289" t="s">
        <v>67</v>
      </c>
      <c r="T289" t="s">
        <v>1112</v>
      </c>
      <c r="U289" t="s">
        <v>1336</v>
      </c>
      <c r="V289">
        <v>16</v>
      </c>
      <c r="W289" s="2">
        <v>48.903047155699987</v>
      </c>
    </row>
    <row r="290" spans="1:23" x14ac:dyDescent="0.25">
      <c r="A290" t="s">
        <v>31</v>
      </c>
      <c r="B290" t="s">
        <v>32</v>
      </c>
      <c r="C290" t="s">
        <v>33</v>
      </c>
      <c r="D290" t="s">
        <v>34</v>
      </c>
      <c r="E290" t="s">
        <v>35</v>
      </c>
      <c r="F290" t="s">
        <v>36</v>
      </c>
      <c r="G290">
        <v>1141685</v>
      </c>
      <c r="H290" t="s">
        <v>77</v>
      </c>
      <c r="I290" t="s">
        <v>96</v>
      </c>
      <c r="J290" t="s">
        <v>77</v>
      </c>
      <c r="K290" t="s">
        <v>113</v>
      </c>
      <c r="L290" s="1">
        <v>46143</v>
      </c>
      <c r="M290" s="1">
        <v>46173</v>
      </c>
      <c r="N290">
        <v>9.0556679999999996E-4</v>
      </c>
      <c r="O290" t="s">
        <v>56</v>
      </c>
      <c r="P290" t="s">
        <v>63</v>
      </c>
      <c r="Q290" t="s">
        <v>878</v>
      </c>
      <c r="R290" t="s">
        <v>882</v>
      </c>
      <c r="S290" t="s">
        <v>67</v>
      </c>
      <c r="T290" t="s">
        <v>1113</v>
      </c>
      <c r="U290" t="s">
        <v>1337</v>
      </c>
      <c r="V290">
        <v>16</v>
      </c>
      <c r="W290" s="2">
        <v>0.15902696929999999</v>
      </c>
    </row>
    <row r="291" spans="1:23" x14ac:dyDescent="0.25">
      <c r="A291" t="s">
        <v>31</v>
      </c>
      <c r="B291" t="s">
        <v>32</v>
      </c>
      <c r="C291" t="s">
        <v>33</v>
      </c>
      <c r="D291" t="s">
        <v>34</v>
      </c>
      <c r="E291" t="s">
        <v>35</v>
      </c>
      <c r="F291" t="s">
        <v>36</v>
      </c>
      <c r="G291">
        <v>1141685</v>
      </c>
      <c r="H291" t="s">
        <v>77</v>
      </c>
      <c r="I291" t="s">
        <v>96</v>
      </c>
      <c r="J291" t="s">
        <v>77</v>
      </c>
      <c r="K291" t="s">
        <v>113</v>
      </c>
      <c r="L291" s="1">
        <v>46143</v>
      </c>
      <c r="M291" s="1">
        <v>46173</v>
      </c>
      <c r="N291">
        <v>190.41225999220001</v>
      </c>
      <c r="O291" t="s">
        <v>56</v>
      </c>
      <c r="P291" t="s">
        <v>63</v>
      </c>
      <c r="Q291" t="s">
        <v>878</v>
      </c>
      <c r="R291" t="s">
        <v>881</v>
      </c>
      <c r="S291" t="s">
        <v>67</v>
      </c>
      <c r="T291" t="s">
        <v>1114</v>
      </c>
      <c r="U291" t="s">
        <v>1338</v>
      </c>
      <c r="V291">
        <v>16</v>
      </c>
      <c r="W291" s="2">
        <v>33219.324132852402</v>
      </c>
    </row>
    <row r="292" spans="1:23" x14ac:dyDescent="0.25">
      <c r="A292" t="s">
        <v>31</v>
      </c>
      <c r="B292" t="s">
        <v>32</v>
      </c>
      <c r="C292" t="s">
        <v>33</v>
      </c>
      <c r="D292" t="s">
        <v>34</v>
      </c>
      <c r="E292" t="s">
        <v>35</v>
      </c>
      <c r="F292" t="s">
        <v>36</v>
      </c>
      <c r="G292">
        <v>1141685</v>
      </c>
      <c r="H292" t="s">
        <v>77</v>
      </c>
      <c r="I292" t="s">
        <v>96</v>
      </c>
      <c r="J292" t="s">
        <v>77</v>
      </c>
      <c r="K292" t="s">
        <v>113</v>
      </c>
      <c r="L292" s="1">
        <v>46143</v>
      </c>
      <c r="M292" s="1">
        <v>46173</v>
      </c>
      <c r="N292">
        <v>618.4560210994</v>
      </c>
      <c r="O292" t="s">
        <v>56</v>
      </c>
      <c r="P292" t="s">
        <v>63</v>
      </c>
      <c r="Q292" t="s">
        <v>878</v>
      </c>
      <c r="R292" t="s">
        <v>882</v>
      </c>
      <c r="S292" t="s">
        <v>67</v>
      </c>
      <c r="T292" t="s">
        <v>1115</v>
      </c>
      <c r="U292" t="s">
        <v>1339</v>
      </c>
      <c r="V292">
        <v>16</v>
      </c>
      <c r="W292" s="2">
        <v>107895.8369480737</v>
      </c>
    </row>
    <row r="293" spans="1:23" x14ac:dyDescent="0.25">
      <c r="A293" t="s">
        <v>31</v>
      </c>
      <c r="B293" t="s">
        <v>32</v>
      </c>
      <c r="C293" t="s">
        <v>33</v>
      </c>
      <c r="D293" t="s">
        <v>34</v>
      </c>
      <c r="E293" t="s">
        <v>35</v>
      </c>
      <c r="F293" t="s">
        <v>36</v>
      </c>
      <c r="G293">
        <v>1141685</v>
      </c>
      <c r="H293" t="s">
        <v>77</v>
      </c>
      <c r="I293" t="s">
        <v>96</v>
      </c>
      <c r="J293" t="s">
        <v>77</v>
      </c>
      <c r="K293" t="s">
        <v>113</v>
      </c>
      <c r="L293" s="1">
        <v>46143</v>
      </c>
      <c r="M293" s="1">
        <v>46173</v>
      </c>
      <c r="N293">
        <v>201.17446030400001</v>
      </c>
      <c r="O293" t="s">
        <v>56</v>
      </c>
      <c r="P293" t="s">
        <v>63</v>
      </c>
      <c r="Q293" t="s">
        <v>878</v>
      </c>
      <c r="R293" t="s">
        <v>882</v>
      </c>
      <c r="S293" t="s">
        <v>67</v>
      </c>
      <c r="T293" t="s">
        <v>1116</v>
      </c>
      <c r="U293" t="s">
        <v>1340</v>
      </c>
      <c r="V293">
        <v>16</v>
      </c>
      <c r="W293" s="2">
        <v>35096.898783274897</v>
      </c>
    </row>
    <row r="294" spans="1:23" x14ac:dyDescent="0.25">
      <c r="A294" t="s">
        <v>31</v>
      </c>
      <c r="B294" t="s">
        <v>32</v>
      </c>
      <c r="C294" t="s">
        <v>33</v>
      </c>
      <c r="D294" t="s">
        <v>34</v>
      </c>
      <c r="E294" t="s">
        <v>35</v>
      </c>
      <c r="F294" t="s">
        <v>36</v>
      </c>
      <c r="G294">
        <v>1141685</v>
      </c>
      <c r="H294" t="s">
        <v>75</v>
      </c>
      <c r="I294" t="s">
        <v>94</v>
      </c>
      <c r="J294" t="s">
        <v>98</v>
      </c>
      <c r="K294" t="s">
        <v>108</v>
      </c>
      <c r="L294" s="1">
        <v>46143</v>
      </c>
      <c r="M294" s="1">
        <v>46173</v>
      </c>
      <c r="N294">
        <v>6.9598452999999998E-3</v>
      </c>
      <c r="O294" t="s">
        <v>56</v>
      </c>
      <c r="P294" t="s">
        <v>63</v>
      </c>
      <c r="Q294" t="s">
        <v>878</v>
      </c>
      <c r="R294" t="s">
        <v>884</v>
      </c>
      <c r="S294" t="s">
        <v>67</v>
      </c>
      <c r="T294" t="s">
        <v>1117</v>
      </c>
      <c r="U294" t="s">
        <v>1341</v>
      </c>
      <c r="V294">
        <v>16</v>
      </c>
      <c r="W294" s="2">
        <v>13.300639109500001</v>
      </c>
    </row>
    <row r="295" spans="1:23" x14ac:dyDescent="0.25">
      <c r="A295" t="s">
        <v>31</v>
      </c>
      <c r="B295" t="s">
        <v>32</v>
      </c>
      <c r="C295" t="s">
        <v>33</v>
      </c>
      <c r="D295" t="s">
        <v>34</v>
      </c>
      <c r="E295" t="s">
        <v>35</v>
      </c>
      <c r="F295" t="s">
        <v>36</v>
      </c>
      <c r="G295">
        <v>1141685</v>
      </c>
      <c r="H295" t="s">
        <v>75</v>
      </c>
      <c r="I295" t="s">
        <v>94</v>
      </c>
      <c r="J295" t="s">
        <v>98</v>
      </c>
      <c r="K295" t="s">
        <v>108</v>
      </c>
      <c r="L295" s="1">
        <v>46143</v>
      </c>
      <c r="M295" s="1">
        <v>46173</v>
      </c>
      <c r="N295">
        <v>1.2705987E-3</v>
      </c>
      <c r="O295" t="s">
        <v>56</v>
      </c>
      <c r="P295" t="s">
        <v>63</v>
      </c>
      <c r="Q295" t="s">
        <v>878</v>
      </c>
      <c r="R295" t="s">
        <v>884</v>
      </c>
      <c r="S295" t="s">
        <v>67</v>
      </c>
      <c r="T295" t="s">
        <v>1118</v>
      </c>
      <c r="U295" t="s">
        <v>1342</v>
      </c>
      <c r="V295">
        <v>17</v>
      </c>
      <c r="W295" s="2">
        <v>2.6608209942999999</v>
      </c>
    </row>
    <row r="296" spans="1:23" x14ac:dyDescent="0.25">
      <c r="A296" t="s">
        <v>31</v>
      </c>
      <c r="B296" t="s">
        <v>32</v>
      </c>
      <c r="C296" t="s">
        <v>33</v>
      </c>
      <c r="D296" t="s">
        <v>34</v>
      </c>
      <c r="E296" t="s">
        <v>35</v>
      </c>
      <c r="F296" t="s">
        <v>36</v>
      </c>
      <c r="G296">
        <v>1141685</v>
      </c>
      <c r="H296" t="s">
        <v>75</v>
      </c>
      <c r="I296" t="s">
        <v>94</v>
      </c>
      <c r="J296" t="s">
        <v>98</v>
      </c>
      <c r="K296" t="s">
        <v>108</v>
      </c>
      <c r="L296" s="1">
        <v>46143</v>
      </c>
      <c r="M296" s="1">
        <v>46173</v>
      </c>
      <c r="N296">
        <v>7.2614164999999994E-2</v>
      </c>
      <c r="O296" t="s">
        <v>56</v>
      </c>
      <c r="P296" t="s">
        <v>63</v>
      </c>
      <c r="Q296" t="s">
        <v>878</v>
      </c>
      <c r="R296" t="s">
        <v>881</v>
      </c>
      <c r="S296" t="s">
        <v>67</v>
      </c>
      <c r="T296" t="s">
        <v>1119</v>
      </c>
      <c r="U296" t="s">
        <v>1343</v>
      </c>
      <c r="V296">
        <v>16</v>
      </c>
      <c r="W296" s="2">
        <v>152.01690194540001</v>
      </c>
    </row>
    <row r="297" spans="1:23" x14ac:dyDescent="0.25">
      <c r="A297" t="s">
        <v>31</v>
      </c>
      <c r="B297" t="s">
        <v>32</v>
      </c>
      <c r="C297" t="s">
        <v>33</v>
      </c>
      <c r="D297" t="s">
        <v>34</v>
      </c>
      <c r="E297" t="s">
        <v>35</v>
      </c>
      <c r="F297" t="s">
        <v>36</v>
      </c>
      <c r="G297">
        <v>1141685</v>
      </c>
      <c r="H297" t="s">
        <v>75</v>
      </c>
      <c r="I297" t="s">
        <v>94</v>
      </c>
      <c r="J297" t="s">
        <v>98</v>
      </c>
      <c r="K297" t="s">
        <v>108</v>
      </c>
      <c r="L297" s="1">
        <v>46143</v>
      </c>
      <c r="M297" s="1">
        <v>46173</v>
      </c>
      <c r="N297">
        <v>0.21842093109999999</v>
      </c>
      <c r="O297" t="s">
        <v>56</v>
      </c>
      <c r="P297" t="s">
        <v>63</v>
      </c>
      <c r="Q297" t="s">
        <v>878</v>
      </c>
      <c r="R297" t="s">
        <v>882</v>
      </c>
      <c r="S297" t="s">
        <v>67</v>
      </c>
      <c r="T297" t="s">
        <v>1120</v>
      </c>
      <c r="U297" t="s">
        <v>1344</v>
      </c>
      <c r="V297">
        <v>16</v>
      </c>
      <c r="W297" s="2">
        <v>457.26635722499998</v>
      </c>
    </row>
    <row r="298" spans="1:23" x14ac:dyDescent="0.25">
      <c r="A298" t="s">
        <v>31</v>
      </c>
      <c r="B298" t="s">
        <v>32</v>
      </c>
      <c r="C298" t="s">
        <v>33</v>
      </c>
      <c r="D298" t="s">
        <v>34</v>
      </c>
      <c r="E298" t="s">
        <v>35</v>
      </c>
      <c r="F298" t="s">
        <v>36</v>
      </c>
      <c r="G298">
        <v>1141685</v>
      </c>
      <c r="H298" t="s">
        <v>75</v>
      </c>
      <c r="I298" t="s">
        <v>94</v>
      </c>
      <c r="J298" t="s">
        <v>98</v>
      </c>
      <c r="K298" t="s">
        <v>108</v>
      </c>
      <c r="L298" s="1">
        <v>46143</v>
      </c>
      <c r="M298" s="1">
        <v>46173</v>
      </c>
      <c r="N298">
        <v>0.40146092420000001</v>
      </c>
      <c r="O298" t="s">
        <v>56</v>
      </c>
      <c r="P298" t="s">
        <v>63</v>
      </c>
      <c r="Q298" t="s">
        <v>878</v>
      </c>
      <c r="R298" t="s">
        <v>882</v>
      </c>
      <c r="S298" t="s">
        <v>67</v>
      </c>
      <c r="T298" t="s">
        <v>1121</v>
      </c>
      <c r="U298" t="s">
        <v>1345</v>
      </c>
      <c r="V298">
        <v>16</v>
      </c>
      <c r="W298" s="2">
        <v>840.47049711950001</v>
      </c>
    </row>
    <row r="299" spans="1:23" x14ac:dyDescent="0.25">
      <c r="A299" t="s">
        <v>31</v>
      </c>
      <c r="B299" t="s">
        <v>32</v>
      </c>
      <c r="C299" t="s">
        <v>33</v>
      </c>
      <c r="D299" t="s">
        <v>34</v>
      </c>
      <c r="E299" t="s">
        <v>35</v>
      </c>
      <c r="F299" t="s">
        <v>36</v>
      </c>
      <c r="G299">
        <v>1141685</v>
      </c>
      <c r="H299" t="s">
        <v>81</v>
      </c>
      <c r="I299" t="s">
        <v>97</v>
      </c>
      <c r="J299" t="s">
        <v>102</v>
      </c>
      <c r="K299" t="s">
        <v>117</v>
      </c>
      <c r="L299" s="1">
        <v>46143</v>
      </c>
      <c r="M299" s="1">
        <v>46173</v>
      </c>
      <c r="N299">
        <v>2116</v>
      </c>
      <c r="O299" t="s">
        <v>58</v>
      </c>
      <c r="P299" t="s">
        <v>63</v>
      </c>
      <c r="Q299" t="s">
        <v>880</v>
      </c>
      <c r="R299" t="s">
        <v>886</v>
      </c>
      <c r="S299" t="s">
        <v>67</v>
      </c>
      <c r="T299" t="s">
        <v>935</v>
      </c>
      <c r="U299" t="s">
        <v>1159</v>
      </c>
      <c r="V299">
        <v>7</v>
      </c>
      <c r="W299" s="2">
        <v>0</v>
      </c>
    </row>
    <row r="300" spans="1:23" x14ac:dyDescent="0.25">
      <c r="A300" t="s">
        <v>31</v>
      </c>
      <c r="B300" t="s">
        <v>32</v>
      </c>
      <c r="C300" t="s">
        <v>33</v>
      </c>
      <c r="D300" t="s">
        <v>34</v>
      </c>
      <c r="E300" t="s">
        <v>35</v>
      </c>
      <c r="F300" t="s">
        <v>36</v>
      </c>
      <c r="G300">
        <v>1141685</v>
      </c>
      <c r="H300" t="s">
        <v>88</v>
      </c>
      <c r="I300" t="s">
        <v>88</v>
      </c>
      <c r="J300" t="s">
        <v>88</v>
      </c>
      <c r="K300" t="s">
        <v>134</v>
      </c>
      <c r="L300" s="1">
        <v>46143</v>
      </c>
      <c r="M300" s="1">
        <v>46173</v>
      </c>
      <c r="N300">
        <v>4.2767499999999998</v>
      </c>
      <c r="O300" t="s">
        <v>60</v>
      </c>
      <c r="P300" t="s">
        <v>63</v>
      </c>
      <c r="Q300" t="s">
        <v>880</v>
      </c>
      <c r="R300" t="s">
        <v>887</v>
      </c>
      <c r="S300" t="s">
        <v>67</v>
      </c>
      <c r="T300" t="s">
        <v>1122</v>
      </c>
      <c r="U300" t="s">
        <v>1346</v>
      </c>
      <c r="V300">
        <v>8</v>
      </c>
      <c r="W300" s="2">
        <v>2089.1441275195998</v>
      </c>
    </row>
    <row r="301" spans="1:23" x14ac:dyDescent="0.25">
      <c r="A301" t="s">
        <v>31</v>
      </c>
      <c r="B301" t="s">
        <v>32</v>
      </c>
      <c r="C301" t="s">
        <v>33</v>
      </c>
      <c r="D301" t="s">
        <v>34</v>
      </c>
      <c r="E301" t="s">
        <v>35</v>
      </c>
      <c r="F301" t="s">
        <v>36</v>
      </c>
      <c r="G301">
        <v>1141685</v>
      </c>
      <c r="H301" t="s">
        <v>89</v>
      </c>
      <c r="I301" t="s">
        <v>89</v>
      </c>
      <c r="J301" t="s">
        <v>89</v>
      </c>
      <c r="K301" t="s">
        <v>127</v>
      </c>
      <c r="L301" s="1">
        <v>46143</v>
      </c>
      <c r="M301" s="1">
        <v>46173</v>
      </c>
      <c r="N301">
        <v>3.4099999999999999E-4</v>
      </c>
      <c r="O301" t="s">
        <v>60</v>
      </c>
      <c r="P301" t="s">
        <v>63</v>
      </c>
      <c r="Q301" t="s">
        <v>880</v>
      </c>
      <c r="R301" t="s">
        <v>887</v>
      </c>
      <c r="S301" t="s">
        <v>67</v>
      </c>
      <c r="T301" t="s">
        <v>1123</v>
      </c>
      <c r="U301" t="s">
        <v>1347</v>
      </c>
      <c r="V301">
        <v>8</v>
      </c>
      <c r="W301" s="2">
        <v>0</v>
      </c>
    </row>
    <row r="302" spans="1:23" x14ac:dyDescent="0.25">
      <c r="A302" t="s">
        <v>31</v>
      </c>
      <c r="B302" t="s">
        <v>32</v>
      </c>
      <c r="C302" t="s">
        <v>33</v>
      </c>
      <c r="D302" t="s">
        <v>34</v>
      </c>
      <c r="E302" t="s">
        <v>35</v>
      </c>
      <c r="F302" t="s">
        <v>36</v>
      </c>
      <c r="G302">
        <v>1141685</v>
      </c>
      <c r="H302" t="s">
        <v>76</v>
      </c>
      <c r="I302" t="s">
        <v>95</v>
      </c>
      <c r="J302" t="s">
        <v>99</v>
      </c>
      <c r="K302" t="s">
        <v>109</v>
      </c>
      <c r="L302" s="1">
        <v>46143</v>
      </c>
      <c r="M302" s="1">
        <v>46173</v>
      </c>
      <c r="N302">
        <v>0.98335300000000003</v>
      </c>
      <c r="O302" t="s">
        <v>58</v>
      </c>
      <c r="P302" t="s">
        <v>63</v>
      </c>
      <c r="Q302" t="s">
        <v>877</v>
      </c>
      <c r="R302" t="s">
        <v>881</v>
      </c>
      <c r="S302" t="s">
        <v>67</v>
      </c>
      <c r="T302" t="s">
        <v>911</v>
      </c>
      <c r="U302" t="s">
        <v>1135</v>
      </c>
      <c r="V302">
        <v>16</v>
      </c>
      <c r="W302" s="2">
        <v>0</v>
      </c>
    </row>
    <row r="303" spans="1:23" x14ac:dyDescent="0.25">
      <c r="A303" t="s">
        <v>31</v>
      </c>
      <c r="B303" t="s">
        <v>32</v>
      </c>
      <c r="C303" t="s">
        <v>33</v>
      </c>
      <c r="D303" t="s">
        <v>34</v>
      </c>
      <c r="E303" t="s">
        <v>35</v>
      </c>
      <c r="F303" t="s">
        <v>36</v>
      </c>
      <c r="G303">
        <v>1141685</v>
      </c>
      <c r="H303" t="s">
        <v>76</v>
      </c>
      <c r="I303" t="s">
        <v>95</v>
      </c>
      <c r="J303" t="s">
        <v>99</v>
      </c>
      <c r="K303" t="s">
        <v>109</v>
      </c>
      <c r="L303" s="1">
        <v>46143</v>
      </c>
      <c r="M303" s="1">
        <v>46173</v>
      </c>
      <c r="N303">
        <v>1.5832850000000001</v>
      </c>
      <c r="O303" t="s">
        <v>58</v>
      </c>
      <c r="P303" t="s">
        <v>63</v>
      </c>
      <c r="Q303" t="s">
        <v>877</v>
      </c>
      <c r="R303" t="s">
        <v>881</v>
      </c>
      <c r="S303" t="s">
        <v>67</v>
      </c>
      <c r="T303" t="s">
        <v>911</v>
      </c>
      <c r="U303" t="s">
        <v>1135</v>
      </c>
      <c r="V303">
        <v>16</v>
      </c>
      <c r="W303" s="2">
        <v>0</v>
      </c>
    </row>
    <row r="304" spans="1:23" x14ac:dyDescent="0.25">
      <c r="A304" t="s">
        <v>31</v>
      </c>
      <c r="B304" t="s">
        <v>32</v>
      </c>
      <c r="C304" t="s">
        <v>33</v>
      </c>
      <c r="D304" t="s">
        <v>34</v>
      </c>
      <c r="E304" t="s">
        <v>35</v>
      </c>
      <c r="F304" t="s">
        <v>36</v>
      </c>
      <c r="G304">
        <v>1141685</v>
      </c>
      <c r="H304" t="s">
        <v>76</v>
      </c>
      <c r="I304" t="s">
        <v>95</v>
      </c>
      <c r="J304" t="s">
        <v>99</v>
      </c>
      <c r="K304" t="s">
        <v>109</v>
      </c>
      <c r="L304" s="1">
        <v>46143</v>
      </c>
      <c r="M304" s="1">
        <v>46173</v>
      </c>
      <c r="N304">
        <v>34.767200000000003</v>
      </c>
      <c r="O304" t="s">
        <v>58</v>
      </c>
      <c r="P304" t="s">
        <v>63</v>
      </c>
      <c r="Q304" t="s">
        <v>877</v>
      </c>
      <c r="R304" t="s">
        <v>882</v>
      </c>
      <c r="S304" t="s">
        <v>67</v>
      </c>
      <c r="T304" t="s">
        <v>903</v>
      </c>
      <c r="U304" t="s">
        <v>1127</v>
      </c>
      <c r="V304">
        <v>15</v>
      </c>
      <c r="W304" s="2">
        <v>0</v>
      </c>
    </row>
    <row r="305" spans="1:23" x14ac:dyDescent="0.25">
      <c r="A305" t="s">
        <v>31</v>
      </c>
      <c r="B305" t="s">
        <v>32</v>
      </c>
      <c r="C305" t="s">
        <v>33</v>
      </c>
      <c r="D305" t="s">
        <v>34</v>
      </c>
      <c r="E305" t="s">
        <v>35</v>
      </c>
      <c r="F305" t="s">
        <v>36</v>
      </c>
      <c r="G305">
        <v>1141685</v>
      </c>
      <c r="H305" t="s">
        <v>76</v>
      </c>
      <c r="I305" t="s">
        <v>95</v>
      </c>
      <c r="J305" t="s">
        <v>99</v>
      </c>
      <c r="K305" t="s">
        <v>109</v>
      </c>
      <c r="L305" s="1">
        <v>46143</v>
      </c>
      <c r="M305" s="1">
        <v>46173</v>
      </c>
      <c r="N305">
        <v>1.4334009999999999</v>
      </c>
      <c r="O305" t="s">
        <v>58</v>
      </c>
      <c r="P305" t="s">
        <v>63</v>
      </c>
      <c r="Q305" t="s">
        <v>877</v>
      </c>
      <c r="R305" t="s">
        <v>882</v>
      </c>
      <c r="S305" t="s">
        <v>67</v>
      </c>
      <c r="T305" t="s">
        <v>903</v>
      </c>
      <c r="U305" t="s">
        <v>1127</v>
      </c>
      <c r="V305">
        <v>15</v>
      </c>
      <c r="W305" s="2">
        <v>0</v>
      </c>
    </row>
    <row r="306" spans="1:23" x14ac:dyDescent="0.25">
      <c r="A306" t="s">
        <v>31</v>
      </c>
      <c r="B306" t="s">
        <v>32</v>
      </c>
      <c r="C306" t="s">
        <v>33</v>
      </c>
      <c r="D306" t="s">
        <v>34</v>
      </c>
      <c r="E306" t="s">
        <v>35</v>
      </c>
      <c r="F306" t="s">
        <v>36</v>
      </c>
      <c r="G306">
        <v>1141685</v>
      </c>
      <c r="H306" t="s">
        <v>76</v>
      </c>
      <c r="I306" t="s">
        <v>95</v>
      </c>
      <c r="J306" t="s">
        <v>99</v>
      </c>
      <c r="K306" t="s">
        <v>109</v>
      </c>
      <c r="L306" s="1">
        <v>46143</v>
      </c>
      <c r="M306" s="1">
        <v>46173</v>
      </c>
      <c r="N306">
        <v>24.649615000000001</v>
      </c>
      <c r="O306" t="s">
        <v>58</v>
      </c>
      <c r="P306" t="s">
        <v>63</v>
      </c>
      <c r="Q306" t="s">
        <v>877</v>
      </c>
      <c r="R306" t="s">
        <v>882</v>
      </c>
      <c r="S306" t="s">
        <v>67</v>
      </c>
      <c r="T306" t="s">
        <v>906</v>
      </c>
      <c r="U306" t="s">
        <v>1130</v>
      </c>
      <c r="V306">
        <v>16</v>
      </c>
      <c r="W306" s="2">
        <v>0</v>
      </c>
    </row>
    <row r="307" spans="1:23" x14ac:dyDescent="0.25">
      <c r="A307" t="s">
        <v>31</v>
      </c>
      <c r="B307" t="s">
        <v>32</v>
      </c>
      <c r="C307" t="s">
        <v>33</v>
      </c>
      <c r="D307" t="s">
        <v>34</v>
      </c>
      <c r="E307" t="s">
        <v>35</v>
      </c>
      <c r="F307" t="s">
        <v>36</v>
      </c>
      <c r="G307">
        <v>1141685</v>
      </c>
      <c r="H307" t="s">
        <v>76</v>
      </c>
      <c r="I307" t="s">
        <v>95</v>
      </c>
      <c r="J307" t="s">
        <v>99</v>
      </c>
      <c r="K307" t="s">
        <v>109</v>
      </c>
      <c r="L307" s="1">
        <v>46143</v>
      </c>
      <c r="M307" s="1">
        <v>46173</v>
      </c>
      <c r="N307">
        <v>74.866461999999999</v>
      </c>
      <c r="O307" t="s">
        <v>58</v>
      </c>
      <c r="P307" t="s">
        <v>63</v>
      </c>
      <c r="Q307" t="s">
        <v>877</v>
      </c>
      <c r="R307" t="s">
        <v>882</v>
      </c>
      <c r="S307" t="s">
        <v>67</v>
      </c>
      <c r="T307" t="s">
        <v>906</v>
      </c>
      <c r="U307" t="s">
        <v>1130</v>
      </c>
      <c r="V307">
        <v>16</v>
      </c>
      <c r="W307" s="2">
        <v>0</v>
      </c>
    </row>
    <row r="308" spans="1:23" x14ac:dyDescent="0.25">
      <c r="A308" t="s">
        <v>31</v>
      </c>
      <c r="B308" t="s">
        <v>32</v>
      </c>
      <c r="C308" t="s">
        <v>33</v>
      </c>
      <c r="D308" t="s">
        <v>34</v>
      </c>
      <c r="E308" t="s">
        <v>35</v>
      </c>
      <c r="F308" t="s">
        <v>36</v>
      </c>
      <c r="G308">
        <v>1141685</v>
      </c>
      <c r="H308" t="s">
        <v>76</v>
      </c>
      <c r="I308" t="s">
        <v>95</v>
      </c>
      <c r="J308" t="s">
        <v>99</v>
      </c>
      <c r="K308" t="s">
        <v>109</v>
      </c>
      <c r="L308" s="1">
        <v>46143</v>
      </c>
      <c r="M308" s="1">
        <v>46173</v>
      </c>
      <c r="N308">
        <v>42.983353000000001</v>
      </c>
      <c r="O308" t="s">
        <v>58</v>
      </c>
      <c r="P308" t="s">
        <v>63</v>
      </c>
      <c r="Q308" t="s">
        <v>877</v>
      </c>
      <c r="R308" t="s">
        <v>882</v>
      </c>
      <c r="S308" t="s">
        <v>67</v>
      </c>
      <c r="T308" t="s">
        <v>906</v>
      </c>
      <c r="U308" t="s">
        <v>1130</v>
      </c>
      <c r="V308">
        <v>16</v>
      </c>
      <c r="W308" s="2">
        <v>0</v>
      </c>
    </row>
    <row r="309" spans="1:23" x14ac:dyDescent="0.25">
      <c r="A309" t="s">
        <v>31</v>
      </c>
      <c r="B309" t="s">
        <v>32</v>
      </c>
      <c r="C309" t="s">
        <v>33</v>
      </c>
      <c r="D309" t="s">
        <v>34</v>
      </c>
      <c r="E309" t="s">
        <v>35</v>
      </c>
      <c r="F309" t="s">
        <v>36</v>
      </c>
      <c r="G309">
        <v>1141685</v>
      </c>
      <c r="H309" t="s">
        <v>76</v>
      </c>
      <c r="I309" t="s">
        <v>95</v>
      </c>
      <c r="J309" t="s">
        <v>99</v>
      </c>
      <c r="K309" t="s">
        <v>109</v>
      </c>
      <c r="L309" s="1">
        <v>46143</v>
      </c>
      <c r="M309" s="1">
        <v>46173</v>
      </c>
      <c r="N309">
        <v>73.033054000000007</v>
      </c>
      <c r="O309" t="s">
        <v>58</v>
      </c>
      <c r="P309" t="s">
        <v>63</v>
      </c>
      <c r="Q309" t="s">
        <v>877</v>
      </c>
      <c r="R309" t="s">
        <v>882</v>
      </c>
      <c r="S309" t="s">
        <v>67</v>
      </c>
      <c r="T309" t="s">
        <v>906</v>
      </c>
      <c r="U309" t="s">
        <v>1130</v>
      </c>
      <c r="V309">
        <v>16</v>
      </c>
      <c r="W309" s="2">
        <v>0</v>
      </c>
    </row>
    <row r="310" spans="1:23" x14ac:dyDescent="0.25">
      <c r="A310" t="s">
        <v>31</v>
      </c>
      <c r="B310" t="s">
        <v>32</v>
      </c>
      <c r="C310" t="s">
        <v>33</v>
      </c>
      <c r="D310" t="s">
        <v>34</v>
      </c>
      <c r="E310" t="s">
        <v>35</v>
      </c>
      <c r="F310" t="s">
        <v>36</v>
      </c>
      <c r="G310">
        <v>1141685</v>
      </c>
      <c r="H310" t="s">
        <v>76</v>
      </c>
      <c r="I310" t="s">
        <v>95</v>
      </c>
      <c r="J310" t="s">
        <v>99</v>
      </c>
      <c r="K310" t="s">
        <v>109</v>
      </c>
      <c r="L310" s="1">
        <v>46143</v>
      </c>
      <c r="M310" s="1">
        <v>46173</v>
      </c>
      <c r="N310">
        <v>8.3239999999999995E-2</v>
      </c>
      <c r="O310" t="s">
        <v>58</v>
      </c>
      <c r="P310" t="s">
        <v>63</v>
      </c>
      <c r="Q310" t="s">
        <v>877</v>
      </c>
      <c r="R310" t="s">
        <v>882</v>
      </c>
      <c r="S310" t="s">
        <v>67</v>
      </c>
      <c r="T310" t="s">
        <v>906</v>
      </c>
      <c r="U310" t="s">
        <v>1130</v>
      </c>
      <c r="V310">
        <v>16</v>
      </c>
      <c r="W310" s="2">
        <v>0</v>
      </c>
    </row>
    <row r="311" spans="1:23" x14ac:dyDescent="0.25">
      <c r="A311" t="s">
        <v>31</v>
      </c>
      <c r="B311" t="s">
        <v>32</v>
      </c>
      <c r="C311" t="s">
        <v>33</v>
      </c>
      <c r="D311" t="s">
        <v>34</v>
      </c>
      <c r="E311" t="s">
        <v>35</v>
      </c>
      <c r="F311" t="s">
        <v>36</v>
      </c>
      <c r="G311">
        <v>1141685</v>
      </c>
      <c r="H311" t="s">
        <v>76</v>
      </c>
      <c r="I311" t="s">
        <v>95</v>
      </c>
      <c r="J311" t="s">
        <v>99</v>
      </c>
      <c r="K311" t="s">
        <v>109</v>
      </c>
      <c r="L311" s="1">
        <v>46143</v>
      </c>
      <c r="M311" s="1">
        <v>46173</v>
      </c>
      <c r="N311">
        <v>6.883464</v>
      </c>
      <c r="O311" t="s">
        <v>58</v>
      </c>
      <c r="P311" t="s">
        <v>63</v>
      </c>
      <c r="Q311" t="s">
        <v>877</v>
      </c>
      <c r="R311" t="s">
        <v>884</v>
      </c>
      <c r="S311" t="s">
        <v>67</v>
      </c>
      <c r="T311" t="s">
        <v>941</v>
      </c>
      <c r="U311" t="s">
        <v>1165</v>
      </c>
      <c r="V311">
        <v>17</v>
      </c>
      <c r="W311" s="2">
        <v>0</v>
      </c>
    </row>
    <row r="312" spans="1:23" x14ac:dyDescent="0.25">
      <c r="A312" t="s">
        <v>31</v>
      </c>
      <c r="B312" t="s">
        <v>32</v>
      </c>
      <c r="C312" t="s">
        <v>33</v>
      </c>
      <c r="D312" t="s">
        <v>34</v>
      </c>
      <c r="E312" t="s">
        <v>35</v>
      </c>
      <c r="F312" t="s">
        <v>36</v>
      </c>
      <c r="G312">
        <v>1141685</v>
      </c>
      <c r="H312" t="s">
        <v>76</v>
      </c>
      <c r="I312" t="s">
        <v>95</v>
      </c>
      <c r="J312" t="s">
        <v>99</v>
      </c>
      <c r="K312" t="s">
        <v>109</v>
      </c>
      <c r="L312" s="1">
        <v>46143</v>
      </c>
      <c r="M312" s="1">
        <v>46173</v>
      </c>
      <c r="N312">
        <v>1.149851</v>
      </c>
      <c r="O312" t="s">
        <v>58</v>
      </c>
      <c r="P312" t="s">
        <v>63</v>
      </c>
      <c r="Q312" t="s">
        <v>877</v>
      </c>
      <c r="R312" t="s">
        <v>881</v>
      </c>
      <c r="S312" t="s">
        <v>67</v>
      </c>
      <c r="T312" t="s">
        <v>911</v>
      </c>
      <c r="U312" t="s">
        <v>1135</v>
      </c>
      <c r="V312">
        <v>16</v>
      </c>
      <c r="W312" s="2">
        <v>0</v>
      </c>
    </row>
    <row r="313" spans="1:23" x14ac:dyDescent="0.25">
      <c r="A313" t="s">
        <v>31</v>
      </c>
      <c r="B313" t="s">
        <v>32</v>
      </c>
      <c r="C313" t="s">
        <v>33</v>
      </c>
      <c r="D313" t="s">
        <v>34</v>
      </c>
      <c r="E313" t="s">
        <v>35</v>
      </c>
      <c r="F313" t="s">
        <v>36</v>
      </c>
      <c r="G313">
        <v>1141685</v>
      </c>
      <c r="H313" t="s">
        <v>76</v>
      </c>
      <c r="I313" t="s">
        <v>95</v>
      </c>
      <c r="J313" t="s">
        <v>99</v>
      </c>
      <c r="K313" t="s">
        <v>109</v>
      </c>
      <c r="L313" s="1">
        <v>46143</v>
      </c>
      <c r="M313" s="1">
        <v>46173</v>
      </c>
      <c r="N313">
        <v>243.183604</v>
      </c>
      <c r="O313" t="s">
        <v>58</v>
      </c>
      <c r="P313" t="s">
        <v>63</v>
      </c>
      <c r="Q313" t="s">
        <v>877</v>
      </c>
      <c r="R313" t="s">
        <v>881</v>
      </c>
      <c r="S313" t="s">
        <v>67</v>
      </c>
      <c r="T313" t="s">
        <v>911</v>
      </c>
      <c r="U313" t="s">
        <v>1135</v>
      </c>
      <c r="V313">
        <v>16</v>
      </c>
      <c r="W313" s="2">
        <v>0</v>
      </c>
    </row>
    <row r="314" spans="1:23" x14ac:dyDescent="0.25">
      <c r="A314" t="s">
        <v>31</v>
      </c>
      <c r="B314" t="s">
        <v>32</v>
      </c>
      <c r="C314" t="s">
        <v>33</v>
      </c>
      <c r="D314" t="s">
        <v>34</v>
      </c>
      <c r="E314" t="s">
        <v>35</v>
      </c>
      <c r="F314" t="s">
        <v>36</v>
      </c>
      <c r="G314">
        <v>1141685</v>
      </c>
      <c r="H314" t="s">
        <v>76</v>
      </c>
      <c r="I314" t="s">
        <v>95</v>
      </c>
      <c r="J314" t="s">
        <v>99</v>
      </c>
      <c r="K314" t="s">
        <v>109</v>
      </c>
      <c r="L314" s="1">
        <v>46143</v>
      </c>
      <c r="M314" s="1">
        <v>46173</v>
      </c>
      <c r="N314">
        <v>170</v>
      </c>
      <c r="O314" t="s">
        <v>58</v>
      </c>
      <c r="P314" t="s">
        <v>63</v>
      </c>
      <c r="Q314" t="s">
        <v>877</v>
      </c>
      <c r="R314" t="s">
        <v>884</v>
      </c>
      <c r="S314" t="s">
        <v>67</v>
      </c>
      <c r="T314" t="s">
        <v>941</v>
      </c>
      <c r="U314" t="s">
        <v>1165</v>
      </c>
      <c r="V314">
        <v>17</v>
      </c>
      <c r="W314" s="2">
        <v>0</v>
      </c>
    </row>
    <row r="315" spans="1:23" x14ac:dyDescent="0.25">
      <c r="A315" t="s">
        <v>31</v>
      </c>
      <c r="B315" t="s">
        <v>32</v>
      </c>
      <c r="C315" t="s">
        <v>33</v>
      </c>
      <c r="D315" t="s">
        <v>34</v>
      </c>
      <c r="E315" t="s">
        <v>35</v>
      </c>
      <c r="F315" t="s">
        <v>36</v>
      </c>
      <c r="G315">
        <v>1141685</v>
      </c>
      <c r="H315" t="s">
        <v>76</v>
      </c>
      <c r="I315" t="s">
        <v>95</v>
      </c>
      <c r="J315" t="s">
        <v>99</v>
      </c>
      <c r="K315" t="s">
        <v>109</v>
      </c>
      <c r="L315" s="1">
        <v>46143</v>
      </c>
      <c r="M315" s="1">
        <v>46173</v>
      </c>
      <c r="N315">
        <v>97.382563000000005</v>
      </c>
      <c r="O315" t="s">
        <v>58</v>
      </c>
      <c r="P315" t="s">
        <v>63</v>
      </c>
      <c r="Q315" t="s">
        <v>877</v>
      </c>
      <c r="R315" t="s">
        <v>882</v>
      </c>
      <c r="S315" t="s">
        <v>67</v>
      </c>
      <c r="T315" t="s">
        <v>903</v>
      </c>
      <c r="U315" t="s">
        <v>1127</v>
      </c>
      <c r="V315">
        <v>15</v>
      </c>
      <c r="W315" s="2">
        <v>0</v>
      </c>
    </row>
    <row r="316" spans="1:23" x14ac:dyDescent="0.25">
      <c r="A316" t="s">
        <v>31</v>
      </c>
      <c r="B316" t="s">
        <v>32</v>
      </c>
      <c r="C316" t="s">
        <v>33</v>
      </c>
      <c r="D316" t="s">
        <v>34</v>
      </c>
      <c r="E316" t="s">
        <v>35</v>
      </c>
      <c r="F316" t="s">
        <v>36</v>
      </c>
      <c r="G316">
        <v>1141685</v>
      </c>
      <c r="H316" t="s">
        <v>76</v>
      </c>
      <c r="I316" t="s">
        <v>95</v>
      </c>
      <c r="J316" t="s">
        <v>99</v>
      </c>
      <c r="K316" t="s">
        <v>109</v>
      </c>
      <c r="L316" s="1">
        <v>46143</v>
      </c>
      <c r="M316" s="1">
        <v>46173</v>
      </c>
      <c r="N316">
        <v>8.3239999999999995E-2</v>
      </c>
      <c r="O316" t="s">
        <v>58</v>
      </c>
      <c r="P316" t="s">
        <v>63</v>
      </c>
      <c r="Q316" t="s">
        <v>877</v>
      </c>
      <c r="R316" t="s">
        <v>881</v>
      </c>
      <c r="S316" t="s">
        <v>67</v>
      </c>
      <c r="T316" t="s">
        <v>911</v>
      </c>
      <c r="U316" t="s">
        <v>1135</v>
      </c>
      <c r="V316">
        <v>16</v>
      </c>
      <c r="W316" s="2">
        <v>0</v>
      </c>
    </row>
    <row r="317" spans="1:23" x14ac:dyDescent="0.25">
      <c r="A317" t="s">
        <v>31</v>
      </c>
      <c r="B317" t="s">
        <v>32</v>
      </c>
      <c r="C317" t="s">
        <v>33</v>
      </c>
      <c r="D317" t="s">
        <v>34</v>
      </c>
      <c r="E317" t="s">
        <v>35</v>
      </c>
      <c r="F317" t="s">
        <v>36</v>
      </c>
      <c r="G317">
        <v>1141685</v>
      </c>
      <c r="H317" t="s">
        <v>76</v>
      </c>
      <c r="I317" t="s">
        <v>95</v>
      </c>
      <c r="J317" t="s">
        <v>99</v>
      </c>
      <c r="K317" t="s">
        <v>109</v>
      </c>
      <c r="L317" s="1">
        <v>46143</v>
      </c>
      <c r="M317" s="1">
        <v>46173</v>
      </c>
      <c r="N317">
        <v>75.916759999999996</v>
      </c>
      <c r="O317" t="s">
        <v>58</v>
      </c>
      <c r="P317" t="s">
        <v>63</v>
      </c>
      <c r="Q317" t="s">
        <v>877</v>
      </c>
      <c r="R317" t="s">
        <v>881</v>
      </c>
      <c r="S317" t="s">
        <v>67</v>
      </c>
      <c r="T317" t="s">
        <v>911</v>
      </c>
      <c r="U317" t="s">
        <v>1135</v>
      </c>
      <c r="V317">
        <v>16</v>
      </c>
      <c r="W317" s="2">
        <v>0</v>
      </c>
    </row>
    <row r="318" spans="1:23" x14ac:dyDescent="0.25">
      <c r="A318" t="s">
        <v>31</v>
      </c>
      <c r="B318" t="s">
        <v>32</v>
      </c>
      <c r="C318" t="s">
        <v>33</v>
      </c>
      <c r="D318" t="s">
        <v>34</v>
      </c>
      <c r="E318" t="s">
        <v>35</v>
      </c>
      <c r="F318" t="s">
        <v>36</v>
      </c>
      <c r="G318">
        <v>1141685</v>
      </c>
      <c r="H318" t="s">
        <v>76</v>
      </c>
      <c r="I318" t="s">
        <v>95</v>
      </c>
      <c r="J318" t="s">
        <v>99</v>
      </c>
      <c r="K318" t="s">
        <v>109</v>
      </c>
      <c r="L318" s="1">
        <v>46143</v>
      </c>
      <c r="M318" s="1">
        <v>46173</v>
      </c>
      <c r="N318">
        <v>48.767539999999997</v>
      </c>
      <c r="O318" t="s">
        <v>58</v>
      </c>
      <c r="P318" t="s">
        <v>63</v>
      </c>
      <c r="Q318" t="s">
        <v>877</v>
      </c>
      <c r="R318" t="s">
        <v>882</v>
      </c>
      <c r="S318" t="s">
        <v>67</v>
      </c>
      <c r="T318" t="s">
        <v>906</v>
      </c>
      <c r="U318" t="s">
        <v>1130</v>
      </c>
      <c r="V318">
        <v>16</v>
      </c>
      <c r="W318" s="2">
        <v>0</v>
      </c>
    </row>
    <row r="319" spans="1:23" x14ac:dyDescent="0.25">
      <c r="A319" t="s">
        <v>31</v>
      </c>
      <c r="B319" t="s">
        <v>32</v>
      </c>
      <c r="C319" t="s">
        <v>33</v>
      </c>
      <c r="D319" t="s">
        <v>34</v>
      </c>
      <c r="E319" t="s">
        <v>35</v>
      </c>
      <c r="F319" t="s">
        <v>36</v>
      </c>
      <c r="G319">
        <v>1141685</v>
      </c>
      <c r="H319" t="s">
        <v>76</v>
      </c>
      <c r="I319" t="s">
        <v>95</v>
      </c>
      <c r="J319" t="s">
        <v>99</v>
      </c>
      <c r="K319" t="s">
        <v>109</v>
      </c>
      <c r="L319" s="1">
        <v>46143</v>
      </c>
      <c r="M319" s="1">
        <v>46173</v>
      </c>
      <c r="N319">
        <v>8.3239999999999995E-2</v>
      </c>
      <c r="O319" t="s">
        <v>58</v>
      </c>
      <c r="P319" t="s">
        <v>63</v>
      </c>
      <c r="Q319" t="s">
        <v>877</v>
      </c>
      <c r="R319" t="s">
        <v>882</v>
      </c>
      <c r="S319" t="s">
        <v>67</v>
      </c>
      <c r="T319" t="s">
        <v>906</v>
      </c>
      <c r="U319" t="s">
        <v>1130</v>
      </c>
      <c r="V319">
        <v>16</v>
      </c>
      <c r="W319" s="2">
        <v>0</v>
      </c>
    </row>
    <row r="320" spans="1:23" x14ac:dyDescent="0.25">
      <c r="A320" t="s">
        <v>31</v>
      </c>
      <c r="B320" t="s">
        <v>32</v>
      </c>
      <c r="C320" t="s">
        <v>33</v>
      </c>
      <c r="D320" t="s">
        <v>34</v>
      </c>
      <c r="E320" t="s">
        <v>35</v>
      </c>
      <c r="F320" t="s">
        <v>36</v>
      </c>
      <c r="G320">
        <v>1141685</v>
      </c>
      <c r="H320" t="s">
        <v>76</v>
      </c>
      <c r="I320" t="s">
        <v>95</v>
      </c>
      <c r="J320" t="s">
        <v>99</v>
      </c>
      <c r="K320" t="s">
        <v>109</v>
      </c>
      <c r="L320" s="1">
        <v>46143</v>
      </c>
      <c r="M320" s="1">
        <v>46173</v>
      </c>
      <c r="N320">
        <v>0.98335300000000003</v>
      </c>
      <c r="O320" t="s">
        <v>58</v>
      </c>
      <c r="P320" t="s">
        <v>63</v>
      </c>
      <c r="Q320" t="s">
        <v>877</v>
      </c>
      <c r="R320" t="s">
        <v>882</v>
      </c>
      <c r="S320" t="s">
        <v>67</v>
      </c>
      <c r="T320" t="s">
        <v>906</v>
      </c>
      <c r="U320" t="s">
        <v>1130</v>
      </c>
      <c r="V320">
        <v>16</v>
      </c>
      <c r="W320" s="2">
        <v>0</v>
      </c>
    </row>
    <row r="321" spans="1:23" x14ac:dyDescent="0.25">
      <c r="A321" t="s">
        <v>31</v>
      </c>
      <c r="B321" t="s">
        <v>32</v>
      </c>
      <c r="C321" t="s">
        <v>33</v>
      </c>
      <c r="D321" t="s">
        <v>34</v>
      </c>
      <c r="E321" t="s">
        <v>35</v>
      </c>
      <c r="F321" t="s">
        <v>36</v>
      </c>
      <c r="G321">
        <v>1141685</v>
      </c>
      <c r="H321" t="s">
        <v>76</v>
      </c>
      <c r="I321" t="s">
        <v>95</v>
      </c>
      <c r="J321" t="s">
        <v>99</v>
      </c>
      <c r="K321" t="s">
        <v>109</v>
      </c>
      <c r="L321" s="1">
        <v>46143</v>
      </c>
      <c r="M321" s="1">
        <v>46173</v>
      </c>
      <c r="N321">
        <v>4.267112</v>
      </c>
      <c r="O321" t="s">
        <v>58</v>
      </c>
      <c r="P321" t="s">
        <v>63</v>
      </c>
      <c r="Q321" t="s">
        <v>877</v>
      </c>
      <c r="R321" t="s">
        <v>882</v>
      </c>
      <c r="S321" t="s">
        <v>67</v>
      </c>
      <c r="T321" t="s">
        <v>903</v>
      </c>
      <c r="U321" t="s">
        <v>1127</v>
      </c>
      <c r="V321">
        <v>15</v>
      </c>
      <c r="W321" s="2">
        <v>0</v>
      </c>
    </row>
    <row r="322" spans="1:23" x14ac:dyDescent="0.25">
      <c r="A322" t="s">
        <v>31</v>
      </c>
      <c r="B322" t="s">
        <v>32</v>
      </c>
      <c r="C322" t="s">
        <v>33</v>
      </c>
      <c r="D322" t="s">
        <v>34</v>
      </c>
      <c r="E322" t="s">
        <v>35</v>
      </c>
      <c r="F322" t="s">
        <v>36</v>
      </c>
      <c r="G322">
        <v>1141685</v>
      </c>
      <c r="H322" t="s">
        <v>76</v>
      </c>
      <c r="I322" t="s">
        <v>95</v>
      </c>
      <c r="J322" t="s">
        <v>99</v>
      </c>
      <c r="K322" t="s">
        <v>109</v>
      </c>
      <c r="L322" s="1">
        <v>46143</v>
      </c>
      <c r="M322" s="1">
        <v>46173</v>
      </c>
      <c r="N322">
        <v>1.4497469999999999</v>
      </c>
      <c r="O322" t="s">
        <v>58</v>
      </c>
      <c r="P322" t="s">
        <v>63</v>
      </c>
      <c r="Q322" t="s">
        <v>877</v>
      </c>
      <c r="R322" t="s">
        <v>882</v>
      </c>
      <c r="S322" t="s">
        <v>67</v>
      </c>
      <c r="T322" t="s">
        <v>906</v>
      </c>
      <c r="U322" t="s">
        <v>1130</v>
      </c>
      <c r="V322">
        <v>16</v>
      </c>
      <c r="W322" s="2">
        <v>0</v>
      </c>
    </row>
    <row r="323" spans="1:23" x14ac:dyDescent="0.25">
      <c r="A323" t="s">
        <v>31</v>
      </c>
      <c r="B323" t="s">
        <v>32</v>
      </c>
      <c r="C323" t="s">
        <v>33</v>
      </c>
      <c r="D323" t="s">
        <v>34</v>
      </c>
      <c r="E323" t="s">
        <v>35</v>
      </c>
      <c r="F323" t="s">
        <v>36</v>
      </c>
      <c r="G323">
        <v>1141685</v>
      </c>
      <c r="H323" t="s">
        <v>76</v>
      </c>
      <c r="I323" t="s">
        <v>95</v>
      </c>
      <c r="J323" t="s">
        <v>99</v>
      </c>
      <c r="K323" t="s">
        <v>109</v>
      </c>
      <c r="L323" s="1">
        <v>46143</v>
      </c>
      <c r="M323" s="1">
        <v>46173</v>
      </c>
      <c r="N323">
        <v>32.800254000000002</v>
      </c>
      <c r="O323" t="s">
        <v>58</v>
      </c>
      <c r="P323" t="s">
        <v>63</v>
      </c>
      <c r="Q323" t="s">
        <v>877</v>
      </c>
      <c r="R323" t="s">
        <v>882</v>
      </c>
      <c r="S323" t="s">
        <v>67</v>
      </c>
      <c r="T323" t="s">
        <v>906</v>
      </c>
      <c r="U323" t="s">
        <v>1130</v>
      </c>
      <c r="V323">
        <v>16</v>
      </c>
      <c r="W323" s="2">
        <v>0</v>
      </c>
    </row>
    <row r="324" spans="1:23" x14ac:dyDescent="0.25">
      <c r="A324" t="s">
        <v>31</v>
      </c>
      <c r="B324" t="s">
        <v>32</v>
      </c>
      <c r="C324" t="s">
        <v>33</v>
      </c>
      <c r="D324" t="s">
        <v>34</v>
      </c>
      <c r="E324" t="s">
        <v>35</v>
      </c>
      <c r="F324" t="s">
        <v>36</v>
      </c>
      <c r="G324">
        <v>1141685</v>
      </c>
      <c r="H324" t="s">
        <v>76</v>
      </c>
      <c r="I324" t="s">
        <v>95</v>
      </c>
      <c r="J324" t="s">
        <v>99</v>
      </c>
      <c r="K324" t="s">
        <v>109</v>
      </c>
      <c r="L324" s="1">
        <v>46143</v>
      </c>
      <c r="M324" s="1">
        <v>46173</v>
      </c>
      <c r="N324">
        <v>0.13303000000000001</v>
      </c>
      <c r="O324" t="s">
        <v>58</v>
      </c>
      <c r="P324" t="s">
        <v>63</v>
      </c>
      <c r="Q324" t="s">
        <v>877</v>
      </c>
      <c r="R324" t="s">
        <v>882</v>
      </c>
      <c r="S324" t="s">
        <v>67</v>
      </c>
      <c r="T324" t="s">
        <v>906</v>
      </c>
      <c r="U324" t="s">
        <v>1130</v>
      </c>
      <c r="V324">
        <v>16</v>
      </c>
      <c r="W324" s="2">
        <v>0</v>
      </c>
    </row>
    <row r="325" spans="1:23" x14ac:dyDescent="0.25">
      <c r="A325" t="s">
        <v>31</v>
      </c>
      <c r="B325" t="s">
        <v>32</v>
      </c>
      <c r="C325" t="s">
        <v>33</v>
      </c>
      <c r="D325" t="s">
        <v>34</v>
      </c>
      <c r="E325" t="s">
        <v>35</v>
      </c>
      <c r="F325" t="s">
        <v>36</v>
      </c>
      <c r="G325">
        <v>1141685</v>
      </c>
      <c r="H325" t="s">
        <v>76</v>
      </c>
      <c r="I325" t="s">
        <v>95</v>
      </c>
      <c r="J325" t="s">
        <v>99</v>
      </c>
      <c r="K325" t="s">
        <v>109</v>
      </c>
      <c r="L325" s="1">
        <v>46143</v>
      </c>
      <c r="M325" s="1">
        <v>46173</v>
      </c>
      <c r="N325">
        <v>0.21667</v>
      </c>
      <c r="O325" t="s">
        <v>58</v>
      </c>
      <c r="P325" t="s">
        <v>63</v>
      </c>
      <c r="Q325" t="s">
        <v>877</v>
      </c>
      <c r="R325" t="s">
        <v>882</v>
      </c>
      <c r="S325" t="s">
        <v>67</v>
      </c>
      <c r="T325" t="s">
        <v>906</v>
      </c>
      <c r="U325" t="s">
        <v>1130</v>
      </c>
      <c r="V325">
        <v>16</v>
      </c>
      <c r="W325" s="2">
        <v>0</v>
      </c>
    </row>
    <row r="326" spans="1:23" x14ac:dyDescent="0.25">
      <c r="A326" t="s">
        <v>31</v>
      </c>
      <c r="B326" t="s">
        <v>32</v>
      </c>
      <c r="C326" t="s">
        <v>33</v>
      </c>
      <c r="D326" t="s">
        <v>34</v>
      </c>
      <c r="E326" t="s">
        <v>35</v>
      </c>
      <c r="F326" t="s">
        <v>36</v>
      </c>
      <c r="G326">
        <v>1141685</v>
      </c>
      <c r="H326" t="s">
        <v>76</v>
      </c>
      <c r="I326" t="s">
        <v>95</v>
      </c>
      <c r="J326" t="s">
        <v>99</v>
      </c>
      <c r="K326" t="s">
        <v>109</v>
      </c>
      <c r="L326" s="1">
        <v>46143</v>
      </c>
      <c r="M326" s="1">
        <v>46173</v>
      </c>
      <c r="N326">
        <v>13.633049</v>
      </c>
      <c r="O326" t="s">
        <v>58</v>
      </c>
      <c r="P326" t="s">
        <v>63</v>
      </c>
      <c r="Q326" t="s">
        <v>877</v>
      </c>
      <c r="R326" t="s">
        <v>882</v>
      </c>
      <c r="S326" t="s">
        <v>67</v>
      </c>
      <c r="T326" t="s">
        <v>906</v>
      </c>
      <c r="U326" t="s">
        <v>1130</v>
      </c>
      <c r="V326">
        <v>16</v>
      </c>
      <c r="W326" s="2">
        <v>0</v>
      </c>
    </row>
    <row r="327" spans="1:23" x14ac:dyDescent="0.25">
      <c r="A327" t="s">
        <v>31</v>
      </c>
      <c r="B327" t="s">
        <v>32</v>
      </c>
      <c r="C327" t="s">
        <v>33</v>
      </c>
      <c r="D327" t="s">
        <v>34</v>
      </c>
      <c r="E327" t="s">
        <v>35</v>
      </c>
      <c r="F327" t="s">
        <v>36</v>
      </c>
      <c r="G327">
        <v>1141685</v>
      </c>
      <c r="H327" t="s">
        <v>76</v>
      </c>
      <c r="I327" t="s">
        <v>95</v>
      </c>
      <c r="J327" t="s">
        <v>99</v>
      </c>
      <c r="K327" t="s">
        <v>109</v>
      </c>
      <c r="L327" s="1">
        <v>46143</v>
      </c>
      <c r="M327" s="1">
        <v>46173</v>
      </c>
      <c r="N327">
        <v>0.96681300000000003</v>
      </c>
      <c r="O327" t="s">
        <v>58</v>
      </c>
      <c r="P327" t="s">
        <v>63</v>
      </c>
      <c r="Q327" t="s">
        <v>877</v>
      </c>
      <c r="R327" t="s">
        <v>882</v>
      </c>
      <c r="S327" t="s">
        <v>67</v>
      </c>
      <c r="T327" t="s">
        <v>906</v>
      </c>
      <c r="U327" t="s">
        <v>1130</v>
      </c>
      <c r="V327">
        <v>16</v>
      </c>
      <c r="W327" s="2">
        <v>0</v>
      </c>
    </row>
    <row r="328" spans="1:23" x14ac:dyDescent="0.25">
      <c r="A328" t="s">
        <v>31</v>
      </c>
      <c r="B328" t="s">
        <v>32</v>
      </c>
      <c r="C328" t="s">
        <v>33</v>
      </c>
      <c r="D328" t="s">
        <v>34</v>
      </c>
      <c r="E328" t="s">
        <v>35</v>
      </c>
      <c r="F328" t="s">
        <v>36</v>
      </c>
      <c r="G328">
        <v>1141685</v>
      </c>
      <c r="H328" t="s">
        <v>76</v>
      </c>
      <c r="I328" t="s">
        <v>95</v>
      </c>
      <c r="J328" t="s">
        <v>99</v>
      </c>
      <c r="K328" t="s">
        <v>109</v>
      </c>
      <c r="L328" s="1">
        <v>46143</v>
      </c>
      <c r="M328" s="1">
        <v>46173</v>
      </c>
      <c r="N328">
        <v>252.432354</v>
      </c>
      <c r="O328" t="s">
        <v>58</v>
      </c>
      <c r="P328" t="s">
        <v>63</v>
      </c>
      <c r="Q328" t="s">
        <v>877</v>
      </c>
      <c r="R328" t="s">
        <v>882</v>
      </c>
      <c r="S328" t="s">
        <v>67</v>
      </c>
      <c r="T328" t="s">
        <v>906</v>
      </c>
      <c r="U328" t="s">
        <v>1130</v>
      </c>
      <c r="V328">
        <v>16</v>
      </c>
      <c r="W328" s="2">
        <v>0</v>
      </c>
    </row>
    <row r="329" spans="1:23" x14ac:dyDescent="0.25">
      <c r="A329" t="s">
        <v>31</v>
      </c>
      <c r="B329" t="s">
        <v>32</v>
      </c>
      <c r="C329" t="s">
        <v>33</v>
      </c>
      <c r="D329" t="s">
        <v>34</v>
      </c>
      <c r="E329" t="s">
        <v>35</v>
      </c>
      <c r="F329" t="s">
        <v>36</v>
      </c>
      <c r="G329">
        <v>1141685</v>
      </c>
      <c r="H329" t="s">
        <v>87</v>
      </c>
      <c r="I329" t="s">
        <v>87</v>
      </c>
      <c r="J329" t="s">
        <v>87</v>
      </c>
      <c r="K329" t="s">
        <v>125</v>
      </c>
      <c r="L329" s="1">
        <v>46143</v>
      </c>
      <c r="M329" s="1">
        <v>46173</v>
      </c>
      <c r="N329">
        <v>744</v>
      </c>
      <c r="O329" t="s">
        <v>58</v>
      </c>
      <c r="P329" t="s">
        <v>63</v>
      </c>
      <c r="Q329" t="s">
        <v>878</v>
      </c>
      <c r="R329" t="s">
        <v>158</v>
      </c>
      <c r="S329" t="s">
        <v>67</v>
      </c>
      <c r="T329" t="s">
        <v>1124</v>
      </c>
      <c r="U329" t="s">
        <v>1348</v>
      </c>
      <c r="V329">
        <v>12</v>
      </c>
      <c r="W329" s="2">
        <v>324495.598</v>
      </c>
    </row>
    <row r="330" spans="1:23" x14ac:dyDescent="0.25">
      <c r="A330" t="s">
        <v>31</v>
      </c>
      <c r="B330" t="s">
        <v>32</v>
      </c>
      <c r="C330" t="s">
        <v>33</v>
      </c>
      <c r="D330" t="s">
        <v>34</v>
      </c>
      <c r="E330" t="s">
        <v>35</v>
      </c>
      <c r="F330" t="s">
        <v>36</v>
      </c>
      <c r="G330">
        <v>1141685</v>
      </c>
      <c r="H330" t="s">
        <v>82</v>
      </c>
      <c r="I330" t="s">
        <v>82</v>
      </c>
      <c r="J330" t="s">
        <v>82</v>
      </c>
      <c r="K330" t="s">
        <v>120</v>
      </c>
      <c r="L330" s="1">
        <v>46143</v>
      </c>
      <c r="M330" s="1">
        <v>46173</v>
      </c>
      <c r="N330">
        <v>1</v>
      </c>
      <c r="O330" t="s">
        <v>61</v>
      </c>
      <c r="P330" t="s">
        <v>63</v>
      </c>
      <c r="Q330" t="s">
        <v>879</v>
      </c>
      <c r="R330" t="s">
        <v>147</v>
      </c>
      <c r="S330" t="s">
        <v>68</v>
      </c>
      <c r="T330" t="s">
        <v>1088</v>
      </c>
      <c r="U330" t="s">
        <v>1312</v>
      </c>
      <c r="V330">
        <v>7</v>
      </c>
      <c r="W330" s="2">
        <v>2691.9341720419998</v>
      </c>
    </row>
    <row r="331" spans="1:23" x14ac:dyDescent="0.25">
      <c r="A331" t="s">
        <v>31</v>
      </c>
      <c r="B331" t="s">
        <v>32</v>
      </c>
      <c r="C331" t="s">
        <v>33</v>
      </c>
      <c r="D331" t="s">
        <v>34</v>
      </c>
      <c r="E331" t="s">
        <v>35</v>
      </c>
      <c r="F331" t="s">
        <v>36</v>
      </c>
      <c r="G331">
        <v>1141685</v>
      </c>
      <c r="H331" t="s">
        <v>3065</v>
      </c>
      <c r="I331" t="s">
        <v>42</v>
      </c>
      <c r="J331" t="s">
        <v>3065</v>
      </c>
      <c r="K331" t="s">
        <v>3066</v>
      </c>
      <c r="L331" s="4">
        <v>46173</v>
      </c>
      <c r="M331" s="4">
        <v>46173</v>
      </c>
      <c r="N331">
        <v>1143.22</v>
      </c>
      <c r="O331" t="s">
        <v>59</v>
      </c>
      <c r="P331" t="s">
        <v>63</v>
      </c>
      <c r="Q331" t="s">
        <v>3876</v>
      </c>
      <c r="R331" t="s">
        <v>3877</v>
      </c>
      <c r="S331" t="s">
        <v>66</v>
      </c>
      <c r="T331" t="s">
        <v>3878</v>
      </c>
      <c r="U331" t="s">
        <v>3879</v>
      </c>
      <c r="V331">
        <v>7</v>
      </c>
      <c r="W331" s="2">
        <v>29016</v>
      </c>
    </row>
    <row r="332" spans="1:23" x14ac:dyDescent="0.25">
      <c r="A332" t="s">
        <v>31</v>
      </c>
      <c r="B332" t="s">
        <v>32</v>
      </c>
      <c r="C332" t="s">
        <v>33</v>
      </c>
      <c r="D332" t="s">
        <v>34</v>
      </c>
      <c r="E332" t="s">
        <v>35</v>
      </c>
      <c r="F332" t="s">
        <v>36</v>
      </c>
      <c r="G332">
        <v>1141685</v>
      </c>
      <c r="H332" t="s">
        <v>3065</v>
      </c>
      <c r="I332" t="s">
        <v>42</v>
      </c>
      <c r="J332" t="s">
        <v>3065</v>
      </c>
      <c r="K332" t="s">
        <v>3066</v>
      </c>
      <c r="L332" s="4">
        <v>46173</v>
      </c>
      <c r="M332" s="4">
        <v>46173</v>
      </c>
      <c r="N332">
        <v>1143.22</v>
      </c>
      <c r="O332" t="s">
        <v>59</v>
      </c>
      <c r="P332" t="s">
        <v>63</v>
      </c>
      <c r="Q332" t="s">
        <v>3876</v>
      </c>
      <c r="R332" t="s">
        <v>3877</v>
      </c>
      <c r="S332" t="s">
        <v>66</v>
      </c>
      <c r="T332" t="s">
        <v>3878</v>
      </c>
      <c r="U332" t="s">
        <v>3879</v>
      </c>
      <c r="V332">
        <v>7</v>
      </c>
      <c r="W332" s="2">
        <v>29016</v>
      </c>
    </row>
    <row r="333" spans="1:23" x14ac:dyDescent="0.25">
      <c r="A333" t="s">
        <v>31</v>
      </c>
      <c r="B333" t="s">
        <v>32</v>
      </c>
      <c r="C333" t="s">
        <v>33</v>
      </c>
      <c r="D333" t="s">
        <v>34</v>
      </c>
      <c r="E333" t="s">
        <v>35</v>
      </c>
      <c r="F333" t="s">
        <v>36</v>
      </c>
      <c r="G333">
        <v>1141685</v>
      </c>
      <c r="H333" t="s">
        <v>3065</v>
      </c>
      <c r="I333" t="s">
        <v>42</v>
      </c>
      <c r="J333" t="s">
        <v>3065</v>
      </c>
      <c r="K333" t="s">
        <v>3066</v>
      </c>
      <c r="L333" s="4">
        <v>46173</v>
      </c>
      <c r="M333" s="4">
        <v>46173</v>
      </c>
      <c r="N333">
        <v>1143.22</v>
      </c>
      <c r="O333" t="s">
        <v>59</v>
      </c>
      <c r="P333" t="s">
        <v>63</v>
      </c>
      <c r="Q333" t="s">
        <v>3876</v>
      </c>
      <c r="R333" t="s">
        <v>3877</v>
      </c>
      <c r="S333" t="s">
        <v>66</v>
      </c>
      <c r="T333" t="s">
        <v>3878</v>
      </c>
      <c r="U333" t="s">
        <v>3879</v>
      </c>
      <c r="V333">
        <v>7</v>
      </c>
      <c r="W333" s="2">
        <v>29016</v>
      </c>
    </row>
    <row r="334" spans="1:23" x14ac:dyDescent="0.25">
      <c r="A334" t="s">
        <v>31</v>
      </c>
      <c r="B334" t="s">
        <v>32</v>
      </c>
      <c r="C334" t="s">
        <v>33</v>
      </c>
      <c r="D334" t="s">
        <v>34</v>
      </c>
      <c r="E334" t="s">
        <v>35</v>
      </c>
      <c r="F334" t="s">
        <v>36</v>
      </c>
      <c r="G334">
        <v>1141685</v>
      </c>
      <c r="H334" t="s">
        <v>3065</v>
      </c>
      <c r="I334" t="s">
        <v>42</v>
      </c>
      <c r="J334" t="s">
        <v>3065</v>
      </c>
      <c r="K334" t="s">
        <v>3066</v>
      </c>
      <c r="L334" s="4">
        <v>46173</v>
      </c>
      <c r="M334" s="4">
        <v>46173</v>
      </c>
      <c r="N334">
        <v>1143.22</v>
      </c>
      <c r="O334" t="s">
        <v>59</v>
      </c>
      <c r="P334" t="s">
        <v>63</v>
      </c>
      <c r="Q334" t="s">
        <v>3876</v>
      </c>
      <c r="R334" t="s">
        <v>3877</v>
      </c>
      <c r="S334" t="s">
        <v>66</v>
      </c>
      <c r="T334" t="s">
        <v>3878</v>
      </c>
      <c r="U334" t="s">
        <v>3879</v>
      </c>
      <c r="V334">
        <v>7</v>
      </c>
      <c r="W334" s="2">
        <v>29016</v>
      </c>
    </row>
    <row r="335" spans="1:23" x14ac:dyDescent="0.25">
      <c r="A335" t="s">
        <v>31</v>
      </c>
      <c r="B335" t="s">
        <v>32</v>
      </c>
      <c r="C335" t="s">
        <v>33</v>
      </c>
      <c r="D335" t="s">
        <v>34</v>
      </c>
      <c r="E335" t="s">
        <v>35</v>
      </c>
      <c r="F335" t="s">
        <v>36</v>
      </c>
      <c r="G335">
        <v>1141685</v>
      </c>
      <c r="H335" t="s">
        <v>3065</v>
      </c>
      <c r="I335" t="s">
        <v>42</v>
      </c>
      <c r="J335" t="s">
        <v>3065</v>
      </c>
      <c r="K335" t="s">
        <v>3066</v>
      </c>
      <c r="L335" s="4">
        <v>46173</v>
      </c>
      <c r="M335" s="4">
        <v>46173</v>
      </c>
      <c r="N335">
        <v>1143.22</v>
      </c>
      <c r="O335" t="s">
        <v>59</v>
      </c>
      <c r="P335" t="s">
        <v>63</v>
      </c>
      <c r="Q335" t="s">
        <v>3876</v>
      </c>
      <c r="R335" t="s">
        <v>3877</v>
      </c>
      <c r="S335" t="s">
        <v>66</v>
      </c>
      <c r="T335" t="s">
        <v>3878</v>
      </c>
      <c r="U335" t="s">
        <v>3879</v>
      </c>
      <c r="V335">
        <v>7</v>
      </c>
      <c r="W335" s="2">
        <v>29016</v>
      </c>
    </row>
    <row r="336" spans="1:23" x14ac:dyDescent="0.25">
      <c r="A336" t="s">
        <v>31</v>
      </c>
      <c r="B336" t="s">
        <v>32</v>
      </c>
      <c r="C336" t="s">
        <v>33</v>
      </c>
      <c r="D336" t="s">
        <v>34</v>
      </c>
      <c r="E336" t="s">
        <v>35</v>
      </c>
      <c r="F336" t="s">
        <v>36</v>
      </c>
      <c r="G336">
        <v>1141685</v>
      </c>
      <c r="H336" t="s">
        <v>3065</v>
      </c>
      <c r="I336" t="s">
        <v>42</v>
      </c>
      <c r="J336" t="s">
        <v>3065</v>
      </c>
      <c r="K336" t="s">
        <v>3066</v>
      </c>
      <c r="L336" s="4">
        <v>46173</v>
      </c>
      <c r="M336" s="4">
        <v>46173</v>
      </c>
      <c r="N336">
        <v>1143.22</v>
      </c>
      <c r="O336" t="s">
        <v>59</v>
      </c>
      <c r="P336" t="s">
        <v>63</v>
      </c>
      <c r="Q336" t="s">
        <v>3876</v>
      </c>
      <c r="R336" t="s">
        <v>3877</v>
      </c>
      <c r="S336" t="s">
        <v>66</v>
      </c>
      <c r="T336" t="s">
        <v>3878</v>
      </c>
      <c r="U336" t="s">
        <v>3879</v>
      </c>
      <c r="V336">
        <v>7</v>
      </c>
      <c r="W336" s="2">
        <v>29016</v>
      </c>
    </row>
    <row r="337" spans="1:23" x14ac:dyDescent="0.25">
      <c r="A337" t="s">
        <v>31</v>
      </c>
      <c r="B337" t="s">
        <v>32</v>
      </c>
      <c r="C337" t="s">
        <v>33</v>
      </c>
      <c r="D337" t="s">
        <v>34</v>
      </c>
      <c r="E337" t="s">
        <v>35</v>
      </c>
      <c r="F337" t="s">
        <v>36</v>
      </c>
      <c r="G337">
        <v>1141685</v>
      </c>
      <c r="H337" t="s">
        <v>3065</v>
      </c>
      <c r="I337" t="s">
        <v>42</v>
      </c>
      <c r="J337" t="s">
        <v>3065</v>
      </c>
      <c r="K337" t="s">
        <v>3066</v>
      </c>
      <c r="L337" s="4">
        <v>46173</v>
      </c>
      <c r="M337" s="4">
        <v>46173</v>
      </c>
      <c r="N337">
        <v>1143.22</v>
      </c>
      <c r="O337" t="s">
        <v>59</v>
      </c>
      <c r="P337" t="s">
        <v>63</v>
      </c>
      <c r="Q337" t="s">
        <v>3876</v>
      </c>
      <c r="R337" t="s">
        <v>3877</v>
      </c>
      <c r="S337" t="s">
        <v>66</v>
      </c>
      <c r="T337" t="s">
        <v>3878</v>
      </c>
      <c r="U337" t="s">
        <v>3879</v>
      </c>
      <c r="V337">
        <v>7</v>
      </c>
      <c r="W337" s="2">
        <v>29016</v>
      </c>
    </row>
    <row r="338" spans="1:23" x14ac:dyDescent="0.25">
      <c r="A338" t="s">
        <v>31</v>
      </c>
      <c r="B338" t="s">
        <v>32</v>
      </c>
      <c r="C338" t="s">
        <v>33</v>
      </c>
      <c r="D338" t="s">
        <v>34</v>
      </c>
      <c r="E338" t="s">
        <v>35</v>
      </c>
      <c r="F338" t="s">
        <v>36</v>
      </c>
      <c r="G338">
        <v>1141685</v>
      </c>
      <c r="H338" t="s">
        <v>3065</v>
      </c>
      <c r="I338" t="s">
        <v>42</v>
      </c>
      <c r="J338" t="s">
        <v>3065</v>
      </c>
      <c r="K338" t="s">
        <v>3066</v>
      </c>
      <c r="L338" s="4">
        <v>46173</v>
      </c>
      <c r="M338" s="4">
        <v>46173</v>
      </c>
      <c r="N338">
        <v>1143.22</v>
      </c>
      <c r="O338" t="s">
        <v>59</v>
      </c>
      <c r="P338" t="s">
        <v>63</v>
      </c>
      <c r="Q338" t="s">
        <v>3876</v>
      </c>
      <c r="R338" t="s">
        <v>3877</v>
      </c>
      <c r="S338" t="s">
        <v>66</v>
      </c>
      <c r="T338" t="s">
        <v>3878</v>
      </c>
      <c r="U338" t="s">
        <v>3879</v>
      </c>
      <c r="V338">
        <v>7</v>
      </c>
      <c r="W338" s="2">
        <v>29016</v>
      </c>
    </row>
    <row r="339" spans="1:23" x14ac:dyDescent="0.25">
      <c r="A339" t="s">
        <v>31</v>
      </c>
      <c r="B339" t="s">
        <v>32</v>
      </c>
      <c r="C339" t="s">
        <v>33</v>
      </c>
      <c r="D339" t="s">
        <v>34</v>
      </c>
      <c r="E339" t="s">
        <v>35</v>
      </c>
      <c r="F339" t="s">
        <v>36</v>
      </c>
      <c r="G339">
        <v>1141685</v>
      </c>
      <c r="H339" t="s">
        <v>3065</v>
      </c>
      <c r="I339" t="s">
        <v>42</v>
      </c>
      <c r="J339" t="s">
        <v>3065</v>
      </c>
      <c r="K339" t="s">
        <v>3066</v>
      </c>
      <c r="L339" s="4">
        <v>46173</v>
      </c>
      <c r="M339" s="4">
        <v>46173</v>
      </c>
      <c r="N339">
        <v>1143.22</v>
      </c>
      <c r="O339" t="s">
        <v>59</v>
      </c>
      <c r="P339" t="s">
        <v>63</v>
      </c>
      <c r="Q339" t="s">
        <v>3876</v>
      </c>
      <c r="R339" t="s">
        <v>3877</v>
      </c>
      <c r="S339" t="s">
        <v>66</v>
      </c>
      <c r="T339" t="s">
        <v>3878</v>
      </c>
      <c r="U339" t="s">
        <v>3879</v>
      </c>
      <c r="V339">
        <v>7</v>
      </c>
      <c r="W339" s="2">
        <v>29016</v>
      </c>
    </row>
    <row r="340" spans="1:23" x14ac:dyDescent="0.25">
      <c r="A340" t="s">
        <v>31</v>
      </c>
      <c r="B340" t="s">
        <v>32</v>
      </c>
      <c r="C340" t="s">
        <v>33</v>
      </c>
      <c r="D340" t="s">
        <v>34</v>
      </c>
      <c r="E340" t="s">
        <v>35</v>
      </c>
      <c r="F340" t="s">
        <v>36</v>
      </c>
      <c r="G340">
        <v>1141685</v>
      </c>
      <c r="H340" t="s">
        <v>3065</v>
      </c>
      <c r="I340" t="s">
        <v>42</v>
      </c>
      <c r="J340" t="s">
        <v>3065</v>
      </c>
      <c r="K340" t="s">
        <v>3066</v>
      </c>
      <c r="L340" s="4">
        <v>46173</v>
      </c>
      <c r="M340" s="4">
        <v>46173</v>
      </c>
      <c r="N340">
        <v>1143.22</v>
      </c>
      <c r="O340" t="s">
        <v>59</v>
      </c>
      <c r="P340" t="s">
        <v>63</v>
      </c>
      <c r="Q340" t="s">
        <v>3876</v>
      </c>
      <c r="R340" t="s">
        <v>3877</v>
      </c>
      <c r="S340" t="s">
        <v>66</v>
      </c>
      <c r="T340" t="s">
        <v>3878</v>
      </c>
      <c r="U340" t="s">
        <v>3879</v>
      </c>
      <c r="V340">
        <v>7</v>
      </c>
      <c r="W340" s="2">
        <v>29016</v>
      </c>
    </row>
    <row r="341" spans="1:23" x14ac:dyDescent="0.25">
      <c r="A341" t="s">
        <v>31</v>
      </c>
      <c r="B341" t="s">
        <v>32</v>
      </c>
      <c r="C341" t="s">
        <v>33</v>
      </c>
      <c r="D341" t="s">
        <v>34</v>
      </c>
      <c r="E341" t="s">
        <v>35</v>
      </c>
      <c r="F341" t="s">
        <v>36</v>
      </c>
      <c r="G341">
        <v>1141685</v>
      </c>
      <c r="H341" t="s">
        <v>3065</v>
      </c>
      <c r="I341" t="s">
        <v>42</v>
      </c>
      <c r="J341" t="s">
        <v>3065</v>
      </c>
      <c r="K341" t="s">
        <v>3066</v>
      </c>
      <c r="L341" s="4">
        <v>46173</v>
      </c>
      <c r="M341" s="4">
        <v>46173</v>
      </c>
      <c r="N341">
        <v>1143.22</v>
      </c>
      <c r="O341" t="s">
        <v>59</v>
      </c>
      <c r="P341" t="s">
        <v>63</v>
      </c>
      <c r="Q341" t="s">
        <v>3876</v>
      </c>
      <c r="R341" t="s">
        <v>3877</v>
      </c>
      <c r="S341" t="s">
        <v>66</v>
      </c>
      <c r="T341" t="s">
        <v>3878</v>
      </c>
      <c r="U341" t="s">
        <v>3879</v>
      </c>
      <c r="V341">
        <v>7</v>
      </c>
      <c r="W341" s="2">
        <v>29016</v>
      </c>
    </row>
    <row r="342" spans="1:23" x14ac:dyDescent="0.25">
      <c r="A342" t="s">
        <v>31</v>
      </c>
      <c r="B342" t="s">
        <v>32</v>
      </c>
      <c r="C342" t="s">
        <v>33</v>
      </c>
      <c r="D342" t="s">
        <v>34</v>
      </c>
      <c r="E342" t="s">
        <v>35</v>
      </c>
      <c r="F342" t="s">
        <v>36</v>
      </c>
      <c r="G342">
        <v>1141685</v>
      </c>
      <c r="H342" t="s">
        <v>3065</v>
      </c>
      <c r="I342" t="s">
        <v>42</v>
      </c>
      <c r="J342" t="s">
        <v>3065</v>
      </c>
      <c r="K342" t="s">
        <v>3066</v>
      </c>
      <c r="L342" s="4">
        <v>46173</v>
      </c>
      <c r="M342" s="4">
        <v>46173</v>
      </c>
      <c r="N342">
        <v>1143.22</v>
      </c>
      <c r="O342" t="s">
        <v>59</v>
      </c>
      <c r="P342" t="s">
        <v>63</v>
      </c>
      <c r="Q342" t="s">
        <v>3876</v>
      </c>
      <c r="R342" t="s">
        <v>3877</v>
      </c>
      <c r="S342" t="s">
        <v>66</v>
      </c>
      <c r="T342" t="s">
        <v>3878</v>
      </c>
      <c r="U342" t="s">
        <v>3879</v>
      </c>
      <c r="V342">
        <v>7</v>
      </c>
      <c r="W342" s="2">
        <v>29016</v>
      </c>
    </row>
    <row r="343" spans="1:23" x14ac:dyDescent="0.25">
      <c r="A343" t="s">
        <v>31</v>
      </c>
      <c r="B343" t="s">
        <v>32</v>
      </c>
      <c r="C343" t="s">
        <v>33</v>
      </c>
      <c r="D343" t="s">
        <v>34</v>
      </c>
      <c r="E343" t="s">
        <v>35</v>
      </c>
      <c r="F343" t="s">
        <v>36</v>
      </c>
      <c r="G343">
        <v>1141685</v>
      </c>
      <c r="H343" t="s">
        <v>3065</v>
      </c>
      <c r="I343" t="s">
        <v>42</v>
      </c>
      <c r="J343" t="s">
        <v>3065</v>
      </c>
      <c r="K343" t="s">
        <v>3066</v>
      </c>
      <c r="L343" s="4">
        <v>46173</v>
      </c>
      <c r="M343" s="4">
        <v>46173</v>
      </c>
      <c r="N343">
        <v>1143.22</v>
      </c>
      <c r="O343" t="s">
        <v>59</v>
      </c>
      <c r="P343" t="s">
        <v>63</v>
      </c>
      <c r="Q343" t="s">
        <v>3876</v>
      </c>
      <c r="R343" t="s">
        <v>3877</v>
      </c>
      <c r="S343" t="s">
        <v>66</v>
      </c>
      <c r="T343" t="s">
        <v>3878</v>
      </c>
      <c r="U343" t="s">
        <v>3879</v>
      </c>
      <c r="V343">
        <v>7</v>
      </c>
      <c r="W343" s="2">
        <v>29016</v>
      </c>
    </row>
    <row r="344" spans="1:23" x14ac:dyDescent="0.25">
      <c r="A344" t="s">
        <v>31</v>
      </c>
      <c r="B344" t="s">
        <v>32</v>
      </c>
      <c r="C344" t="s">
        <v>33</v>
      </c>
      <c r="D344" t="s">
        <v>34</v>
      </c>
      <c r="E344" t="s">
        <v>35</v>
      </c>
      <c r="F344" t="s">
        <v>36</v>
      </c>
      <c r="G344">
        <v>1141685</v>
      </c>
      <c r="H344" t="s">
        <v>3065</v>
      </c>
      <c r="I344" t="s">
        <v>42</v>
      </c>
      <c r="J344" t="s">
        <v>3065</v>
      </c>
      <c r="K344" t="s">
        <v>3066</v>
      </c>
      <c r="L344" s="4">
        <v>46173</v>
      </c>
      <c r="M344" s="4">
        <v>46173</v>
      </c>
      <c r="N344">
        <v>1143.22</v>
      </c>
      <c r="O344" t="s">
        <v>59</v>
      </c>
      <c r="P344" t="s">
        <v>63</v>
      </c>
      <c r="Q344" t="s">
        <v>3876</v>
      </c>
      <c r="R344" t="s">
        <v>3877</v>
      </c>
      <c r="S344" t="s">
        <v>66</v>
      </c>
      <c r="T344" t="s">
        <v>3878</v>
      </c>
      <c r="U344" t="s">
        <v>3879</v>
      </c>
      <c r="V344">
        <v>7</v>
      </c>
      <c r="W344" s="2">
        <v>29016</v>
      </c>
    </row>
    <row r="345" spans="1:23" x14ac:dyDescent="0.25">
      <c r="A345" t="s">
        <v>31</v>
      </c>
      <c r="B345" t="s">
        <v>32</v>
      </c>
      <c r="C345" t="s">
        <v>33</v>
      </c>
      <c r="D345" t="s">
        <v>34</v>
      </c>
      <c r="E345" t="s">
        <v>35</v>
      </c>
      <c r="F345" t="s">
        <v>36</v>
      </c>
      <c r="G345">
        <v>1141685</v>
      </c>
      <c r="H345" t="s">
        <v>3065</v>
      </c>
      <c r="I345" t="s">
        <v>42</v>
      </c>
      <c r="J345" t="s">
        <v>3065</v>
      </c>
      <c r="K345" t="s">
        <v>3066</v>
      </c>
      <c r="L345" s="4">
        <v>46173</v>
      </c>
      <c r="M345" s="4">
        <v>46173</v>
      </c>
      <c r="N345">
        <v>1143.22</v>
      </c>
      <c r="O345" t="s">
        <v>59</v>
      </c>
      <c r="P345" t="s">
        <v>63</v>
      </c>
      <c r="Q345" t="s">
        <v>3876</v>
      </c>
      <c r="R345" t="s">
        <v>3877</v>
      </c>
      <c r="S345" t="s">
        <v>66</v>
      </c>
      <c r="T345" t="s">
        <v>3878</v>
      </c>
      <c r="U345" t="s">
        <v>3879</v>
      </c>
      <c r="V345">
        <v>7</v>
      </c>
      <c r="W345" s="2">
        <v>29016</v>
      </c>
    </row>
    <row r="346" spans="1:23" x14ac:dyDescent="0.25">
      <c r="A346" t="s">
        <v>31</v>
      </c>
      <c r="B346" t="s">
        <v>32</v>
      </c>
      <c r="C346" t="s">
        <v>33</v>
      </c>
      <c r="D346" t="s">
        <v>34</v>
      </c>
      <c r="E346" t="s">
        <v>35</v>
      </c>
      <c r="F346" t="s">
        <v>36</v>
      </c>
      <c r="G346">
        <v>1141685</v>
      </c>
      <c r="H346" t="s">
        <v>3065</v>
      </c>
      <c r="I346" t="s">
        <v>42</v>
      </c>
      <c r="J346" t="s">
        <v>3065</v>
      </c>
      <c r="K346" t="s">
        <v>3066</v>
      </c>
      <c r="L346" s="4">
        <v>46173</v>
      </c>
      <c r="M346" s="4">
        <v>46173</v>
      </c>
      <c r="N346">
        <v>1143.22</v>
      </c>
      <c r="O346" t="s">
        <v>59</v>
      </c>
      <c r="P346" t="s">
        <v>63</v>
      </c>
      <c r="Q346" t="s">
        <v>3876</v>
      </c>
      <c r="R346" t="s">
        <v>3877</v>
      </c>
      <c r="S346" t="s">
        <v>66</v>
      </c>
      <c r="T346" t="s">
        <v>3878</v>
      </c>
      <c r="U346" t="s">
        <v>3879</v>
      </c>
      <c r="V346">
        <v>7</v>
      </c>
      <c r="W346" s="2">
        <v>29016</v>
      </c>
    </row>
    <row r="347" spans="1:23" x14ac:dyDescent="0.25">
      <c r="A347" t="s">
        <v>31</v>
      </c>
      <c r="B347" t="s">
        <v>32</v>
      </c>
      <c r="C347" t="s">
        <v>33</v>
      </c>
      <c r="D347" t="s">
        <v>34</v>
      </c>
      <c r="E347" t="s">
        <v>35</v>
      </c>
      <c r="F347" t="s">
        <v>36</v>
      </c>
      <c r="G347">
        <v>1141685</v>
      </c>
      <c r="H347" t="s">
        <v>3065</v>
      </c>
      <c r="I347" t="s">
        <v>42</v>
      </c>
      <c r="J347" t="s">
        <v>3065</v>
      </c>
      <c r="K347" t="s">
        <v>3066</v>
      </c>
      <c r="L347" s="4">
        <v>46173</v>
      </c>
      <c r="M347" s="4">
        <v>46173</v>
      </c>
      <c r="N347">
        <v>1143.22</v>
      </c>
      <c r="O347" t="s">
        <v>59</v>
      </c>
      <c r="P347" t="s">
        <v>63</v>
      </c>
      <c r="Q347" t="s">
        <v>3876</v>
      </c>
      <c r="R347" t="s">
        <v>3877</v>
      </c>
      <c r="S347" t="s">
        <v>66</v>
      </c>
      <c r="T347" t="s">
        <v>3878</v>
      </c>
      <c r="U347" t="s">
        <v>3879</v>
      </c>
      <c r="V347">
        <v>7</v>
      </c>
      <c r="W347" s="2">
        <v>29016</v>
      </c>
    </row>
    <row r="348" spans="1:23" x14ac:dyDescent="0.25">
      <c r="A348" t="s">
        <v>31</v>
      </c>
      <c r="B348" t="s">
        <v>32</v>
      </c>
      <c r="C348" t="s">
        <v>33</v>
      </c>
      <c r="D348" t="s">
        <v>34</v>
      </c>
      <c r="E348" t="s">
        <v>35</v>
      </c>
      <c r="F348" t="s">
        <v>36</v>
      </c>
      <c r="G348">
        <v>1141685</v>
      </c>
      <c r="H348" t="s">
        <v>3065</v>
      </c>
      <c r="I348" t="s">
        <v>42</v>
      </c>
      <c r="J348" t="s">
        <v>3065</v>
      </c>
      <c r="K348" t="s">
        <v>3066</v>
      </c>
      <c r="L348" s="4">
        <v>46173</v>
      </c>
      <c r="M348" s="4">
        <v>46173</v>
      </c>
      <c r="N348">
        <v>1143.22</v>
      </c>
      <c r="O348" t="s">
        <v>59</v>
      </c>
      <c r="P348" t="s">
        <v>63</v>
      </c>
      <c r="Q348" t="s">
        <v>3876</v>
      </c>
      <c r="R348" t="s">
        <v>3877</v>
      </c>
      <c r="S348" t="s">
        <v>66</v>
      </c>
      <c r="T348" t="s">
        <v>3878</v>
      </c>
      <c r="U348" t="s">
        <v>3879</v>
      </c>
      <c r="V348">
        <v>7</v>
      </c>
      <c r="W348" s="2">
        <v>29016</v>
      </c>
    </row>
    <row r="349" spans="1:23" x14ac:dyDescent="0.25">
      <c r="A349" t="s">
        <v>31</v>
      </c>
      <c r="B349" t="s">
        <v>32</v>
      </c>
      <c r="C349" t="s">
        <v>33</v>
      </c>
      <c r="D349" t="s">
        <v>34</v>
      </c>
      <c r="E349" t="s">
        <v>35</v>
      </c>
      <c r="F349" t="s">
        <v>36</v>
      </c>
      <c r="G349">
        <v>1141685</v>
      </c>
      <c r="H349" t="s">
        <v>3065</v>
      </c>
      <c r="I349" t="s">
        <v>42</v>
      </c>
      <c r="J349" t="s">
        <v>3065</v>
      </c>
      <c r="K349" t="s">
        <v>3066</v>
      </c>
      <c r="L349" s="4">
        <v>46173</v>
      </c>
      <c r="M349" s="4">
        <v>46173</v>
      </c>
      <c r="N349">
        <v>1143.22</v>
      </c>
      <c r="O349" t="s">
        <v>59</v>
      </c>
      <c r="P349" t="s">
        <v>63</v>
      </c>
      <c r="Q349" t="s">
        <v>3876</v>
      </c>
      <c r="R349" t="s">
        <v>3877</v>
      </c>
      <c r="S349" t="s">
        <v>66</v>
      </c>
      <c r="T349" t="s">
        <v>3878</v>
      </c>
      <c r="U349" t="s">
        <v>3879</v>
      </c>
      <c r="V349">
        <v>7</v>
      </c>
      <c r="W349" s="2">
        <v>29016</v>
      </c>
    </row>
    <row r="350" spans="1:23" x14ac:dyDescent="0.25">
      <c r="A350" t="s">
        <v>31</v>
      </c>
      <c r="B350" t="s">
        <v>32</v>
      </c>
      <c r="C350" t="s">
        <v>33</v>
      </c>
      <c r="D350" t="s">
        <v>34</v>
      </c>
      <c r="E350" t="s">
        <v>35</v>
      </c>
      <c r="F350" t="s">
        <v>36</v>
      </c>
      <c r="G350">
        <v>1141685</v>
      </c>
      <c r="H350" t="s">
        <v>3065</v>
      </c>
      <c r="I350" t="s">
        <v>42</v>
      </c>
      <c r="J350" t="s">
        <v>3065</v>
      </c>
      <c r="K350" t="s">
        <v>3066</v>
      </c>
      <c r="L350" s="4">
        <v>46173</v>
      </c>
      <c r="M350" s="4">
        <v>46173</v>
      </c>
      <c r="N350">
        <v>1143.22</v>
      </c>
      <c r="O350" t="s">
        <v>59</v>
      </c>
      <c r="P350" t="s">
        <v>63</v>
      </c>
      <c r="Q350" t="s">
        <v>3876</v>
      </c>
      <c r="R350" t="s">
        <v>3877</v>
      </c>
      <c r="S350" t="s">
        <v>66</v>
      </c>
      <c r="T350" t="s">
        <v>3878</v>
      </c>
      <c r="U350" t="s">
        <v>3879</v>
      </c>
      <c r="V350">
        <v>7</v>
      </c>
      <c r="W350" s="2">
        <v>29016</v>
      </c>
    </row>
    <row r="351" spans="1:23" x14ac:dyDescent="0.25">
      <c r="A351" t="s">
        <v>31</v>
      </c>
      <c r="B351" t="s">
        <v>32</v>
      </c>
      <c r="C351" t="s">
        <v>33</v>
      </c>
      <c r="D351" t="s">
        <v>34</v>
      </c>
      <c r="E351" t="s">
        <v>35</v>
      </c>
      <c r="F351" t="s">
        <v>36</v>
      </c>
      <c r="G351">
        <v>1141685</v>
      </c>
      <c r="H351" t="s">
        <v>3065</v>
      </c>
      <c r="I351" t="s">
        <v>42</v>
      </c>
      <c r="J351" t="s">
        <v>3065</v>
      </c>
      <c r="K351" t="s">
        <v>3066</v>
      </c>
      <c r="L351" s="4">
        <v>46173</v>
      </c>
      <c r="M351" s="4">
        <v>46173</v>
      </c>
      <c r="N351">
        <v>1143.22</v>
      </c>
      <c r="O351" t="s">
        <v>59</v>
      </c>
      <c r="P351" t="s">
        <v>63</v>
      </c>
      <c r="Q351" t="s">
        <v>3876</v>
      </c>
      <c r="R351" t="s">
        <v>3877</v>
      </c>
      <c r="S351" t="s">
        <v>66</v>
      </c>
      <c r="T351" t="s">
        <v>3878</v>
      </c>
      <c r="U351" t="s">
        <v>3879</v>
      </c>
      <c r="V351">
        <v>7</v>
      </c>
      <c r="W351" s="2">
        <v>29016</v>
      </c>
    </row>
    <row r="352" spans="1:23" x14ac:dyDescent="0.25">
      <c r="A352" t="s">
        <v>31</v>
      </c>
      <c r="B352" t="s">
        <v>32</v>
      </c>
      <c r="C352" t="s">
        <v>33</v>
      </c>
      <c r="D352" t="s">
        <v>34</v>
      </c>
      <c r="E352" t="s">
        <v>35</v>
      </c>
      <c r="F352" t="s">
        <v>36</v>
      </c>
      <c r="G352">
        <v>1141685</v>
      </c>
      <c r="H352" t="s">
        <v>3065</v>
      </c>
      <c r="I352" t="s">
        <v>42</v>
      </c>
      <c r="J352" t="s">
        <v>3065</v>
      </c>
      <c r="K352" t="s">
        <v>3066</v>
      </c>
      <c r="L352" s="4">
        <v>46173</v>
      </c>
      <c r="M352" s="4">
        <v>46173</v>
      </c>
      <c r="N352">
        <v>1143.22</v>
      </c>
      <c r="O352" t="s">
        <v>59</v>
      </c>
      <c r="P352" t="s">
        <v>63</v>
      </c>
      <c r="Q352" t="s">
        <v>3876</v>
      </c>
      <c r="R352" t="s">
        <v>3877</v>
      </c>
      <c r="S352" t="s">
        <v>66</v>
      </c>
      <c r="T352" t="s">
        <v>3878</v>
      </c>
      <c r="U352" t="s">
        <v>3879</v>
      </c>
      <c r="V352">
        <v>7</v>
      </c>
      <c r="W352" s="2">
        <v>29016</v>
      </c>
    </row>
    <row r="353" spans="1:23" x14ac:dyDescent="0.25">
      <c r="A353" t="s">
        <v>31</v>
      </c>
      <c r="B353" t="s">
        <v>32</v>
      </c>
      <c r="C353" t="s">
        <v>33</v>
      </c>
      <c r="D353" t="s">
        <v>34</v>
      </c>
      <c r="E353" t="s">
        <v>35</v>
      </c>
      <c r="F353" t="s">
        <v>36</v>
      </c>
      <c r="G353">
        <v>1141685</v>
      </c>
      <c r="H353" t="s">
        <v>3065</v>
      </c>
      <c r="I353" t="s">
        <v>42</v>
      </c>
      <c r="J353" t="s">
        <v>3065</v>
      </c>
      <c r="K353" t="s">
        <v>3066</v>
      </c>
      <c r="L353" s="4">
        <v>46173</v>
      </c>
      <c r="M353" s="4">
        <v>46173</v>
      </c>
      <c r="N353">
        <v>1143.22</v>
      </c>
      <c r="O353" t="s">
        <v>59</v>
      </c>
      <c r="P353" t="s">
        <v>63</v>
      </c>
      <c r="Q353" t="s">
        <v>3876</v>
      </c>
      <c r="R353" t="s">
        <v>3877</v>
      </c>
      <c r="S353" t="s">
        <v>66</v>
      </c>
      <c r="T353" t="s">
        <v>3878</v>
      </c>
      <c r="U353" t="s">
        <v>3879</v>
      </c>
      <c r="V353">
        <v>7</v>
      </c>
      <c r="W353" s="2">
        <v>29016</v>
      </c>
    </row>
    <row r="354" spans="1:23" x14ac:dyDescent="0.25">
      <c r="A354" t="s">
        <v>31</v>
      </c>
      <c r="B354" t="s">
        <v>32</v>
      </c>
      <c r="C354" t="s">
        <v>33</v>
      </c>
      <c r="D354" t="s">
        <v>34</v>
      </c>
      <c r="E354" t="s">
        <v>35</v>
      </c>
      <c r="F354" t="s">
        <v>36</v>
      </c>
      <c r="G354">
        <v>1141685</v>
      </c>
      <c r="H354" t="s">
        <v>3065</v>
      </c>
      <c r="I354" t="s">
        <v>42</v>
      </c>
      <c r="J354" t="s">
        <v>3065</v>
      </c>
      <c r="K354" t="s">
        <v>3066</v>
      </c>
      <c r="L354" s="4">
        <v>46173</v>
      </c>
      <c r="M354" s="4">
        <v>46173</v>
      </c>
      <c r="N354">
        <v>1143.22</v>
      </c>
      <c r="O354" t="s">
        <v>59</v>
      </c>
      <c r="P354" t="s">
        <v>63</v>
      </c>
      <c r="Q354" t="s">
        <v>3876</v>
      </c>
      <c r="R354" t="s">
        <v>3877</v>
      </c>
      <c r="S354" t="s">
        <v>66</v>
      </c>
      <c r="T354" t="s">
        <v>3878</v>
      </c>
      <c r="U354" t="s">
        <v>3879</v>
      </c>
      <c r="V354">
        <v>7</v>
      </c>
      <c r="W354" s="2">
        <v>29016</v>
      </c>
    </row>
    <row r="355" spans="1:23" x14ac:dyDescent="0.25">
      <c r="A355" t="s">
        <v>31</v>
      </c>
      <c r="B355" t="s">
        <v>32</v>
      </c>
      <c r="C355" t="s">
        <v>33</v>
      </c>
      <c r="D355" t="s">
        <v>34</v>
      </c>
      <c r="E355" t="s">
        <v>35</v>
      </c>
      <c r="F355" t="s">
        <v>36</v>
      </c>
      <c r="G355">
        <v>1141685</v>
      </c>
      <c r="H355" t="s">
        <v>3065</v>
      </c>
      <c r="I355" t="s">
        <v>42</v>
      </c>
      <c r="J355" t="s">
        <v>3065</v>
      </c>
      <c r="K355" t="s">
        <v>3066</v>
      </c>
      <c r="L355" s="4">
        <v>46173</v>
      </c>
      <c r="M355" s="4">
        <v>46173</v>
      </c>
      <c r="N355">
        <v>1143.22</v>
      </c>
      <c r="O355" t="s">
        <v>59</v>
      </c>
      <c r="P355" t="s">
        <v>63</v>
      </c>
      <c r="Q355" t="s">
        <v>3876</v>
      </c>
      <c r="R355" t="s">
        <v>3877</v>
      </c>
      <c r="S355" t="s">
        <v>66</v>
      </c>
      <c r="T355" t="s">
        <v>3878</v>
      </c>
      <c r="U355" t="s">
        <v>3879</v>
      </c>
      <c r="V355">
        <v>7</v>
      </c>
      <c r="W355" s="2">
        <v>29016</v>
      </c>
    </row>
    <row r="356" spans="1:23" x14ac:dyDescent="0.25">
      <c r="A356" t="s">
        <v>31</v>
      </c>
      <c r="B356" t="s">
        <v>32</v>
      </c>
      <c r="C356" t="s">
        <v>33</v>
      </c>
      <c r="D356" t="s">
        <v>34</v>
      </c>
      <c r="E356" t="s">
        <v>35</v>
      </c>
      <c r="F356" t="s">
        <v>36</v>
      </c>
      <c r="G356">
        <v>1141685</v>
      </c>
      <c r="H356" t="s">
        <v>3065</v>
      </c>
      <c r="I356" t="s">
        <v>42</v>
      </c>
      <c r="J356" t="s">
        <v>3065</v>
      </c>
      <c r="K356" t="s">
        <v>3066</v>
      </c>
      <c r="L356" s="4">
        <v>46173</v>
      </c>
      <c r="M356" s="4">
        <v>46173</v>
      </c>
      <c r="N356">
        <v>1143.22</v>
      </c>
      <c r="O356" t="s">
        <v>59</v>
      </c>
      <c r="P356" t="s">
        <v>63</v>
      </c>
      <c r="Q356" t="s">
        <v>3876</v>
      </c>
      <c r="R356" t="s">
        <v>3877</v>
      </c>
      <c r="S356" t="s">
        <v>66</v>
      </c>
      <c r="T356" t="s">
        <v>3878</v>
      </c>
      <c r="U356" t="s">
        <v>3879</v>
      </c>
      <c r="V356">
        <v>7</v>
      </c>
      <c r="W356" s="2">
        <v>29016</v>
      </c>
    </row>
    <row r="357" spans="1:23" x14ac:dyDescent="0.25">
      <c r="A357" t="s">
        <v>31</v>
      </c>
      <c r="B357" t="s">
        <v>32</v>
      </c>
      <c r="C357" t="s">
        <v>33</v>
      </c>
      <c r="D357" t="s">
        <v>34</v>
      </c>
      <c r="E357" t="s">
        <v>35</v>
      </c>
      <c r="F357" t="s">
        <v>36</v>
      </c>
      <c r="G357">
        <v>1141685</v>
      </c>
      <c r="H357" t="s">
        <v>3065</v>
      </c>
      <c r="I357" t="s">
        <v>42</v>
      </c>
      <c r="J357" t="s">
        <v>3065</v>
      </c>
      <c r="K357" t="s">
        <v>3066</v>
      </c>
      <c r="L357" s="4">
        <v>46173</v>
      </c>
      <c r="M357" s="4">
        <v>46173</v>
      </c>
      <c r="N357">
        <v>1143.22</v>
      </c>
      <c r="O357" t="s">
        <v>59</v>
      </c>
      <c r="P357" t="s">
        <v>63</v>
      </c>
      <c r="Q357" t="s">
        <v>3876</v>
      </c>
      <c r="R357" t="s">
        <v>3877</v>
      </c>
      <c r="S357" t="s">
        <v>66</v>
      </c>
      <c r="T357" t="s">
        <v>3878</v>
      </c>
      <c r="U357" t="s">
        <v>3879</v>
      </c>
      <c r="V357">
        <v>7</v>
      </c>
      <c r="W357" s="2">
        <v>29016</v>
      </c>
    </row>
    <row r="358" spans="1:23" x14ac:dyDescent="0.25">
      <c r="A358" t="s">
        <v>31</v>
      </c>
      <c r="B358" t="s">
        <v>32</v>
      </c>
      <c r="C358" t="s">
        <v>33</v>
      </c>
      <c r="D358" t="s">
        <v>34</v>
      </c>
      <c r="E358" t="s">
        <v>35</v>
      </c>
      <c r="F358" t="s">
        <v>36</v>
      </c>
      <c r="G358">
        <v>1141685</v>
      </c>
      <c r="H358" t="s">
        <v>3065</v>
      </c>
      <c r="I358" t="s">
        <v>42</v>
      </c>
      <c r="J358" t="s">
        <v>3065</v>
      </c>
      <c r="K358" t="s">
        <v>3066</v>
      </c>
      <c r="L358" s="4">
        <v>46173</v>
      </c>
      <c r="M358" s="4">
        <v>46173</v>
      </c>
      <c r="N358">
        <v>1143.22</v>
      </c>
      <c r="O358" t="s">
        <v>59</v>
      </c>
      <c r="P358" t="s">
        <v>63</v>
      </c>
      <c r="Q358" t="s">
        <v>3876</v>
      </c>
      <c r="R358" t="s">
        <v>3877</v>
      </c>
      <c r="S358" t="s">
        <v>66</v>
      </c>
      <c r="T358" t="s">
        <v>3878</v>
      </c>
      <c r="U358" t="s">
        <v>3879</v>
      </c>
      <c r="V358">
        <v>7</v>
      </c>
      <c r="W358" s="2">
        <v>29016</v>
      </c>
    </row>
    <row r="359" spans="1:23" x14ac:dyDescent="0.25">
      <c r="A359" t="s">
        <v>31</v>
      </c>
      <c r="B359" t="s">
        <v>32</v>
      </c>
      <c r="C359" t="s">
        <v>33</v>
      </c>
      <c r="D359" t="s">
        <v>34</v>
      </c>
      <c r="E359" t="s">
        <v>35</v>
      </c>
      <c r="F359" t="s">
        <v>36</v>
      </c>
      <c r="G359">
        <v>1141685</v>
      </c>
      <c r="H359" t="s">
        <v>3065</v>
      </c>
      <c r="I359" t="s">
        <v>42</v>
      </c>
      <c r="J359" t="s">
        <v>3065</v>
      </c>
      <c r="K359" t="s">
        <v>3066</v>
      </c>
      <c r="L359" s="4">
        <v>46173</v>
      </c>
      <c r="M359" s="4">
        <v>46173</v>
      </c>
      <c r="N359">
        <v>1143.22</v>
      </c>
      <c r="O359" t="s">
        <v>59</v>
      </c>
      <c r="P359" t="s">
        <v>63</v>
      </c>
      <c r="Q359" t="s">
        <v>3876</v>
      </c>
      <c r="R359" t="s">
        <v>3877</v>
      </c>
      <c r="S359" t="s">
        <v>66</v>
      </c>
      <c r="T359" t="s">
        <v>3878</v>
      </c>
      <c r="U359" t="s">
        <v>3879</v>
      </c>
      <c r="V359">
        <v>7</v>
      </c>
      <c r="W359" s="2">
        <v>29016</v>
      </c>
    </row>
    <row r="360" spans="1:23" x14ac:dyDescent="0.25">
      <c r="A360" t="s">
        <v>31</v>
      </c>
      <c r="B360" t="s">
        <v>32</v>
      </c>
      <c r="C360" t="s">
        <v>33</v>
      </c>
      <c r="D360" t="s">
        <v>34</v>
      </c>
      <c r="E360" t="s">
        <v>35</v>
      </c>
      <c r="F360" t="s">
        <v>36</v>
      </c>
      <c r="G360">
        <v>1141685</v>
      </c>
      <c r="H360" t="s">
        <v>3065</v>
      </c>
      <c r="I360" t="s">
        <v>42</v>
      </c>
      <c r="J360" t="s">
        <v>3065</v>
      </c>
      <c r="K360" t="s">
        <v>3066</v>
      </c>
      <c r="L360" s="4">
        <v>46173</v>
      </c>
      <c r="M360" s="4">
        <v>46173</v>
      </c>
      <c r="N360">
        <v>1143.22</v>
      </c>
      <c r="O360" t="s">
        <v>59</v>
      </c>
      <c r="P360" t="s">
        <v>63</v>
      </c>
      <c r="Q360" t="s">
        <v>3876</v>
      </c>
      <c r="R360" t="s">
        <v>3877</v>
      </c>
      <c r="S360" t="s">
        <v>66</v>
      </c>
      <c r="T360" t="s">
        <v>3878</v>
      </c>
      <c r="U360" t="s">
        <v>3879</v>
      </c>
      <c r="V360">
        <v>7</v>
      </c>
      <c r="W360" s="2">
        <v>29016</v>
      </c>
    </row>
    <row r="361" spans="1:23" x14ac:dyDescent="0.25">
      <c r="A361" t="s">
        <v>31</v>
      </c>
      <c r="B361" t="s">
        <v>32</v>
      </c>
      <c r="C361" t="s">
        <v>33</v>
      </c>
      <c r="D361" t="s">
        <v>34</v>
      </c>
      <c r="E361" t="s">
        <v>35</v>
      </c>
      <c r="F361" t="s">
        <v>36</v>
      </c>
      <c r="G361">
        <v>1141685</v>
      </c>
      <c r="H361" t="s">
        <v>3065</v>
      </c>
      <c r="I361" t="s">
        <v>42</v>
      </c>
      <c r="J361" t="s">
        <v>3065</v>
      </c>
      <c r="K361" t="s">
        <v>3066</v>
      </c>
      <c r="L361" s="4">
        <v>46173</v>
      </c>
      <c r="M361" s="4">
        <v>46173</v>
      </c>
      <c r="N361">
        <v>1143.22</v>
      </c>
      <c r="O361" t="s">
        <v>59</v>
      </c>
      <c r="P361" t="s">
        <v>63</v>
      </c>
      <c r="Q361" t="s">
        <v>3876</v>
      </c>
      <c r="R361" t="s">
        <v>3877</v>
      </c>
      <c r="S361" t="s">
        <v>66</v>
      </c>
      <c r="T361" t="s">
        <v>3878</v>
      </c>
      <c r="U361" t="s">
        <v>3879</v>
      </c>
      <c r="V361">
        <v>7</v>
      </c>
      <c r="W361" s="2">
        <v>29016</v>
      </c>
    </row>
    <row r="362" spans="1:23" x14ac:dyDescent="0.25">
      <c r="A362" t="s">
        <v>31</v>
      </c>
      <c r="B362" s="5" t="s">
        <v>32</v>
      </c>
      <c r="C362" s="5" t="s">
        <v>33</v>
      </c>
      <c r="D362" s="5" t="s">
        <v>34</v>
      </c>
      <c r="E362" s="5" t="s">
        <v>35</v>
      </c>
      <c r="F362" s="5" t="s">
        <v>36</v>
      </c>
      <c r="G362" s="5">
        <v>1141685</v>
      </c>
      <c r="H362" s="5" t="s">
        <v>3880</v>
      </c>
      <c r="I362" s="5" t="str">
        <f t="shared" ref="I362:I364" si="0">IF(LEFT(K362,9)="Standard_","Reserved Instance Virtual Machine",IF(ISNUMBER(SEARCH("SQL Database Single/ElasticPool General Purpose - Compute Gen5",K362)),"Reserved Instance SQL Database",IF(ISNUMBER(SEARCH("SQL Database SingleDB/Elastic Pool Hyperscale - Compute Gen5",K362)),"Reserved Instance Hyperscale Serverless",IF(ISNUMBER(SEARCH("Azure Database for PostgreSQL Flexible Server General Purpose Ddsv4 Series Compute",K362)),"Reserved Instance PostgreSQL",IF(ISNUMBER(SEARCH("Azure Redis Cache Premium",K362)),"Reserved Instance Redis","Reserved Instance")))))</f>
        <v>Reserved Instance SQL Database</v>
      </c>
      <c r="J362" s="5" t="s">
        <v>3880</v>
      </c>
      <c r="K362" s="5" t="str">
        <f t="shared" ref="K362:K364" si="1">H362</f>
        <v>SQL Database Single/ElasticPool General Purpose - Compute Gen5</v>
      </c>
      <c r="L362" s="5" t="s">
        <v>3881</v>
      </c>
      <c r="M362" s="5" t="s">
        <v>3881</v>
      </c>
      <c r="N362" s="5">
        <f t="shared" ref="N362:N364" si="2">U362</f>
        <v>4</v>
      </c>
      <c r="O362" s="5" t="s">
        <v>3882</v>
      </c>
      <c r="P362" s="5" t="s">
        <v>63</v>
      </c>
      <c r="Q362" s="5" t="s">
        <v>3882</v>
      </c>
      <c r="R362" s="5" t="str">
        <f t="shared" ref="R362:R364" si="3">IF(LEFT(K362,9)="Standard_","Virtual Machine",IF(ISNUMBER(SEARCH("SQL Database Single/ElasticPool General Purpose - Compute Gen5",K362)),"SQL Database",IF(ISNUMBER(SEARCH("SQL Database SingleDB/Elastic Pool Hyperscale - Compute Gen5",K362)),"Hyperscale Serverless",IF(ISNUMBER(SEARCH("Azure Database for PostgreSQL Flexible Server General Purpose Ddsv4 Series Compute",K362)),"PostgreSQL",IF(ISNUMBER(SEARCH("Azure Redis Cache Premium",K362)),"Redis",K362)))))</f>
        <v>SQL Database</v>
      </c>
      <c r="S362" s="5" t="s">
        <v>67</v>
      </c>
      <c r="T362" s="5" t="s">
        <v>3882</v>
      </c>
      <c r="U362" s="5">
        <v>4</v>
      </c>
      <c r="V362" s="6">
        <v>1001385</v>
      </c>
      <c r="W362" s="6">
        <f>U362*V362</f>
        <v>4005540</v>
      </c>
    </row>
    <row r="363" spans="1:23" x14ac:dyDescent="0.25">
      <c r="A363" t="s">
        <v>31</v>
      </c>
      <c r="B363" s="5" t="s">
        <v>32</v>
      </c>
      <c r="C363" s="5" t="s">
        <v>33</v>
      </c>
      <c r="D363" s="5" t="s">
        <v>34</v>
      </c>
      <c r="E363" s="5" t="s">
        <v>3884</v>
      </c>
      <c r="F363" s="5" t="s">
        <v>36</v>
      </c>
      <c r="G363" s="5">
        <v>1141685</v>
      </c>
      <c r="H363" s="5" t="s">
        <v>3885</v>
      </c>
      <c r="I363" s="5" t="str">
        <f t="shared" si="0"/>
        <v>Reserved Instance Virtual Machine</v>
      </c>
      <c r="J363" s="5" t="s">
        <v>3885</v>
      </c>
      <c r="K363" s="5" t="str">
        <f t="shared" si="1"/>
        <v>Standard_D2s_v3</v>
      </c>
      <c r="L363" s="5" t="s">
        <v>3881</v>
      </c>
      <c r="M363" s="5" t="s">
        <v>3881</v>
      </c>
      <c r="N363" s="5">
        <f t="shared" si="2"/>
        <v>2</v>
      </c>
      <c r="O363" s="5" t="s">
        <v>3882</v>
      </c>
      <c r="P363" s="5" t="s">
        <v>63</v>
      </c>
      <c r="Q363" s="5" t="s">
        <v>3882</v>
      </c>
      <c r="R363" s="5" t="str">
        <f t="shared" si="3"/>
        <v>Virtual Machine</v>
      </c>
      <c r="S363" s="5" t="s">
        <v>67</v>
      </c>
      <c r="T363" s="5" t="s">
        <v>3882</v>
      </c>
      <c r="U363" s="5">
        <v>2</v>
      </c>
      <c r="V363" s="6">
        <v>565908.75</v>
      </c>
      <c r="W363" s="6">
        <f t="shared" ref="W363:W364" si="4">U363*V363</f>
        <v>1131817.5</v>
      </c>
    </row>
    <row r="364" spans="1:23" x14ac:dyDescent="0.25">
      <c r="A364" t="s">
        <v>31</v>
      </c>
      <c r="B364" s="5" t="s">
        <v>32</v>
      </c>
      <c r="C364" s="5" t="s">
        <v>33</v>
      </c>
      <c r="D364" s="5" t="s">
        <v>34</v>
      </c>
      <c r="E364" s="5" t="s">
        <v>3886</v>
      </c>
      <c r="F364" s="5" t="s">
        <v>36</v>
      </c>
      <c r="G364" s="5">
        <v>1141685</v>
      </c>
      <c r="H364" s="5" t="s">
        <v>3887</v>
      </c>
      <c r="I364" s="5" t="str">
        <f t="shared" si="0"/>
        <v>Reserved Instance Virtual Machine</v>
      </c>
      <c r="J364" s="5" t="s">
        <v>3887</v>
      </c>
      <c r="K364" s="5" t="str">
        <f t="shared" si="1"/>
        <v>Standard_D4s_v3</v>
      </c>
      <c r="L364" s="5" t="s">
        <v>3881</v>
      </c>
      <c r="M364" s="5" t="s">
        <v>3881</v>
      </c>
      <c r="N364" s="5">
        <f t="shared" si="2"/>
        <v>2</v>
      </c>
      <c r="O364" s="5" t="s">
        <v>3882</v>
      </c>
      <c r="P364" s="5" t="s">
        <v>63</v>
      </c>
      <c r="Q364" s="5" t="s">
        <v>3882</v>
      </c>
      <c r="R364" s="5" t="str">
        <f t="shared" si="3"/>
        <v>Virtual Machine</v>
      </c>
      <c r="S364" s="5" t="s">
        <v>67</v>
      </c>
      <c r="T364" s="5" t="s">
        <v>3882</v>
      </c>
      <c r="U364" s="5">
        <v>2</v>
      </c>
      <c r="V364" s="6">
        <v>1100613.5</v>
      </c>
      <c r="W364" s="6">
        <f t="shared" si="4"/>
        <v>2201227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18"/>
  <sheetViews>
    <sheetView workbookViewId="0">
      <selection sqref="A1:W218"/>
    </sheetView>
  </sheetViews>
  <sheetFormatPr defaultRowHeight="15" x14ac:dyDescent="0.25"/>
  <cols>
    <col min="23" max="23" width="15.5703125" bestFit="1" customWidth="1"/>
  </cols>
  <sheetData>
    <row r="1" spans="1:2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9</v>
      </c>
      <c r="S1" t="s">
        <v>27</v>
      </c>
      <c r="T1" t="s">
        <v>28</v>
      </c>
      <c r="U1" t="s">
        <v>29</v>
      </c>
      <c r="V1" t="s">
        <v>30</v>
      </c>
      <c r="W1" t="s">
        <v>8</v>
      </c>
    </row>
    <row r="2" spans="1:23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1141685</v>
      </c>
      <c r="H2" t="s">
        <v>77</v>
      </c>
      <c r="I2" t="s">
        <v>96</v>
      </c>
      <c r="J2" t="s">
        <v>77</v>
      </c>
      <c r="K2" t="s">
        <v>111</v>
      </c>
      <c r="L2" s="1">
        <v>46143</v>
      </c>
      <c r="M2" s="1">
        <v>46173</v>
      </c>
      <c r="N2">
        <v>18.6698705871</v>
      </c>
      <c r="O2" t="s">
        <v>56</v>
      </c>
      <c r="P2" t="s">
        <v>63</v>
      </c>
      <c r="Q2" t="s">
        <v>1366</v>
      </c>
      <c r="R2" t="s">
        <v>1370</v>
      </c>
      <c r="S2" t="s">
        <v>67</v>
      </c>
      <c r="T2" t="s">
        <v>1391</v>
      </c>
      <c r="U2" t="s">
        <v>1531</v>
      </c>
      <c r="V2">
        <v>16</v>
      </c>
      <c r="W2" s="2">
        <v>3257.1481479033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1141685</v>
      </c>
      <c r="H3" t="s">
        <v>75</v>
      </c>
      <c r="I3" t="s">
        <v>94</v>
      </c>
      <c r="J3" t="s">
        <v>98</v>
      </c>
      <c r="K3" t="s">
        <v>108</v>
      </c>
      <c r="L3" s="1">
        <v>46143</v>
      </c>
      <c r="M3" s="1">
        <v>46173</v>
      </c>
      <c r="N3">
        <v>1.471434E-4</v>
      </c>
      <c r="O3" t="s">
        <v>56</v>
      </c>
      <c r="P3" t="s">
        <v>63</v>
      </c>
      <c r="Q3" t="s">
        <v>1366</v>
      </c>
      <c r="R3" t="s">
        <v>1371</v>
      </c>
      <c r="S3" t="s">
        <v>67</v>
      </c>
      <c r="T3" t="s">
        <v>1392</v>
      </c>
      <c r="U3" t="s">
        <v>1532</v>
      </c>
      <c r="V3">
        <v>17</v>
      </c>
      <c r="W3" s="2">
        <v>0.3110818937</v>
      </c>
    </row>
    <row r="4" spans="1:2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1141685</v>
      </c>
      <c r="H4" t="s">
        <v>75</v>
      </c>
      <c r="I4" t="s">
        <v>94</v>
      </c>
      <c r="J4" t="s">
        <v>98</v>
      </c>
      <c r="K4" t="s">
        <v>108</v>
      </c>
      <c r="L4" s="1">
        <v>46143</v>
      </c>
      <c r="M4" s="1">
        <v>46173</v>
      </c>
      <c r="N4">
        <v>8.1388000000000001E-4</v>
      </c>
      <c r="O4" t="s">
        <v>56</v>
      </c>
      <c r="P4" t="s">
        <v>63</v>
      </c>
      <c r="Q4" t="s">
        <v>1366</v>
      </c>
      <c r="R4" t="s">
        <v>1372</v>
      </c>
      <c r="S4" t="s">
        <v>67</v>
      </c>
      <c r="T4" t="s">
        <v>1393</v>
      </c>
      <c r="U4" t="s">
        <v>1533</v>
      </c>
      <c r="V4">
        <v>16</v>
      </c>
      <c r="W4" s="2">
        <v>1.6994091779</v>
      </c>
    </row>
    <row r="5" spans="1:23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1141685</v>
      </c>
      <c r="H5" t="s">
        <v>76</v>
      </c>
      <c r="I5" t="s">
        <v>95</v>
      </c>
      <c r="J5" t="s">
        <v>99</v>
      </c>
      <c r="K5" t="s">
        <v>109</v>
      </c>
      <c r="L5" s="1">
        <v>46143</v>
      </c>
      <c r="M5" s="1">
        <v>46173</v>
      </c>
      <c r="N5">
        <v>169</v>
      </c>
      <c r="O5" t="s">
        <v>58</v>
      </c>
      <c r="P5" t="s">
        <v>63</v>
      </c>
      <c r="Q5" t="s">
        <v>1367</v>
      </c>
      <c r="R5" t="s">
        <v>1370</v>
      </c>
      <c r="S5" t="s">
        <v>67</v>
      </c>
      <c r="T5" t="s">
        <v>1394</v>
      </c>
      <c r="U5" t="s">
        <v>1534</v>
      </c>
      <c r="V5">
        <v>16</v>
      </c>
      <c r="W5" s="2">
        <v>0</v>
      </c>
    </row>
    <row r="6" spans="1:23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1141685</v>
      </c>
      <c r="H6" t="s">
        <v>76</v>
      </c>
      <c r="I6" t="s">
        <v>95</v>
      </c>
      <c r="J6" t="s">
        <v>99</v>
      </c>
      <c r="K6" t="s">
        <v>109</v>
      </c>
      <c r="L6" s="1">
        <v>46143</v>
      </c>
      <c r="M6" s="1">
        <v>46173</v>
      </c>
      <c r="N6">
        <v>362</v>
      </c>
      <c r="O6" t="s">
        <v>58</v>
      </c>
      <c r="P6" t="s">
        <v>63</v>
      </c>
      <c r="Q6" t="s">
        <v>1367</v>
      </c>
      <c r="R6" t="s">
        <v>1371</v>
      </c>
      <c r="S6" t="s">
        <v>67</v>
      </c>
      <c r="T6" t="s">
        <v>1395</v>
      </c>
      <c r="U6" t="s">
        <v>1535</v>
      </c>
      <c r="V6">
        <v>17</v>
      </c>
      <c r="W6" s="2">
        <v>0</v>
      </c>
    </row>
    <row r="7" spans="1:23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1141685</v>
      </c>
      <c r="H7" t="s">
        <v>76</v>
      </c>
      <c r="I7" t="s">
        <v>95</v>
      </c>
      <c r="J7" t="s">
        <v>99</v>
      </c>
      <c r="K7" t="s">
        <v>109</v>
      </c>
      <c r="L7" s="1">
        <v>46143</v>
      </c>
      <c r="M7" s="1">
        <v>46173</v>
      </c>
      <c r="N7">
        <v>136</v>
      </c>
      <c r="O7" t="s">
        <v>58</v>
      </c>
      <c r="P7" t="s">
        <v>63</v>
      </c>
      <c r="Q7" t="s">
        <v>1367</v>
      </c>
      <c r="R7" t="s">
        <v>1372</v>
      </c>
      <c r="S7" t="s">
        <v>67</v>
      </c>
      <c r="T7" t="s">
        <v>1396</v>
      </c>
      <c r="U7" t="s">
        <v>1536</v>
      </c>
      <c r="V7">
        <v>15</v>
      </c>
      <c r="W7" s="2">
        <v>0</v>
      </c>
    </row>
    <row r="8" spans="1:23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1141685</v>
      </c>
      <c r="H8" t="s">
        <v>77</v>
      </c>
      <c r="I8" t="s">
        <v>96</v>
      </c>
      <c r="J8" t="s">
        <v>77</v>
      </c>
      <c r="K8" t="s">
        <v>111</v>
      </c>
      <c r="L8" s="1">
        <v>46143</v>
      </c>
      <c r="M8" s="1">
        <v>46173</v>
      </c>
      <c r="N8">
        <v>0.2453324087</v>
      </c>
      <c r="O8" t="s">
        <v>56</v>
      </c>
      <c r="P8" t="s">
        <v>63</v>
      </c>
      <c r="Q8" t="s">
        <v>1366</v>
      </c>
      <c r="R8" t="s">
        <v>1372</v>
      </c>
      <c r="S8" t="s">
        <v>67</v>
      </c>
      <c r="T8" t="s">
        <v>1397</v>
      </c>
      <c r="U8" t="s">
        <v>1537</v>
      </c>
      <c r="V8">
        <v>15</v>
      </c>
      <c r="W8" s="2">
        <v>42.804608978099999</v>
      </c>
    </row>
    <row r="9" spans="1:23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1141685</v>
      </c>
      <c r="H9" t="s">
        <v>91</v>
      </c>
      <c r="I9" t="s">
        <v>95</v>
      </c>
      <c r="J9" t="s">
        <v>106</v>
      </c>
      <c r="K9" t="s">
        <v>129</v>
      </c>
      <c r="L9" s="1">
        <v>46143</v>
      </c>
      <c r="M9" s="1">
        <v>46173</v>
      </c>
      <c r="N9">
        <v>1.21675</v>
      </c>
      <c r="O9" t="s">
        <v>58</v>
      </c>
      <c r="P9" t="s">
        <v>63</v>
      </c>
      <c r="Q9" t="s">
        <v>1367</v>
      </c>
      <c r="R9" t="s">
        <v>1372</v>
      </c>
      <c r="S9" t="s">
        <v>67</v>
      </c>
      <c r="T9" t="s">
        <v>1398</v>
      </c>
      <c r="U9" t="s">
        <v>1538</v>
      </c>
      <c r="V9">
        <v>16</v>
      </c>
      <c r="W9" s="2">
        <v>2653.4262549999999</v>
      </c>
    </row>
    <row r="10" spans="1:23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1141685</v>
      </c>
      <c r="H10" t="s">
        <v>83</v>
      </c>
      <c r="I10" t="s">
        <v>97</v>
      </c>
      <c r="J10" t="s">
        <v>103</v>
      </c>
      <c r="K10" t="s">
        <v>119</v>
      </c>
      <c r="L10" s="1">
        <v>46143</v>
      </c>
      <c r="M10" s="1">
        <v>46173</v>
      </c>
      <c r="N10">
        <v>434</v>
      </c>
      <c r="O10" t="s">
        <v>58</v>
      </c>
      <c r="P10" t="s">
        <v>63</v>
      </c>
      <c r="Q10" t="s">
        <v>1368</v>
      </c>
      <c r="R10" t="s">
        <v>1373</v>
      </c>
      <c r="S10" t="s">
        <v>67</v>
      </c>
      <c r="T10" t="s">
        <v>513</v>
      </c>
      <c r="U10" t="s">
        <v>698</v>
      </c>
      <c r="V10">
        <v>6</v>
      </c>
      <c r="W10" s="2">
        <v>756898.97080511996</v>
      </c>
    </row>
    <row r="11" spans="1:23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1141685</v>
      </c>
      <c r="H11" t="s">
        <v>89</v>
      </c>
      <c r="I11" t="s">
        <v>89</v>
      </c>
      <c r="J11" t="s">
        <v>89</v>
      </c>
      <c r="K11" t="s">
        <v>127</v>
      </c>
      <c r="L11" s="1">
        <v>46143</v>
      </c>
      <c r="M11" s="1">
        <v>46173</v>
      </c>
      <c r="N11">
        <v>3.48E-4</v>
      </c>
      <c r="O11" t="s">
        <v>60</v>
      </c>
      <c r="P11" t="s">
        <v>63</v>
      </c>
      <c r="Q11" t="s">
        <v>1368</v>
      </c>
      <c r="R11" t="s">
        <v>1374</v>
      </c>
      <c r="S11" t="s">
        <v>67</v>
      </c>
      <c r="T11" t="s">
        <v>1399</v>
      </c>
      <c r="U11" t="s">
        <v>1539</v>
      </c>
      <c r="V11">
        <v>6</v>
      </c>
      <c r="W11" s="2">
        <v>0</v>
      </c>
    </row>
    <row r="12" spans="1:23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1141685</v>
      </c>
      <c r="H12" t="s">
        <v>84</v>
      </c>
      <c r="I12" t="s">
        <v>97</v>
      </c>
      <c r="J12" t="s">
        <v>104</v>
      </c>
      <c r="K12" t="s">
        <v>121</v>
      </c>
      <c r="L12" s="1">
        <v>46143</v>
      </c>
      <c r="M12" s="1">
        <v>46173</v>
      </c>
      <c r="N12">
        <v>14.420874810999999</v>
      </c>
      <c r="O12" t="s">
        <v>57</v>
      </c>
      <c r="P12" t="s">
        <v>63</v>
      </c>
      <c r="Q12" t="s">
        <v>1368</v>
      </c>
      <c r="R12" t="s">
        <v>1373</v>
      </c>
      <c r="S12" t="s">
        <v>67</v>
      </c>
      <c r="T12" t="s">
        <v>1400</v>
      </c>
      <c r="U12" t="s">
        <v>1540</v>
      </c>
      <c r="V12">
        <v>6</v>
      </c>
      <c r="W12" s="2">
        <v>60380.776108364102</v>
      </c>
    </row>
    <row r="13" spans="1:23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1141685</v>
      </c>
      <c r="H13" t="s">
        <v>77</v>
      </c>
      <c r="I13" t="s">
        <v>96</v>
      </c>
      <c r="J13" t="s">
        <v>77</v>
      </c>
      <c r="K13" t="s">
        <v>110</v>
      </c>
      <c r="L13" s="1">
        <v>46143</v>
      </c>
      <c r="M13" s="1">
        <v>46173</v>
      </c>
      <c r="N13">
        <v>744</v>
      </c>
      <c r="O13" t="s">
        <v>58</v>
      </c>
      <c r="P13" t="s">
        <v>63</v>
      </c>
      <c r="Q13" t="s">
        <v>1369</v>
      </c>
      <c r="R13" t="s">
        <v>1375</v>
      </c>
      <c r="S13" t="s">
        <v>67</v>
      </c>
      <c r="T13" t="s">
        <v>172</v>
      </c>
      <c r="U13" t="s">
        <v>327</v>
      </c>
      <c r="V13">
        <v>7</v>
      </c>
      <c r="W13" s="2">
        <v>129798.2412</v>
      </c>
    </row>
    <row r="14" spans="1:23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1141685</v>
      </c>
      <c r="H14" t="s">
        <v>86</v>
      </c>
      <c r="I14" t="s">
        <v>42</v>
      </c>
      <c r="J14" t="s">
        <v>86</v>
      </c>
      <c r="K14" t="s">
        <v>124</v>
      </c>
      <c r="L14" s="1">
        <v>46143</v>
      </c>
      <c r="M14" s="1">
        <v>46173</v>
      </c>
      <c r="N14">
        <v>0.185472</v>
      </c>
      <c r="O14" t="s">
        <v>135</v>
      </c>
      <c r="P14" t="s">
        <v>63</v>
      </c>
      <c r="Q14" t="s">
        <v>1367</v>
      </c>
      <c r="R14" t="s">
        <v>1376</v>
      </c>
      <c r="S14" t="s">
        <v>67</v>
      </c>
      <c r="T14" t="s">
        <v>1401</v>
      </c>
      <c r="U14" t="s">
        <v>1541</v>
      </c>
      <c r="V14">
        <v>16</v>
      </c>
      <c r="W14" s="2">
        <v>63776.521411737602</v>
      </c>
    </row>
    <row r="15" spans="1:23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1141685</v>
      </c>
      <c r="H15" t="s">
        <v>77</v>
      </c>
      <c r="I15" t="s">
        <v>96</v>
      </c>
      <c r="J15" t="s">
        <v>77</v>
      </c>
      <c r="K15" t="s">
        <v>111</v>
      </c>
      <c r="L15" s="1">
        <v>46143</v>
      </c>
      <c r="M15" s="1">
        <v>46173</v>
      </c>
      <c r="N15">
        <v>7.0703748157000001</v>
      </c>
      <c r="O15" t="s">
        <v>56</v>
      </c>
      <c r="P15" t="s">
        <v>63</v>
      </c>
      <c r="Q15" t="s">
        <v>1366</v>
      </c>
      <c r="R15" t="s">
        <v>1370</v>
      </c>
      <c r="S15" t="s">
        <v>67</v>
      </c>
      <c r="T15" t="s">
        <v>1402</v>
      </c>
      <c r="U15" t="s">
        <v>1542</v>
      </c>
      <c r="V15">
        <v>15</v>
      </c>
      <c r="W15" s="2">
        <v>1233.4978795085001</v>
      </c>
    </row>
    <row r="16" spans="1:23" x14ac:dyDescent="0.25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1141685</v>
      </c>
      <c r="H16" t="s">
        <v>76</v>
      </c>
      <c r="I16" t="s">
        <v>95</v>
      </c>
      <c r="J16" t="s">
        <v>99</v>
      </c>
      <c r="K16" t="s">
        <v>109</v>
      </c>
      <c r="L16" s="1">
        <v>46143</v>
      </c>
      <c r="M16" s="1">
        <v>46173</v>
      </c>
      <c r="N16">
        <v>0.23333699999999999</v>
      </c>
      <c r="O16" t="s">
        <v>58</v>
      </c>
      <c r="P16" t="s">
        <v>63</v>
      </c>
      <c r="Q16" t="s">
        <v>1367</v>
      </c>
      <c r="R16" t="s">
        <v>1372</v>
      </c>
      <c r="S16" t="s">
        <v>67</v>
      </c>
      <c r="T16" t="s">
        <v>1403</v>
      </c>
      <c r="U16" t="s">
        <v>1543</v>
      </c>
      <c r="V16">
        <v>16</v>
      </c>
      <c r="W16" s="2">
        <v>0</v>
      </c>
    </row>
    <row r="17" spans="1:23" x14ac:dyDescent="0.25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1141685</v>
      </c>
      <c r="H17" t="s">
        <v>76</v>
      </c>
      <c r="I17" t="s">
        <v>95</v>
      </c>
      <c r="J17" t="s">
        <v>99</v>
      </c>
      <c r="K17" t="s">
        <v>109</v>
      </c>
      <c r="L17" s="1">
        <v>46143</v>
      </c>
      <c r="M17" s="1">
        <v>46173</v>
      </c>
      <c r="N17">
        <v>0.21667</v>
      </c>
      <c r="O17" t="s">
        <v>58</v>
      </c>
      <c r="P17" t="s">
        <v>63</v>
      </c>
      <c r="Q17" t="s">
        <v>1367</v>
      </c>
      <c r="R17" t="s">
        <v>1372</v>
      </c>
      <c r="S17" t="s">
        <v>67</v>
      </c>
      <c r="T17" t="s">
        <v>1403</v>
      </c>
      <c r="U17" t="s">
        <v>1543</v>
      </c>
      <c r="V17">
        <v>16</v>
      </c>
      <c r="W17" s="2">
        <v>0</v>
      </c>
    </row>
    <row r="18" spans="1:23" x14ac:dyDescent="0.2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1141685</v>
      </c>
      <c r="H18" t="s">
        <v>76</v>
      </c>
      <c r="I18" t="s">
        <v>95</v>
      </c>
      <c r="J18" t="s">
        <v>99</v>
      </c>
      <c r="K18" t="s">
        <v>109</v>
      </c>
      <c r="L18" s="1">
        <v>46143</v>
      </c>
      <c r="M18" s="1">
        <v>46173</v>
      </c>
      <c r="N18">
        <v>75.950056000000004</v>
      </c>
      <c r="O18" t="s">
        <v>58</v>
      </c>
      <c r="P18" t="s">
        <v>63</v>
      </c>
      <c r="Q18" t="s">
        <v>1367</v>
      </c>
      <c r="R18" t="s">
        <v>1372</v>
      </c>
      <c r="S18" t="s">
        <v>67</v>
      </c>
      <c r="T18" t="s">
        <v>1403</v>
      </c>
      <c r="U18" t="s">
        <v>1543</v>
      </c>
      <c r="V18">
        <v>16</v>
      </c>
      <c r="W18" s="2">
        <v>0</v>
      </c>
    </row>
    <row r="19" spans="1:23" x14ac:dyDescent="0.2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1141685</v>
      </c>
      <c r="H19" t="s">
        <v>76</v>
      </c>
      <c r="I19" t="s">
        <v>95</v>
      </c>
      <c r="J19" t="s">
        <v>99</v>
      </c>
      <c r="K19" t="s">
        <v>109</v>
      </c>
      <c r="L19" s="1">
        <v>46143</v>
      </c>
      <c r="M19" s="1">
        <v>46173</v>
      </c>
      <c r="N19">
        <v>1.9667060000000001</v>
      </c>
      <c r="O19" t="s">
        <v>58</v>
      </c>
      <c r="P19" t="s">
        <v>63</v>
      </c>
      <c r="Q19" t="s">
        <v>1367</v>
      </c>
      <c r="R19" t="s">
        <v>1372</v>
      </c>
      <c r="S19" t="s">
        <v>67</v>
      </c>
      <c r="T19" t="s">
        <v>1403</v>
      </c>
      <c r="U19" t="s">
        <v>1543</v>
      </c>
      <c r="V19">
        <v>16</v>
      </c>
      <c r="W19" s="2">
        <v>0</v>
      </c>
    </row>
    <row r="20" spans="1:23" x14ac:dyDescent="0.25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1141685</v>
      </c>
      <c r="H20" t="s">
        <v>78</v>
      </c>
      <c r="I20" t="s">
        <v>96</v>
      </c>
      <c r="J20" t="s">
        <v>100</v>
      </c>
      <c r="K20" t="s">
        <v>112</v>
      </c>
      <c r="L20" s="1">
        <v>46143</v>
      </c>
      <c r="M20" s="1">
        <v>46173</v>
      </c>
      <c r="N20">
        <v>744</v>
      </c>
      <c r="O20" t="s">
        <v>58</v>
      </c>
      <c r="P20" t="s">
        <v>63</v>
      </c>
      <c r="Q20" t="s">
        <v>1366</v>
      </c>
      <c r="R20" t="s">
        <v>1377</v>
      </c>
      <c r="S20" t="s">
        <v>67</v>
      </c>
      <c r="T20" t="s">
        <v>1404</v>
      </c>
      <c r="U20" t="s">
        <v>1544</v>
      </c>
      <c r="V20">
        <v>12</v>
      </c>
      <c r="W20" s="2">
        <v>64899.115599999997</v>
      </c>
    </row>
    <row r="21" spans="1:23" x14ac:dyDescent="0.2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1141685</v>
      </c>
      <c r="H21" t="s">
        <v>77</v>
      </c>
      <c r="I21" t="s">
        <v>96</v>
      </c>
      <c r="J21" t="s">
        <v>77</v>
      </c>
      <c r="K21" t="s">
        <v>110</v>
      </c>
      <c r="L21" s="1">
        <v>46143</v>
      </c>
      <c r="M21" s="1">
        <v>46173</v>
      </c>
      <c r="N21">
        <v>744</v>
      </c>
      <c r="O21" t="s">
        <v>58</v>
      </c>
      <c r="P21" t="s">
        <v>63</v>
      </c>
      <c r="Q21" t="s">
        <v>1369</v>
      </c>
      <c r="R21" t="s">
        <v>1378</v>
      </c>
      <c r="S21" t="s">
        <v>67</v>
      </c>
      <c r="T21" t="s">
        <v>1405</v>
      </c>
      <c r="U21" t="s">
        <v>1545</v>
      </c>
      <c r="V21">
        <v>7</v>
      </c>
      <c r="W21" s="2">
        <v>129798.2412</v>
      </c>
    </row>
    <row r="22" spans="1:23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1141685</v>
      </c>
      <c r="H22" t="s">
        <v>77</v>
      </c>
      <c r="I22" t="s">
        <v>96</v>
      </c>
      <c r="J22" t="s">
        <v>77</v>
      </c>
      <c r="K22" t="s">
        <v>110</v>
      </c>
      <c r="L22" s="1">
        <v>46143</v>
      </c>
      <c r="M22" s="1">
        <v>46173</v>
      </c>
      <c r="N22">
        <v>744</v>
      </c>
      <c r="O22" t="s">
        <v>58</v>
      </c>
      <c r="P22" t="s">
        <v>63</v>
      </c>
      <c r="Q22" t="s">
        <v>1369</v>
      </c>
      <c r="R22" t="s">
        <v>1379</v>
      </c>
      <c r="S22" t="s">
        <v>67</v>
      </c>
      <c r="T22" t="s">
        <v>1406</v>
      </c>
      <c r="U22" t="s">
        <v>1546</v>
      </c>
      <c r="V22">
        <v>7</v>
      </c>
      <c r="W22" s="2">
        <v>129798.2412</v>
      </c>
    </row>
    <row r="23" spans="1:23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1141685</v>
      </c>
      <c r="H23" t="s">
        <v>77</v>
      </c>
      <c r="I23" t="s">
        <v>96</v>
      </c>
      <c r="J23" t="s">
        <v>77</v>
      </c>
      <c r="K23" t="s">
        <v>110</v>
      </c>
      <c r="L23" s="1">
        <v>46143</v>
      </c>
      <c r="M23" s="1">
        <v>46173</v>
      </c>
      <c r="N23">
        <v>744</v>
      </c>
      <c r="O23" t="s">
        <v>58</v>
      </c>
      <c r="P23" t="s">
        <v>63</v>
      </c>
      <c r="Q23" t="s">
        <v>1369</v>
      </c>
      <c r="R23" t="s">
        <v>1380</v>
      </c>
      <c r="S23" t="s">
        <v>67</v>
      </c>
      <c r="T23" t="s">
        <v>1407</v>
      </c>
      <c r="U23" t="s">
        <v>1547</v>
      </c>
      <c r="V23">
        <v>7</v>
      </c>
      <c r="W23" s="2">
        <v>129798.2412</v>
      </c>
    </row>
    <row r="24" spans="1:23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1141685</v>
      </c>
      <c r="H24" t="s">
        <v>83</v>
      </c>
      <c r="I24" t="s">
        <v>97</v>
      </c>
      <c r="J24" t="s">
        <v>103</v>
      </c>
      <c r="K24" t="s">
        <v>119</v>
      </c>
      <c r="L24" s="1">
        <v>46143</v>
      </c>
      <c r="M24" s="1">
        <v>46173</v>
      </c>
      <c r="N24">
        <v>2108</v>
      </c>
      <c r="O24" t="s">
        <v>58</v>
      </c>
      <c r="P24" t="s">
        <v>63</v>
      </c>
      <c r="Q24" t="s">
        <v>1368</v>
      </c>
      <c r="R24" t="s">
        <v>1373</v>
      </c>
      <c r="S24" t="s">
        <v>67</v>
      </c>
      <c r="T24" t="s">
        <v>552</v>
      </c>
      <c r="U24" t="s">
        <v>737</v>
      </c>
      <c r="V24">
        <v>6</v>
      </c>
      <c r="W24" s="2">
        <v>3676366.4110534401</v>
      </c>
    </row>
    <row r="25" spans="1:23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1141685</v>
      </c>
      <c r="H25" t="s">
        <v>88</v>
      </c>
      <c r="I25" t="s">
        <v>88</v>
      </c>
      <c r="J25" t="s">
        <v>88</v>
      </c>
      <c r="K25" t="s">
        <v>134</v>
      </c>
      <c r="L25" s="1">
        <v>46143</v>
      </c>
      <c r="M25" s="1">
        <v>46173</v>
      </c>
      <c r="N25">
        <v>1.4844120000000001</v>
      </c>
      <c r="O25" t="s">
        <v>60</v>
      </c>
      <c r="P25" t="s">
        <v>63</v>
      </c>
      <c r="Q25" t="s">
        <v>1368</v>
      </c>
      <c r="R25" t="s">
        <v>1374</v>
      </c>
      <c r="S25" t="s">
        <v>67</v>
      </c>
      <c r="T25" t="s">
        <v>1408</v>
      </c>
      <c r="U25" t="s">
        <v>1548</v>
      </c>
      <c r="V25">
        <v>6</v>
      </c>
      <c r="W25" s="2">
        <v>725.11335516650001</v>
      </c>
    </row>
    <row r="26" spans="1:23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1141685</v>
      </c>
      <c r="H26" t="s">
        <v>77</v>
      </c>
      <c r="I26" t="s">
        <v>96</v>
      </c>
      <c r="J26" t="s">
        <v>77</v>
      </c>
      <c r="K26" t="s">
        <v>111</v>
      </c>
      <c r="L26" s="1">
        <v>46143</v>
      </c>
      <c r="M26" s="1">
        <v>46173</v>
      </c>
      <c r="N26">
        <v>3.4351628000000001E-3</v>
      </c>
      <c r="O26" t="s">
        <v>56</v>
      </c>
      <c r="P26" t="s">
        <v>63</v>
      </c>
      <c r="Q26" t="s">
        <v>1366</v>
      </c>
      <c r="R26" t="s">
        <v>1370</v>
      </c>
      <c r="S26" t="s">
        <v>67</v>
      </c>
      <c r="T26" t="s">
        <v>1409</v>
      </c>
      <c r="U26" t="s">
        <v>1549</v>
      </c>
      <c r="V26">
        <v>16</v>
      </c>
      <c r="W26" s="2">
        <v>0.597382686</v>
      </c>
    </row>
    <row r="27" spans="1:23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1141685</v>
      </c>
      <c r="H27" t="s">
        <v>80</v>
      </c>
      <c r="I27" t="s">
        <v>96</v>
      </c>
      <c r="J27" t="s">
        <v>80</v>
      </c>
      <c r="K27" t="s">
        <v>122</v>
      </c>
      <c r="L27" s="1">
        <v>46143</v>
      </c>
      <c r="M27" s="1">
        <v>46173</v>
      </c>
      <c r="N27">
        <v>0.15855390019999999</v>
      </c>
      <c r="O27" t="s">
        <v>56</v>
      </c>
      <c r="P27" t="s">
        <v>63</v>
      </c>
      <c r="Q27" t="s">
        <v>1366</v>
      </c>
      <c r="R27" t="s">
        <v>1370</v>
      </c>
      <c r="S27" t="s">
        <v>67</v>
      </c>
      <c r="T27" t="s">
        <v>1410</v>
      </c>
      <c r="U27" t="s">
        <v>1550</v>
      </c>
      <c r="V27">
        <v>15</v>
      </c>
      <c r="W27" s="2">
        <v>27.661955816500001</v>
      </c>
    </row>
    <row r="28" spans="1:23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1141685</v>
      </c>
      <c r="H28" t="s">
        <v>76</v>
      </c>
      <c r="I28" t="s">
        <v>95</v>
      </c>
      <c r="J28" t="s">
        <v>99</v>
      </c>
      <c r="K28" t="s">
        <v>109</v>
      </c>
      <c r="L28" s="1">
        <v>46143</v>
      </c>
      <c r="M28" s="1">
        <v>46173</v>
      </c>
      <c r="N28">
        <v>137</v>
      </c>
      <c r="O28" t="s">
        <v>58</v>
      </c>
      <c r="P28" t="s">
        <v>63</v>
      </c>
      <c r="Q28" t="s">
        <v>1367</v>
      </c>
      <c r="R28" t="s">
        <v>1371</v>
      </c>
      <c r="S28" t="s">
        <v>67</v>
      </c>
      <c r="T28" t="s">
        <v>1411</v>
      </c>
      <c r="U28" t="s">
        <v>1551</v>
      </c>
      <c r="V28">
        <v>16</v>
      </c>
      <c r="W28" s="2">
        <v>0</v>
      </c>
    </row>
    <row r="29" spans="1:23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1141685</v>
      </c>
      <c r="H29" t="s">
        <v>76</v>
      </c>
      <c r="I29" t="s">
        <v>95</v>
      </c>
      <c r="J29" t="s">
        <v>99</v>
      </c>
      <c r="K29" t="s">
        <v>109</v>
      </c>
      <c r="L29" s="1">
        <v>46143</v>
      </c>
      <c r="M29" s="1">
        <v>46173</v>
      </c>
      <c r="N29">
        <v>0.46667500000000001</v>
      </c>
      <c r="O29" t="s">
        <v>58</v>
      </c>
      <c r="P29" t="s">
        <v>63</v>
      </c>
      <c r="Q29" t="s">
        <v>1367</v>
      </c>
      <c r="R29" t="s">
        <v>1370</v>
      </c>
      <c r="S29" t="s">
        <v>67</v>
      </c>
      <c r="T29" t="s">
        <v>1394</v>
      </c>
      <c r="U29" t="s">
        <v>1534</v>
      </c>
      <c r="V29">
        <v>16</v>
      </c>
      <c r="W29" s="2">
        <v>0</v>
      </c>
    </row>
    <row r="30" spans="1:23" x14ac:dyDescent="0.25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1141685</v>
      </c>
      <c r="H30" t="s">
        <v>38</v>
      </c>
      <c r="I30" t="s">
        <v>38</v>
      </c>
      <c r="J30" t="s">
        <v>38</v>
      </c>
      <c r="K30" t="s">
        <v>50</v>
      </c>
      <c r="L30" s="1">
        <v>46143</v>
      </c>
      <c r="M30" s="1">
        <v>46173</v>
      </c>
      <c r="N30">
        <v>417</v>
      </c>
      <c r="O30" t="s">
        <v>61</v>
      </c>
      <c r="P30" t="s">
        <v>63</v>
      </c>
      <c r="Q30" t="s">
        <v>1368</v>
      </c>
      <c r="R30" t="s">
        <v>1381</v>
      </c>
      <c r="S30" t="s">
        <v>66</v>
      </c>
      <c r="T30" t="s">
        <v>1360</v>
      </c>
      <c r="U30" t="s">
        <v>1363</v>
      </c>
      <c r="V30">
        <v>6</v>
      </c>
      <c r="W30" s="2">
        <v>210.97754064</v>
      </c>
    </row>
    <row r="31" spans="1:23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1141685</v>
      </c>
      <c r="H31" t="s">
        <v>79</v>
      </c>
      <c r="I31" t="s">
        <v>94</v>
      </c>
      <c r="J31" t="s">
        <v>101</v>
      </c>
      <c r="K31" t="s">
        <v>114</v>
      </c>
      <c r="L31" s="1">
        <v>46143</v>
      </c>
      <c r="M31" s="1">
        <v>46173</v>
      </c>
      <c r="N31">
        <v>9.9641369699999996E-2</v>
      </c>
      <c r="O31" t="s">
        <v>56</v>
      </c>
      <c r="P31" t="s">
        <v>63</v>
      </c>
      <c r="Q31" t="s">
        <v>1366</v>
      </c>
      <c r="R31" t="s">
        <v>1370</v>
      </c>
      <c r="S31" t="s">
        <v>67</v>
      </c>
      <c r="T31" t="s">
        <v>1412</v>
      </c>
      <c r="U31" t="s">
        <v>1552</v>
      </c>
      <c r="V31">
        <v>16</v>
      </c>
      <c r="W31" s="2">
        <v>139.06937078390001</v>
      </c>
    </row>
    <row r="32" spans="1:23" x14ac:dyDescent="0.25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1141685</v>
      </c>
      <c r="H32" t="s">
        <v>79</v>
      </c>
      <c r="I32" t="s">
        <v>94</v>
      </c>
      <c r="J32" t="s">
        <v>101</v>
      </c>
      <c r="K32" t="s">
        <v>114</v>
      </c>
      <c r="L32" s="1">
        <v>46143</v>
      </c>
      <c r="M32" s="1">
        <v>46173</v>
      </c>
      <c r="N32">
        <v>1.3685743334</v>
      </c>
      <c r="O32" t="s">
        <v>56</v>
      </c>
      <c r="P32" t="s">
        <v>63</v>
      </c>
      <c r="Q32" t="s">
        <v>1366</v>
      </c>
      <c r="R32" t="s">
        <v>1370</v>
      </c>
      <c r="S32" t="s">
        <v>67</v>
      </c>
      <c r="T32" t="s">
        <v>1413</v>
      </c>
      <c r="U32" t="s">
        <v>1553</v>
      </c>
      <c r="V32">
        <v>16</v>
      </c>
      <c r="W32" s="2">
        <v>1910.0908065326</v>
      </c>
    </row>
    <row r="33" spans="1:23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1141685</v>
      </c>
      <c r="H33" t="s">
        <v>77</v>
      </c>
      <c r="I33" t="s">
        <v>96</v>
      </c>
      <c r="J33" t="s">
        <v>77</v>
      </c>
      <c r="K33" t="s">
        <v>113</v>
      </c>
      <c r="L33" s="1">
        <v>46143</v>
      </c>
      <c r="M33" s="1">
        <v>46173</v>
      </c>
      <c r="N33">
        <v>3.87429595E-2</v>
      </c>
      <c r="O33" t="s">
        <v>56</v>
      </c>
      <c r="P33" t="s">
        <v>63</v>
      </c>
      <c r="Q33" t="s">
        <v>1369</v>
      </c>
      <c r="R33" t="s">
        <v>1380</v>
      </c>
      <c r="S33" t="s">
        <v>67</v>
      </c>
      <c r="T33" t="s">
        <v>1414</v>
      </c>
      <c r="U33" t="s">
        <v>1554</v>
      </c>
      <c r="V33">
        <v>7</v>
      </c>
      <c r="W33" s="2">
        <v>6.7580051070000007</v>
      </c>
    </row>
    <row r="34" spans="1:23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>
        <v>1141685</v>
      </c>
      <c r="H34" t="s">
        <v>38</v>
      </c>
      <c r="I34" t="s">
        <v>38</v>
      </c>
      <c r="J34" t="s">
        <v>38</v>
      </c>
      <c r="K34" t="s">
        <v>55</v>
      </c>
      <c r="L34" s="1">
        <v>46143</v>
      </c>
      <c r="M34" s="1">
        <v>46173</v>
      </c>
      <c r="N34">
        <v>2471</v>
      </c>
      <c r="O34" t="s">
        <v>61</v>
      </c>
      <c r="P34" t="s">
        <v>63</v>
      </c>
      <c r="Q34" t="s">
        <v>1368</v>
      </c>
      <c r="R34" t="s">
        <v>1381</v>
      </c>
      <c r="S34" t="s">
        <v>66</v>
      </c>
      <c r="T34" t="s">
        <v>1415</v>
      </c>
      <c r="U34" t="s">
        <v>1555</v>
      </c>
      <c r="V34">
        <v>6</v>
      </c>
      <c r="W34" s="2">
        <v>6293.92279968</v>
      </c>
    </row>
    <row r="35" spans="1:23" x14ac:dyDescent="0.25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>
        <v>1141685</v>
      </c>
      <c r="H35" t="s">
        <v>82</v>
      </c>
      <c r="I35" t="s">
        <v>82</v>
      </c>
      <c r="J35" t="s">
        <v>82</v>
      </c>
      <c r="K35" t="s">
        <v>120</v>
      </c>
      <c r="L35" s="1">
        <v>46143</v>
      </c>
      <c r="M35" s="1">
        <v>46173</v>
      </c>
      <c r="N35">
        <v>1</v>
      </c>
      <c r="O35" t="s">
        <v>61</v>
      </c>
      <c r="P35" t="s">
        <v>63</v>
      </c>
      <c r="Q35" t="s">
        <v>1369</v>
      </c>
      <c r="R35" t="s">
        <v>147</v>
      </c>
      <c r="S35" t="s">
        <v>68</v>
      </c>
      <c r="T35" t="s">
        <v>1416</v>
      </c>
      <c r="U35" t="s">
        <v>1556</v>
      </c>
      <c r="V35">
        <v>7</v>
      </c>
      <c r="W35" s="2">
        <v>2691.9341720419998</v>
      </c>
    </row>
    <row r="36" spans="1:23" x14ac:dyDescent="0.25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>
        <v>1141685</v>
      </c>
      <c r="H36" t="s">
        <v>82</v>
      </c>
      <c r="I36" t="s">
        <v>82</v>
      </c>
      <c r="J36" t="s">
        <v>82</v>
      </c>
      <c r="K36" t="s">
        <v>118</v>
      </c>
      <c r="L36" s="1">
        <v>46143</v>
      </c>
      <c r="M36" s="1">
        <v>46173</v>
      </c>
      <c r="N36">
        <v>0.35885800000000001</v>
      </c>
      <c r="O36" t="s">
        <v>60</v>
      </c>
      <c r="P36" t="s">
        <v>63</v>
      </c>
      <c r="Q36" t="s">
        <v>1369</v>
      </c>
      <c r="R36" t="s">
        <v>147</v>
      </c>
      <c r="S36" t="s">
        <v>68</v>
      </c>
      <c r="T36" t="s">
        <v>1417</v>
      </c>
      <c r="U36" t="s">
        <v>1557</v>
      </c>
      <c r="V36">
        <v>7</v>
      </c>
      <c r="W36" s="2">
        <v>2504.2541071360001</v>
      </c>
    </row>
    <row r="37" spans="1:23" x14ac:dyDescent="0.25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>
        <v>1141685</v>
      </c>
      <c r="H37" t="s">
        <v>77</v>
      </c>
      <c r="I37" t="s">
        <v>96</v>
      </c>
      <c r="J37" t="s">
        <v>77</v>
      </c>
      <c r="K37" t="s">
        <v>111</v>
      </c>
      <c r="L37" s="1">
        <v>46143</v>
      </c>
      <c r="M37" s="1">
        <v>46173</v>
      </c>
      <c r="N37">
        <v>1.9472083000000001E-3</v>
      </c>
      <c r="O37" t="s">
        <v>56</v>
      </c>
      <c r="P37" t="s">
        <v>63</v>
      </c>
      <c r="Q37" t="s">
        <v>1369</v>
      </c>
      <c r="R37" t="s">
        <v>1380</v>
      </c>
      <c r="S37" t="s">
        <v>67</v>
      </c>
      <c r="T37" t="s">
        <v>1418</v>
      </c>
      <c r="U37" t="s">
        <v>1558</v>
      </c>
      <c r="V37">
        <v>7</v>
      </c>
      <c r="W37" s="2">
        <v>0.33894476540000001</v>
      </c>
    </row>
    <row r="38" spans="1:23" x14ac:dyDescent="0.25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>
        <v>1141685</v>
      </c>
      <c r="H38" t="s">
        <v>85</v>
      </c>
      <c r="I38" t="s">
        <v>85</v>
      </c>
      <c r="J38" t="s">
        <v>85</v>
      </c>
      <c r="K38" t="s">
        <v>123</v>
      </c>
      <c r="L38" s="1">
        <v>46143</v>
      </c>
      <c r="M38" s="1">
        <v>46173</v>
      </c>
      <c r="N38">
        <v>33120</v>
      </c>
      <c r="O38" t="s">
        <v>61</v>
      </c>
      <c r="P38" t="s">
        <v>63</v>
      </c>
      <c r="Q38" t="s">
        <v>1368</v>
      </c>
      <c r="R38" t="s">
        <v>1382</v>
      </c>
      <c r="S38" t="s">
        <v>66</v>
      </c>
      <c r="T38" t="s">
        <v>625</v>
      </c>
      <c r="U38" t="s">
        <v>810</v>
      </c>
      <c r="V38">
        <v>6</v>
      </c>
      <c r="W38" s="2">
        <v>338019.74049599998</v>
      </c>
    </row>
    <row r="39" spans="1:23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>
        <v>1141685</v>
      </c>
      <c r="H39" t="s">
        <v>80</v>
      </c>
      <c r="I39" t="s">
        <v>96</v>
      </c>
      <c r="J39" t="s">
        <v>80</v>
      </c>
      <c r="K39" t="s">
        <v>122</v>
      </c>
      <c r="L39" s="1">
        <v>46143</v>
      </c>
      <c r="M39" s="1">
        <v>46173</v>
      </c>
      <c r="N39">
        <v>2.5508904799999999E-2</v>
      </c>
      <c r="O39" t="s">
        <v>56</v>
      </c>
      <c r="P39" t="s">
        <v>63</v>
      </c>
      <c r="Q39" t="s">
        <v>1366</v>
      </c>
      <c r="R39" t="s">
        <v>1372</v>
      </c>
      <c r="S39" t="s">
        <v>67</v>
      </c>
      <c r="T39" t="s">
        <v>1419</v>
      </c>
      <c r="U39" t="s">
        <v>1559</v>
      </c>
      <c r="V39">
        <v>15</v>
      </c>
      <c r="W39" s="2">
        <v>4.4462495113999996</v>
      </c>
    </row>
    <row r="40" spans="1:23" x14ac:dyDescent="0.25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>
        <v>1141685</v>
      </c>
      <c r="H40" t="s">
        <v>80</v>
      </c>
      <c r="I40" t="s">
        <v>96</v>
      </c>
      <c r="J40" t="s">
        <v>80</v>
      </c>
      <c r="K40" t="s">
        <v>122</v>
      </c>
      <c r="L40" s="1">
        <v>46143</v>
      </c>
      <c r="M40" s="1">
        <v>46173</v>
      </c>
      <c r="N40">
        <v>0.65969832429999997</v>
      </c>
      <c r="O40" t="s">
        <v>56</v>
      </c>
      <c r="P40" t="s">
        <v>63</v>
      </c>
      <c r="Q40" t="s">
        <v>1366</v>
      </c>
      <c r="R40" t="s">
        <v>1370</v>
      </c>
      <c r="S40" t="s">
        <v>67</v>
      </c>
      <c r="T40" t="s">
        <v>1420</v>
      </c>
      <c r="U40" t="s">
        <v>1560</v>
      </c>
      <c r="V40">
        <v>16</v>
      </c>
      <c r="W40" s="2">
        <v>115.0900532929</v>
      </c>
    </row>
    <row r="41" spans="1:23" x14ac:dyDescent="0.25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>
        <v>1141685</v>
      </c>
      <c r="H41" t="s">
        <v>80</v>
      </c>
      <c r="I41" t="s">
        <v>96</v>
      </c>
      <c r="J41" t="s">
        <v>80</v>
      </c>
      <c r="K41" t="s">
        <v>122</v>
      </c>
      <c r="L41" s="1">
        <v>46143</v>
      </c>
      <c r="M41" s="1">
        <v>46173</v>
      </c>
      <c r="N41">
        <v>0.63929912629999996</v>
      </c>
      <c r="O41" t="s">
        <v>56</v>
      </c>
      <c r="P41" t="s">
        <v>63</v>
      </c>
      <c r="Q41" t="s">
        <v>1366</v>
      </c>
      <c r="R41" t="s">
        <v>1370</v>
      </c>
      <c r="S41" t="s">
        <v>67</v>
      </c>
      <c r="T41" t="s">
        <v>1421</v>
      </c>
      <c r="U41" t="s">
        <v>1561</v>
      </c>
      <c r="V41">
        <v>16</v>
      </c>
      <c r="W41" s="2">
        <v>111.52827051040001</v>
      </c>
    </row>
    <row r="42" spans="1:23" x14ac:dyDescent="0.25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>
        <v>1141685</v>
      </c>
      <c r="H42" t="s">
        <v>76</v>
      </c>
      <c r="I42" t="s">
        <v>95</v>
      </c>
      <c r="J42" t="s">
        <v>99</v>
      </c>
      <c r="K42" t="s">
        <v>109</v>
      </c>
      <c r="L42" s="1">
        <v>46143</v>
      </c>
      <c r="M42" s="1">
        <v>46173</v>
      </c>
      <c r="N42">
        <v>0.98335300000000003</v>
      </c>
      <c r="O42" t="s">
        <v>58</v>
      </c>
      <c r="P42" t="s">
        <v>63</v>
      </c>
      <c r="Q42" t="s">
        <v>1367</v>
      </c>
      <c r="R42" t="s">
        <v>1371</v>
      </c>
      <c r="S42" t="s">
        <v>67</v>
      </c>
      <c r="T42" t="s">
        <v>1395</v>
      </c>
      <c r="U42" t="s">
        <v>1535</v>
      </c>
      <c r="V42">
        <v>17</v>
      </c>
      <c r="W42" s="2">
        <v>0</v>
      </c>
    </row>
    <row r="43" spans="1:23" x14ac:dyDescent="0.2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>
        <v>1141685</v>
      </c>
      <c r="H43" t="s">
        <v>75</v>
      </c>
      <c r="I43" t="s">
        <v>94</v>
      </c>
      <c r="J43" t="s">
        <v>98</v>
      </c>
      <c r="K43" t="s">
        <v>108</v>
      </c>
      <c r="L43" s="1">
        <v>46143</v>
      </c>
      <c r="M43" s="1">
        <v>46173</v>
      </c>
      <c r="N43">
        <v>4.8658908299999998E-2</v>
      </c>
      <c r="O43" t="s">
        <v>56</v>
      </c>
      <c r="P43" t="s">
        <v>63</v>
      </c>
      <c r="Q43" t="s">
        <v>1366</v>
      </c>
      <c r="R43" t="s">
        <v>1372</v>
      </c>
      <c r="S43" t="s">
        <v>67</v>
      </c>
      <c r="T43" t="s">
        <v>1422</v>
      </c>
      <c r="U43" t="s">
        <v>1562</v>
      </c>
      <c r="V43">
        <v>16</v>
      </c>
      <c r="W43" s="2">
        <v>101.8641900599</v>
      </c>
    </row>
    <row r="44" spans="1:23" x14ac:dyDescent="0.25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>
        <v>1141685</v>
      </c>
      <c r="H44" t="s">
        <v>75</v>
      </c>
      <c r="I44" t="s">
        <v>94</v>
      </c>
      <c r="J44" t="s">
        <v>98</v>
      </c>
      <c r="K44" t="s">
        <v>108</v>
      </c>
      <c r="L44" s="1">
        <v>46143</v>
      </c>
      <c r="M44" s="1">
        <v>46173</v>
      </c>
      <c r="N44">
        <v>6.8507437000000001E-3</v>
      </c>
      <c r="O44" t="s">
        <v>56</v>
      </c>
      <c r="P44" t="s">
        <v>63</v>
      </c>
      <c r="Q44" t="s">
        <v>1366</v>
      </c>
      <c r="R44" t="s">
        <v>1371</v>
      </c>
      <c r="S44" t="s">
        <v>67</v>
      </c>
      <c r="T44" t="s">
        <v>1423</v>
      </c>
      <c r="U44" t="s">
        <v>1563</v>
      </c>
      <c r="V44">
        <v>16</v>
      </c>
      <c r="W44" s="2">
        <v>13.113549765</v>
      </c>
    </row>
    <row r="45" spans="1:23" x14ac:dyDescent="0.25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>
        <v>1141685</v>
      </c>
      <c r="H45" t="s">
        <v>80</v>
      </c>
      <c r="I45" t="s">
        <v>96</v>
      </c>
      <c r="J45" t="s">
        <v>80</v>
      </c>
      <c r="K45" t="s">
        <v>115</v>
      </c>
      <c r="L45" s="1">
        <v>46143</v>
      </c>
      <c r="M45" s="1">
        <v>46173</v>
      </c>
      <c r="N45">
        <v>5.5391427100000001E-2</v>
      </c>
      <c r="O45" t="s">
        <v>56</v>
      </c>
      <c r="P45" t="s">
        <v>63</v>
      </c>
      <c r="Q45" t="s">
        <v>1366</v>
      </c>
      <c r="R45" t="s">
        <v>1372</v>
      </c>
      <c r="S45" t="s">
        <v>67</v>
      </c>
      <c r="T45" t="s">
        <v>1424</v>
      </c>
      <c r="U45" t="s">
        <v>1564</v>
      </c>
      <c r="V45">
        <v>16</v>
      </c>
      <c r="W45" s="2">
        <v>9.6639577691999996</v>
      </c>
    </row>
    <row r="46" spans="1:23" x14ac:dyDescent="0.25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>
        <v>1141685</v>
      </c>
      <c r="H46" t="s">
        <v>80</v>
      </c>
      <c r="I46" t="s">
        <v>96</v>
      </c>
      <c r="J46" t="s">
        <v>80</v>
      </c>
      <c r="K46" t="s">
        <v>115</v>
      </c>
      <c r="L46" s="1">
        <v>46143</v>
      </c>
      <c r="M46" s="1">
        <v>46173</v>
      </c>
      <c r="N46">
        <v>0.95489570960000003</v>
      </c>
      <c r="O46" t="s">
        <v>56</v>
      </c>
      <c r="P46" t="s">
        <v>63</v>
      </c>
      <c r="Q46" t="s">
        <v>1366</v>
      </c>
      <c r="R46" t="s">
        <v>1370</v>
      </c>
      <c r="S46" t="s">
        <v>67</v>
      </c>
      <c r="T46" t="s">
        <v>1425</v>
      </c>
      <c r="U46" t="s">
        <v>1565</v>
      </c>
      <c r="V46">
        <v>16</v>
      </c>
      <c r="W46" s="2">
        <v>166.59017284230001</v>
      </c>
    </row>
    <row r="47" spans="1:23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>
        <v>1141685</v>
      </c>
      <c r="H47" t="s">
        <v>80</v>
      </c>
      <c r="I47" t="s">
        <v>96</v>
      </c>
      <c r="J47" t="s">
        <v>80</v>
      </c>
      <c r="K47" t="s">
        <v>115</v>
      </c>
      <c r="L47" s="1">
        <v>46143</v>
      </c>
      <c r="M47" s="1">
        <v>46173</v>
      </c>
      <c r="N47">
        <v>0.33861430640000001</v>
      </c>
      <c r="O47" t="s">
        <v>56</v>
      </c>
      <c r="P47" t="s">
        <v>63</v>
      </c>
      <c r="Q47" t="s">
        <v>1366</v>
      </c>
      <c r="R47" t="s">
        <v>1370</v>
      </c>
      <c r="S47" t="s">
        <v>67</v>
      </c>
      <c r="T47" t="s">
        <v>1426</v>
      </c>
      <c r="U47" t="s">
        <v>1566</v>
      </c>
      <c r="V47">
        <v>15</v>
      </c>
      <c r="W47" s="2">
        <v>59.075693668499987</v>
      </c>
    </row>
    <row r="48" spans="1:23" x14ac:dyDescent="0.25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>
        <v>1141685</v>
      </c>
      <c r="H48" t="s">
        <v>80</v>
      </c>
      <c r="I48" t="s">
        <v>96</v>
      </c>
      <c r="J48" t="s">
        <v>80</v>
      </c>
      <c r="K48" t="s">
        <v>122</v>
      </c>
      <c r="L48" s="1">
        <v>46143</v>
      </c>
      <c r="M48" s="1">
        <v>46173</v>
      </c>
      <c r="N48">
        <v>0.16173739449999999</v>
      </c>
      <c r="O48" t="s">
        <v>56</v>
      </c>
      <c r="P48" t="s">
        <v>63</v>
      </c>
      <c r="Q48" t="s">
        <v>1366</v>
      </c>
      <c r="R48" t="s">
        <v>1370</v>
      </c>
      <c r="S48" t="s">
        <v>67</v>
      </c>
      <c r="T48" t="s">
        <v>1427</v>
      </c>
      <c r="U48" t="s">
        <v>1567</v>
      </c>
      <c r="V48">
        <v>15</v>
      </c>
      <c r="W48" s="2">
        <v>28.220701145700001</v>
      </c>
    </row>
    <row r="49" spans="1:23" x14ac:dyDescent="0.25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>
        <v>1141685</v>
      </c>
      <c r="H49" t="s">
        <v>79</v>
      </c>
      <c r="I49" t="s">
        <v>94</v>
      </c>
      <c r="J49" t="s">
        <v>101</v>
      </c>
      <c r="K49" t="s">
        <v>116</v>
      </c>
      <c r="L49" s="1">
        <v>46143</v>
      </c>
      <c r="M49" s="1">
        <v>46173</v>
      </c>
      <c r="N49">
        <v>2.5361799999999998E-5</v>
      </c>
      <c r="O49" t="s">
        <v>56</v>
      </c>
      <c r="P49" t="s">
        <v>63</v>
      </c>
      <c r="Q49" t="s">
        <v>1366</v>
      </c>
      <c r="R49" t="s">
        <v>1372</v>
      </c>
      <c r="S49" t="s">
        <v>67</v>
      </c>
      <c r="T49" t="s">
        <v>1428</v>
      </c>
      <c r="U49" t="s">
        <v>1568</v>
      </c>
      <c r="V49">
        <v>16</v>
      </c>
      <c r="W49" s="2">
        <v>3.1149293099999999E-2</v>
      </c>
    </row>
    <row r="50" spans="1:23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>
        <v>1141685</v>
      </c>
      <c r="H50" t="s">
        <v>79</v>
      </c>
      <c r="I50" t="s">
        <v>94</v>
      </c>
      <c r="J50" t="s">
        <v>101</v>
      </c>
      <c r="K50" t="s">
        <v>116</v>
      </c>
      <c r="L50" s="1">
        <v>46143</v>
      </c>
      <c r="M50" s="1">
        <v>46173</v>
      </c>
      <c r="N50">
        <v>0.1379295653</v>
      </c>
      <c r="O50" t="s">
        <v>56</v>
      </c>
      <c r="P50" t="s">
        <v>63</v>
      </c>
      <c r="Q50" t="s">
        <v>1366</v>
      </c>
      <c r="R50" t="s">
        <v>1372</v>
      </c>
      <c r="S50" t="s">
        <v>67</v>
      </c>
      <c r="T50" t="s">
        <v>1429</v>
      </c>
      <c r="U50" t="s">
        <v>1569</v>
      </c>
      <c r="V50">
        <v>15</v>
      </c>
      <c r="W50" s="2">
        <v>159.26778065689999</v>
      </c>
    </row>
    <row r="51" spans="1:23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>
        <v>1141685</v>
      </c>
      <c r="H51" t="s">
        <v>79</v>
      </c>
      <c r="I51" t="s">
        <v>94</v>
      </c>
      <c r="J51" t="s">
        <v>101</v>
      </c>
      <c r="K51" t="s">
        <v>116</v>
      </c>
      <c r="L51" s="1">
        <v>46143</v>
      </c>
      <c r="M51" s="1">
        <v>46173</v>
      </c>
      <c r="N51">
        <v>0.56518088840000003</v>
      </c>
      <c r="O51" t="s">
        <v>56</v>
      </c>
      <c r="P51" t="s">
        <v>63</v>
      </c>
      <c r="Q51" t="s">
        <v>1366</v>
      </c>
      <c r="R51" t="s">
        <v>1370</v>
      </c>
      <c r="S51" t="s">
        <v>67</v>
      </c>
      <c r="T51" t="s">
        <v>1430</v>
      </c>
      <c r="U51" t="s">
        <v>1570</v>
      </c>
      <c r="V51">
        <v>16</v>
      </c>
      <c r="W51" s="2">
        <v>788.8142628416</v>
      </c>
    </row>
    <row r="52" spans="1:23" x14ac:dyDescent="0.25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>
        <v>1141685</v>
      </c>
      <c r="H52" t="s">
        <v>79</v>
      </c>
      <c r="I52" t="s">
        <v>94</v>
      </c>
      <c r="J52" t="s">
        <v>101</v>
      </c>
      <c r="K52" t="s">
        <v>116</v>
      </c>
      <c r="L52" s="1">
        <v>46143</v>
      </c>
      <c r="M52" s="1">
        <v>46173</v>
      </c>
      <c r="N52">
        <v>1.5786332571999999</v>
      </c>
      <c r="O52" t="s">
        <v>56</v>
      </c>
      <c r="P52" t="s">
        <v>63</v>
      </c>
      <c r="Q52" t="s">
        <v>1366</v>
      </c>
      <c r="R52" t="s">
        <v>1370</v>
      </c>
      <c r="S52" t="s">
        <v>67</v>
      </c>
      <c r="T52" t="s">
        <v>1431</v>
      </c>
      <c r="U52" t="s">
        <v>1571</v>
      </c>
      <c r="V52">
        <v>16</v>
      </c>
      <c r="W52" s="2">
        <v>2203.2648406623998</v>
      </c>
    </row>
    <row r="53" spans="1:23" x14ac:dyDescent="0.25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>
        <v>1141685</v>
      </c>
      <c r="H53" t="s">
        <v>79</v>
      </c>
      <c r="I53" t="s">
        <v>94</v>
      </c>
      <c r="J53" t="s">
        <v>101</v>
      </c>
      <c r="K53" t="s">
        <v>116</v>
      </c>
      <c r="L53" s="1">
        <v>46143</v>
      </c>
      <c r="M53" s="1">
        <v>46173</v>
      </c>
      <c r="N53">
        <v>8.2025489999999995E-4</v>
      </c>
      <c r="O53" t="s">
        <v>56</v>
      </c>
      <c r="P53" t="s">
        <v>63</v>
      </c>
      <c r="Q53" t="s">
        <v>1366</v>
      </c>
      <c r="R53" t="s">
        <v>1370</v>
      </c>
      <c r="S53" t="s">
        <v>67</v>
      </c>
      <c r="T53" t="s">
        <v>1432</v>
      </c>
      <c r="U53" t="s">
        <v>1572</v>
      </c>
      <c r="V53">
        <v>16</v>
      </c>
      <c r="W53" s="2">
        <v>1.1474357642999999</v>
      </c>
    </row>
    <row r="54" spans="1:23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>
        <v>1141685</v>
      </c>
      <c r="H54" t="s">
        <v>86</v>
      </c>
      <c r="I54" t="s">
        <v>42</v>
      </c>
      <c r="J54" t="s">
        <v>86</v>
      </c>
      <c r="K54" t="s">
        <v>124</v>
      </c>
      <c r="L54" s="1">
        <v>46143</v>
      </c>
      <c r="M54" s="1">
        <v>46173</v>
      </c>
      <c r="N54">
        <v>1.3200000000000001E-4</v>
      </c>
      <c r="O54" t="s">
        <v>135</v>
      </c>
      <c r="P54" t="s">
        <v>63</v>
      </c>
      <c r="Q54" t="s">
        <v>1367</v>
      </c>
      <c r="R54" t="s">
        <v>1383</v>
      </c>
      <c r="S54" t="s">
        <v>67</v>
      </c>
      <c r="T54" t="s">
        <v>1433</v>
      </c>
      <c r="U54" t="s">
        <v>1573</v>
      </c>
      <c r="V54">
        <v>17</v>
      </c>
      <c r="W54" s="2">
        <v>45.3928542656</v>
      </c>
    </row>
    <row r="55" spans="1:23" x14ac:dyDescent="0.25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>
        <v>1141685</v>
      </c>
      <c r="H55" t="s">
        <v>76</v>
      </c>
      <c r="I55" t="s">
        <v>95</v>
      </c>
      <c r="J55" t="s">
        <v>99</v>
      </c>
      <c r="K55" t="s">
        <v>109</v>
      </c>
      <c r="L55" s="1">
        <v>46143</v>
      </c>
      <c r="M55" s="1">
        <v>46173</v>
      </c>
      <c r="N55">
        <v>120</v>
      </c>
      <c r="O55" t="s">
        <v>58</v>
      </c>
      <c r="P55" t="s">
        <v>63</v>
      </c>
      <c r="Q55" t="s">
        <v>1367</v>
      </c>
      <c r="R55" t="s">
        <v>1370</v>
      </c>
      <c r="S55" t="s">
        <v>67</v>
      </c>
      <c r="T55" t="s">
        <v>1394</v>
      </c>
      <c r="U55" t="s">
        <v>1534</v>
      </c>
      <c r="V55">
        <v>16</v>
      </c>
      <c r="W55" s="2">
        <v>0</v>
      </c>
    </row>
    <row r="56" spans="1:23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>
        <v>1141685</v>
      </c>
      <c r="H56" t="s">
        <v>77</v>
      </c>
      <c r="I56" t="s">
        <v>96</v>
      </c>
      <c r="J56" t="s">
        <v>77</v>
      </c>
      <c r="K56" t="s">
        <v>111</v>
      </c>
      <c r="L56" s="1">
        <v>46143</v>
      </c>
      <c r="M56" s="1">
        <v>46173</v>
      </c>
      <c r="N56">
        <v>20.404181419899999</v>
      </c>
      <c r="O56" t="s">
        <v>56</v>
      </c>
      <c r="P56" t="s">
        <v>63</v>
      </c>
      <c r="Q56" t="s">
        <v>1366</v>
      </c>
      <c r="R56" t="s">
        <v>1370</v>
      </c>
      <c r="S56" t="s">
        <v>67</v>
      </c>
      <c r="T56" t="s">
        <v>1434</v>
      </c>
      <c r="U56" t="s">
        <v>1574</v>
      </c>
      <c r="V56">
        <v>16</v>
      </c>
      <c r="W56" s="2">
        <v>3559.7178716475</v>
      </c>
    </row>
    <row r="57" spans="1:23" x14ac:dyDescent="0.25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>
        <v>1141685</v>
      </c>
      <c r="H57" t="s">
        <v>77</v>
      </c>
      <c r="I57" t="s">
        <v>96</v>
      </c>
      <c r="J57" t="s">
        <v>77</v>
      </c>
      <c r="K57" t="s">
        <v>111</v>
      </c>
      <c r="L57" s="1">
        <v>46143</v>
      </c>
      <c r="M57" s="1">
        <v>46173</v>
      </c>
      <c r="N57">
        <v>13.0026045367</v>
      </c>
      <c r="O57" t="s">
        <v>56</v>
      </c>
      <c r="P57" t="s">
        <v>63</v>
      </c>
      <c r="Q57" t="s">
        <v>1366</v>
      </c>
      <c r="R57" t="s">
        <v>1370</v>
      </c>
      <c r="S57" t="s">
        <v>67</v>
      </c>
      <c r="T57" t="s">
        <v>1435</v>
      </c>
      <c r="U57" t="s">
        <v>1575</v>
      </c>
      <c r="V57">
        <v>16</v>
      </c>
      <c r="W57" s="2">
        <v>2268.4322609764999</v>
      </c>
    </row>
    <row r="58" spans="1:23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>
        <v>1141685</v>
      </c>
      <c r="H58" t="s">
        <v>77</v>
      </c>
      <c r="I58" t="s">
        <v>96</v>
      </c>
      <c r="J58" t="s">
        <v>77</v>
      </c>
      <c r="K58" t="s">
        <v>113</v>
      </c>
      <c r="L58" s="1">
        <v>46143</v>
      </c>
      <c r="M58" s="1">
        <v>46173</v>
      </c>
      <c r="N58">
        <v>153.06495291549999</v>
      </c>
      <c r="O58" t="s">
        <v>56</v>
      </c>
      <c r="P58" t="s">
        <v>63</v>
      </c>
      <c r="Q58" t="s">
        <v>1366</v>
      </c>
      <c r="R58" t="s">
        <v>1370</v>
      </c>
      <c r="S58" t="s">
        <v>67</v>
      </c>
      <c r="T58" t="s">
        <v>1436</v>
      </c>
      <c r="U58" t="s">
        <v>1576</v>
      </c>
      <c r="V58">
        <v>16</v>
      </c>
      <c r="W58" s="2">
        <v>26703.716283366801</v>
      </c>
    </row>
    <row r="59" spans="1:23" x14ac:dyDescent="0.25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>
        <v>1141685</v>
      </c>
      <c r="H59" t="s">
        <v>77</v>
      </c>
      <c r="I59" t="s">
        <v>96</v>
      </c>
      <c r="J59" t="s">
        <v>77</v>
      </c>
      <c r="K59" t="s">
        <v>113</v>
      </c>
      <c r="L59" s="1">
        <v>46143</v>
      </c>
      <c r="M59" s="1">
        <v>46173</v>
      </c>
      <c r="N59">
        <v>53.729549782399999</v>
      </c>
      <c r="O59" t="s">
        <v>56</v>
      </c>
      <c r="P59" t="s">
        <v>63</v>
      </c>
      <c r="Q59" t="s">
        <v>1366</v>
      </c>
      <c r="R59" t="s">
        <v>1370</v>
      </c>
      <c r="S59" t="s">
        <v>67</v>
      </c>
      <c r="T59" t="s">
        <v>1437</v>
      </c>
      <c r="U59" t="s">
        <v>1577</v>
      </c>
      <c r="V59">
        <v>15</v>
      </c>
      <c r="W59" s="2">
        <v>9373.6583844254001</v>
      </c>
    </row>
    <row r="60" spans="1:23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>
        <v>1141685</v>
      </c>
      <c r="H60" t="s">
        <v>79</v>
      </c>
      <c r="I60" t="s">
        <v>94</v>
      </c>
      <c r="J60" t="s">
        <v>101</v>
      </c>
      <c r="K60" t="s">
        <v>114</v>
      </c>
      <c r="L60" s="1">
        <v>46143</v>
      </c>
      <c r="M60" s="1">
        <v>46173</v>
      </c>
      <c r="N60">
        <v>4.4700000000000002E-7</v>
      </c>
      <c r="O60" t="s">
        <v>56</v>
      </c>
      <c r="P60" t="s">
        <v>63</v>
      </c>
      <c r="Q60" t="s">
        <v>1366</v>
      </c>
      <c r="R60" t="s">
        <v>1372</v>
      </c>
      <c r="S60" t="s">
        <v>67</v>
      </c>
      <c r="T60" t="s">
        <v>1438</v>
      </c>
      <c r="U60" t="s">
        <v>1578</v>
      </c>
      <c r="V60">
        <v>16</v>
      </c>
      <c r="W60" s="2">
        <v>5.4904729999999998E-4</v>
      </c>
    </row>
    <row r="61" spans="1:23" x14ac:dyDescent="0.25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>
        <v>1141685</v>
      </c>
      <c r="H61" t="s">
        <v>79</v>
      </c>
      <c r="I61" t="s">
        <v>94</v>
      </c>
      <c r="J61" t="s">
        <v>101</v>
      </c>
      <c r="K61" t="s">
        <v>114</v>
      </c>
      <c r="L61" s="1">
        <v>46143</v>
      </c>
      <c r="M61" s="1">
        <v>46173</v>
      </c>
      <c r="N61">
        <v>2.6242253351999998</v>
      </c>
      <c r="O61" t="s">
        <v>56</v>
      </c>
      <c r="P61" t="s">
        <v>63</v>
      </c>
      <c r="Q61" t="s">
        <v>1366</v>
      </c>
      <c r="R61" t="s">
        <v>1370</v>
      </c>
      <c r="S61" t="s">
        <v>67</v>
      </c>
      <c r="T61" t="s">
        <v>1439</v>
      </c>
      <c r="U61" t="s">
        <v>1579</v>
      </c>
      <c r="V61">
        <v>16</v>
      </c>
      <c r="W61" s="2">
        <v>3662.5793579255001</v>
      </c>
    </row>
    <row r="62" spans="1:23" x14ac:dyDescent="0.25">
      <c r="A62" t="s">
        <v>31</v>
      </c>
      <c r="B62" t="s">
        <v>32</v>
      </c>
      <c r="C62" t="s">
        <v>33</v>
      </c>
      <c r="D62" t="s">
        <v>34</v>
      </c>
      <c r="E62" t="s">
        <v>35</v>
      </c>
      <c r="F62" t="s">
        <v>36</v>
      </c>
      <c r="G62">
        <v>1141685</v>
      </c>
      <c r="H62" t="s">
        <v>80</v>
      </c>
      <c r="I62" t="s">
        <v>96</v>
      </c>
      <c r="J62" t="s">
        <v>80</v>
      </c>
      <c r="K62" t="s">
        <v>115</v>
      </c>
      <c r="L62" s="1">
        <v>46143</v>
      </c>
      <c r="M62" s="1">
        <v>46173</v>
      </c>
      <c r="N62">
        <v>0.7801052034</v>
      </c>
      <c r="O62" t="s">
        <v>56</v>
      </c>
      <c r="P62" t="s">
        <v>63</v>
      </c>
      <c r="Q62" t="s">
        <v>1366</v>
      </c>
      <c r="R62" t="s">
        <v>1370</v>
      </c>
      <c r="S62" t="s">
        <v>67</v>
      </c>
      <c r="T62" t="s">
        <v>1440</v>
      </c>
      <c r="U62" t="s">
        <v>1580</v>
      </c>
      <c r="V62">
        <v>16</v>
      </c>
      <c r="W62" s="2">
        <v>136.095495328</v>
      </c>
    </row>
    <row r="63" spans="1:23" x14ac:dyDescent="0.25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>
        <v>1141685</v>
      </c>
      <c r="H63" t="s">
        <v>80</v>
      </c>
      <c r="I63" t="s">
        <v>96</v>
      </c>
      <c r="J63" t="s">
        <v>80</v>
      </c>
      <c r="K63" t="s">
        <v>115</v>
      </c>
      <c r="L63" s="1">
        <v>46143</v>
      </c>
      <c r="M63" s="1">
        <v>46173</v>
      </c>
      <c r="N63">
        <v>2.1990116699999999E-2</v>
      </c>
      <c r="O63" t="s">
        <v>56</v>
      </c>
      <c r="P63" t="s">
        <v>63</v>
      </c>
      <c r="Q63" t="s">
        <v>1366</v>
      </c>
      <c r="R63" t="s">
        <v>1372</v>
      </c>
      <c r="S63" t="s">
        <v>67</v>
      </c>
      <c r="T63" t="s">
        <v>1441</v>
      </c>
      <c r="U63" t="s">
        <v>1581</v>
      </c>
      <c r="V63">
        <v>15</v>
      </c>
      <c r="W63" s="2">
        <v>3.8360282656</v>
      </c>
    </row>
    <row r="64" spans="1:23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36</v>
      </c>
      <c r="G64">
        <v>1141685</v>
      </c>
      <c r="H64" t="s">
        <v>80</v>
      </c>
      <c r="I64" t="s">
        <v>96</v>
      </c>
      <c r="J64" t="s">
        <v>80</v>
      </c>
      <c r="K64" t="s">
        <v>115</v>
      </c>
      <c r="L64" s="1">
        <v>46143</v>
      </c>
      <c r="M64" s="1">
        <v>46173</v>
      </c>
      <c r="N64">
        <v>1.0157626839</v>
      </c>
      <c r="O64" t="s">
        <v>56</v>
      </c>
      <c r="P64" t="s">
        <v>63</v>
      </c>
      <c r="Q64" t="s">
        <v>1366</v>
      </c>
      <c r="R64" t="s">
        <v>1370</v>
      </c>
      <c r="S64" t="s">
        <v>67</v>
      </c>
      <c r="T64" t="s">
        <v>1442</v>
      </c>
      <c r="U64" t="s">
        <v>1582</v>
      </c>
      <c r="V64">
        <v>16</v>
      </c>
      <c r="W64" s="2">
        <v>177.21476289719999</v>
      </c>
    </row>
    <row r="65" spans="1:23" x14ac:dyDescent="0.25">
      <c r="A65" t="s">
        <v>31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>
        <v>1141685</v>
      </c>
      <c r="H65" t="s">
        <v>80</v>
      </c>
      <c r="I65" t="s">
        <v>96</v>
      </c>
      <c r="J65" t="s">
        <v>80</v>
      </c>
      <c r="K65" t="s">
        <v>115</v>
      </c>
      <c r="L65" s="1">
        <v>46143</v>
      </c>
      <c r="M65" s="1">
        <v>46173</v>
      </c>
      <c r="N65">
        <v>0.97419677299999996</v>
      </c>
      <c r="O65" t="s">
        <v>56</v>
      </c>
      <c r="P65" t="s">
        <v>63</v>
      </c>
      <c r="Q65" t="s">
        <v>1366</v>
      </c>
      <c r="R65" t="s">
        <v>1370</v>
      </c>
      <c r="S65" t="s">
        <v>67</v>
      </c>
      <c r="T65" t="s">
        <v>1443</v>
      </c>
      <c r="U65" t="s">
        <v>1583</v>
      </c>
      <c r="V65">
        <v>16</v>
      </c>
      <c r="W65" s="2">
        <v>169.9633647364</v>
      </c>
    </row>
    <row r="66" spans="1:23" x14ac:dyDescent="0.25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s">
        <v>36</v>
      </c>
      <c r="G66">
        <v>1141685</v>
      </c>
      <c r="H66" t="s">
        <v>77</v>
      </c>
      <c r="I66" t="s">
        <v>96</v>
      </c>
      <c r="J66" t="s">
        <v>77</v>
      </c>
      <c r="K66" t="s">
        <v>110</v>
      </c>
      <c r="L66" s="1">
        <v>46143</v>
      </c>
      <c r="M66" s="1">
        <v>46173</v>
      </c>
      <c r="N66">
        <v>744</v>
      </c>
      <c r="O66" t="s">
        <v>58</v>
      </c>
      <c r="P66" t="s">
        <v>63</v>
      </c>
      <c r="Q66" t="s">
        <v>1369</v>
      </c>
      <c r="R66" t="s">
        <v>1384</v>
      </c>
      <c r="S66" t="s">
        <v>67</v>
      </c>
      <c r="T66" t="s">
        <v>1444</v>
      </c>
      <c r="U66" t="s">
        <v>1584</v>
      </c>
      <c r="V66">
        <v>7</v>
      </c>
      <c r="W66" s="2">
        <v>129798.2412</v>
      </c>
    </row>
    <row r="67" spans="1:23" x14ac:dyDescent="0.25">
      <c r="A67" t="s">
        <v>31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>
        <v>1141685</v>
      </c>
      <c r="H67" t="s">
        <v>77</v>
      </c>
      <c r="I67" t="s">
        <v>96</v>
      </c>
      <c r="J67" t="s">
        <v>77</v>
      </c>
      <c r="K67" t="s">
        <v>110</v>
      </c>
      <c r="L67" s="1">
        <v>46143</v>
      </c>
      <c r="M67" s="1">
        <v>46173</v>
      </c>
      <c r="N67">
        <v>744</v>
      </c>
      <c r="O67" t="s">
        <v>58</v>
      </c>
      <c r="P67" t="s">
        <v>63</v>
      </c>
      <c r="Q67" t="s">
        <v>1369</v>
      </c>
      <c r="R67" t="s">
        <v>1385</v>
      </c>
      <c r="S67" t="s">
        <v>67</v>
      </c>
      <c r="T67" t="s">
        <v>1445</v>
      </c>
      <c r="U67" t="s">
        <v>1585</v>
      </c>
      <c r="V67">
        <v>7</v>
      </c>
      <c r="W67" s="2">
        <v>129798.2412</v>
      </c>
    </row>
    <row r="68" spans="1:23" x14ac:dyDescent="0.25">
      <c r="A68" t="s">
        <v>31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>
        <v>1141685</v>
      </c>
      <c r="H68" t="s">
        <v>77</v>
      </c>
      <c r="I68" t="s">
        <v>96</v>
      </c>
      <c r="J68" t="s">
        <v>77</v>
      </c>
      <c r="K68" t="s">
        <v>113</v>
      </c>
      <c r="L68" s="1">
        <v>46143</v>
      </c>
      <c r="M68" s="1">
        <v>46173</v>
      </c>
      <c r="N68">
        <v>1.8915372E-2</v>
      </c>
      <c r="O68" t="s">
        <v>56</v>
      </c>
      <c r="P68" t="s">
        <v>63</v>
      </c>
      <c r="Q68" t="s">
        <v>1369</v>
      </c>
      <c r="R68" t="s">
        <v>1380</v>
      </c>
      <c r="S68" t="s">
        <v>67</v>
      </c>
      <c r="T68" t="s">
        <v>1446</v>
      </c>
      <c r="U68" t="s">
        <v>1586</v>
      </c>
      <c r="V68">
        <v>7</v>
      </c>
      <c r="W68" s="2">
        <v>3.3039786979999999</v>
      </c>
    </row>
    <row r="69" spans="1:23" x14ac:dyDescent="0.25">
      <c r="A69" t="s">
        <v>31</v>
      </c>
      <c r="B69" t="s">
        <v>32</v>
      </c>
      <c r="C69" t="s">
        <v>33</v>
      </c>
      <c r="D69" t="s">
        <v>34</v>
      </c>
      <c r="E69" t="s">
        <v>35</v>
      </c>
      <c r="F69" t="s">
        <v>36</v>
      </c>
      <c r="G69">
        <v>1141685</v>
      </c>
      <c r="H69" t="s">
        <v>77</v>
      </c>
      <c r="I69" t="s">
        <v>96</v>
      </c>
      <c r="J69" t="s">
        <v>77</v>
      </c>
      <c r="K69" t="s">
        <v>113</v>
      </c>
      <c r="L69" s="1">
        <v>46143</v>
      </c>
      <c r="M69" s="1">
        <v>46173</v>
      </c>
      <c r="N69">
        <v>3.7861150000000001E-4</v>
      </c>
      <c r="O69" t="s">
        <v>56</v>
      </c>
      <c r="P69" t="s">
        <v>63</v>
      </c>
      <c r="Q69" t="s">
        <v>1369</v>
      </c>
      <c r="R69" t="s">
        <v>1380</v>
      </c>
      <c r="S69" t="s">
        <v>67</v>
      </c>
      <c r="T69" t="s">
        <v>1447</v>
      </c>
      <c r="U69" t="s">
        <v>1587</v>
      </c>
      <c r="V69">
        <v>7</v>
      </c>
      <c r="W69" s="2">
        <v>6.8126254299999994E-2</v>
      </c>
    </row>
    <row r="70" spans="1:23" x14ac:dyDescent="0.25">
      <c r="A70" t="s">
        <v>31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>
        <v>1141685</v>
      </c>
      <c r="H70" t="s">
        <v>86</v>
      </c>
      <c r="I70" t="s">
        <v>42</v>
      </c>
      <c r="J70" t="s">
        <v>86</v>
      </c>
      <c r="K70" t="s">
        <v>124</v>
      </c>
      <c r="L70" s="1">
        <v>46143</v>
      </c>
      <c r="M70" s="1">
        <v>46173</v>
      </c>
      <c r="N70">
        <v>8.9300000000000002E-4</v>
      </c>
      <c r="O70" t="s">
        <v>135</v>
      </c>
      <c r="P70" t="s">
        <v>63</v>
      </c>
      <c r="Q70" t="s">
        <v>1367</v>
      </c>
      <c r="R70" t="s">
        <v>1386</v>
      </c>
      <c r="S70" t="s">
        <v>67</v>
      </c>
      <c r="T70" t="s">
        <v>1448</v>
      </c>
      <c r="U70" t="s">
        <v>1588</v>
      </c>
      <c r="V70">
        <v>17</v>
      </c>
      <c r="W70" s="2">
        <v>307.06946105440011</v>
      </c>
    </row>
    <row r="71" spans="1:23" x14ac:dyDescent="0.25">
      <c r="A71" t="s">
        <v>31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>
        <v>1141685</v>
      </c>
      <c r="H71" t="s">
        <v>79</v>
      </c>
      <c r="I71" t="s">
        <v>94</v>
      </c>
      <c r="J71" t="s">
        <v>101</v>
      </c>
      <c r="K71" t="s">
        <v>114</v>
      </c>
      <c r="L71" s="1">
        <v>46143</v>
      </c>
      <c r="M71" s="1">
        <v>46173</v>
      </c>
      <c r="N71">
        <v>0.37475939559999999</v>
      </c>
      <c r="O71" t="s">
        <v>56</v>
      </c>
      <c r="P71" t="s">
        <v>63</v>
      </c>
      <c r="Q71" t="s">
        <v>1366</v>
      </c>
      <c r="R71" t="s">
        <v>1370</v>
      </c>
      <c r="S71" t="s">
        <v>67</v>
      </c>
      <c r="T71" t="s">
        <v>1449</v>
      </c>
      <c r="U71" t="s">
        <v>1589</v>
      </c>
      <c r="V71">
        <v>16</v>
      </c>
      <c r="W71" s="2">
        <v>523.04889006810004</v>
      </c>
    </row>
    <row r="72" spans="1:23" x14ac:dyDescent="0.2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>
        <v>1141685</v>
      </c>
      <c r="H72" t="s">
        <v>79</v>
      </c>
      <c r="I72" t="s">
        <v>94</v>
      </c>
      <c r="J72" t="s">
        <v>101</v>
      </c>
      <c r="K72" t="s">
        <v>114</v>
      </c>
      <c r="L72" s="1">
        <v>46143</v>
      </c>
      <c r="M72" s="1">
        <v>46173</v>
      </c>
      <c r="N72">
        <v>2.5786254999999999E-3</v>
      </c>
      <c r="O72" t="s">
        <v>56</v>
      </c>
      <c r="P72" t="s">
        <v>63</v>
      </c>
      <c r="Q72" t="s">
        <v>1366</v>
      </c>
      <c r="R72" t="s">
        <v>1371</v>
      </c>
      <c r="S72" t="s">
        <v>67</v>
      </c>
      <c r="T72" t="s">
        <v>1450</v>
      </c>
      <c r="U72" t="s">
        <v>1590</v>
      </c>
      <c r="V72">
        <v>17</v>
      </c>
      <c r="W72" s="2">
        <v>3.5970636559</v>
      </c>
    </row>
    <row r="73" spans="1:23" x14ac:dyDescent="0.25">
      <c r="A73" t="s">
        <v>31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>
        <v>1141685</v>
      </c>
      <c r="H73" t="s">
        <v>77</v>
      </c>
      <c r="I73" t="s">
        <v>96</v>
      </c>
      <c r="J73" t="s">
        <v>77</v>
      </c>
      <c r="K73" t="s">
        <v>111</v>
      </c>
      <c r="L73" s="1">
        <v>46143</v>
      </c>
      <c r="M73" s="1">
        <v>46173</v>
      </c>
      <c r="N73">
        <v>1.00536E-5</v>
      </c>
      <c r="O73" t="s">
        <v>56</v>
      </c>
      <c r="P73" t="s">
        <v>63</v>
      </c>
      <c r="Q73" t="s">
        <v>1369</v>
      </c>
      <c r="R73" t="s">
        <v>1380</v>
      </c>
      <c r="S73" t="s">
        <v>67</v>
      </c>
      <c r="T73" t="s">
        <v>1451</v>
      </c>
      <c r="U73" t="s">
        <v>1591</v>
      </c>
      <c r="V73">
        <v>7</v>
      </c>
      <c r="W73" s="2">
        <v>1.5434811E-3</v>
      </c>
    </row>
    <row r="74" spans="1:23" x14ac:dyDescent="0.25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>
        <v>1141685</v>
      </c>
      <c r="H74" t="s">
        <v>79</v>
      </c>
      <c r="I74" t="s">
        <v>94</v>
      </c>
      <c r="J74" t="s">
        <v>101</v>
      </c>
      <c r="K74" t="s">
        <v>114</v>
      </c>
      <c r="L74" s="1">
        <v>46143</v>
      </c>
      <c r="M74" s="1">
        <v>46173</v>
      </c>
      <c r="N74">
        <v>0.10132925030000001</v>
      </c>
      <c r="O74" t="s">
        <v>56</v>
      </c>
      <c r="P74" t="s">
        <v>63</v>
      </c>
      <c r="Q74" t="s">
        <v>1366</v>
      </c>
      <c r="R74" t="s">
        <v>1370</v>
      </c>
      <c r="S74" t="s">
        <v>67</v>
      </c>
      <c r="T74" t="s">
        <v>1452</v>
      </c>
      <c r="U74" t="s">
        <v>1592</v>
      </c>
      <c r="V74">
        <v>15</v>
      </c>
      <c r="W74" s="2">
        <v>141.42242304339999</v>
      </c>
    </row>
    <row r="75" spans="1:23" x14ac:dyDescent="0.25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>
        <v>1141685</v>
      </c>
      <c r="H75" t="s">
        <v>77</v>
      </c>
      <c r="I75" t="s">
        <v>96</v>
      </c>
      <c r="J75" t="s">
        <v>77</v>
      </c>
      <c r="K75" t="s">
        <v>111</v>
      </c>
      <c r="L75" s="1">
        <v>46143</v>
      </c>
      <c r="M75" s="1">
        <v>46173</v>
      </c>
      <c r="N75">
        <v>6.9990250244999999</v>
      </c>
      <c r="O75" t="s">
        <v>56</v>
      </c>
      <c r="P75" t="s">
        <v>63</v>
      </c>
      <c r="Q75" t="s">
        <v>1366</v>
      </c>
      <c r="R75" t="s">
        <v>1370</v>
      </c>
      <c r="S75" t="s">
        <v>67</v>
      </c>
      <c r="T75" t="s">
        <v>1453</v>
      </c>
      <c r="U75" t="s">
        <v>1593</v>
      </c>
      <c r="V75">
        <v>15</v>
      </c>
      <c r="W75" s="2">
        <v>1221.0539170773</v>
      </c>
    </row>
    <row r="76" spans="1:23" x14ac:dyDescent="0.25">
      <c r="A76" t="s">
        <v>31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>
        <v>1141685</v>
      </c>
      <c r="H76" t="s">
        <v>77</v>
      </c>
      <c r="I76" t="s">
        <v>96</v>
      </c>
      <c r="J76" t="s">
        <v>77</v>
      </c>
      <c r="K76" t="s">
        <v>111</v>
      </c>
      <c r="L76" s="1">
        <v>46143</v>
      </c>
      <c r="M76" s="1">
        <v>46173</v>
      </c>
      <c r="N76">
        <v>5.7302097073000002</v>
      </c>
      <c r="O76" t="s">
        <v>56</v>
      </c>
      <c r="P76" t="s">
        <v>63</v>
      </c>
      <c r="Q76" t="s">
        <v>1366</v>
      </c>
      <c r="R76" t="s">
        <v>1370</v>
      </c>
      <c r="S76" t="s">
        <v>67</v>
      </c>
      <c r="T76" t="s">
        <v>1454</v>
      </c>
      <c r="U76" t="s">
        <v>1594</v>
      </c>
      <c r="V76">
        <v>15</v>
      </c>
      <c r="W76" s="2">
        <v>999.68929926800001</v>
      </c>
    </row>
    <row r="77" spans="1:23" x14ac:dyDescent="0.25">
      <c r="A77" t="s">
        <v>31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>
        <v>1141685</v>
      </c>
      <c r="H77" t="s">
        <v>79</v>
      </c>
      <c r="I77" t="s">
        <v>94</v>
      </c>
      <c r="J77" t="s">
        <v>101</v>
      </c>
      <c r="K77" t="s">
        <v>114</v>
      </c>
      <c r="L77" s="1">
        <v>46143</v>
      </c>
      <c r="M77" s="1">
        <v>46173</v>
      </c>
      <c r="N77">
        <v>3.3529999999999999E-7</v>
      </c>
      <c r="O77" t="s">
        <v>56</v>
      </c>
      <c r="P77" t="s">
        <v>63</v>
      </c>
      <c r="Q77" t="s">
        <v>1366</v>
      </c>
      <c r="R77" t="s">
        <v>1372</v>
      </c>
      <c r="S77" t="s">
        <v>67</v>
      </c>
      <c r="T77" t="s">
        <v>1455</v>
      </c>
      <c r="U77" t="s">
        <v>1595</v>
      </c>
      <c r="V77">
        <v>16</v>
      </c>
      <c r="W77" s="2">
        <v>4.1178550000000002E-4</v>
      </c>
    </row>
    <row r="78" spans="1:23" x14ac:dyDescent="0.25">
      <c r="A78" t="s">
        <v>31</v>
      </c>
      <c r="B78" t="s">
        <v>32</v>
      </c>
      <c r="C78" t="s">
        <v>33</v>
      </c>
      <c r="D78" t="s">
        <v>34</v>
      </c>
      <c r="E78" t="s">
        <v>35</v>
      </c>
      <c r="F78" t="s">
        <v>36</v>
      </c>
      <c r="G78">
        <v>1141685</v>
      </c>
      <c r="H78" t="s">
        <v>79</v>
      </c>
      <c r="I78" t="s">
        <v>94</v>
      </c>
      <c r="J78" t="s">
        <v>101</v>
      </c>
      <c r="K78" t="s">
        <v>114</v>
      </c>
      <c r="L78" s="1">
        <v>46143</v>
      </c>
      <c r="M78" s="1">
        <v>46173</v>
      </c>
      <c r="N78">
        <v>5.5879999999999995E-7</v>
      </c>
      <c r="O78" t="s">
        <v>56</v>
      </c>
      <c r="P78" t="s">
        <v>63</v>
      </c>
      <c r="Q78" t="s">
        <v>1366</v>
      </c>
      <c r="R78" t="s">
        <v>1370</v>
      </c>
      <c r="S78" t="s">
        <v>67</v>
      </c>
      <c r="T78" t="s">
        <v>1456</v>
      </c>
      <c r="U78" t="s">
        <v>1596</v>
      </c>
      <c r="V78">
        <v>16</v>
      </c>
      <c r="W78" s="2">
        <v>6.8630929999999996E-4</v>
      </c>
    </row>
    <row r="79" spans="1:23" x14ac:dyDescent="0.25">
      <c r="A79" t="s">
        <v>31</v>
      </c>
      <c r="B79" t="s">
        <v>32</v>
      </c>
      <c r="C79" t="s">
        <v>33</v>
      </c>
      <c r="D79" t="s">
        <v>34</v>
      </c>
      <c r="E79" t="s">
        <v>35</v>
      </c>
      <c r="F79" t="s">
        <v>36</v>
      </c>
      <c r="G79">
        <v>1141685</v>
      </c>
      <c r="H79" t="s">
        <v>79</v>
      </c>
      <c r="I79" t="s">
        <v>94</v>
      </c>
      <c r="J79" t="s">
        <v>101</v>
      </c>
      <c r="K79" t="s">
        <v>116</v>
      </c>
      <c r="L79" s="1">
        <v>46143</v>
      </c>
      <c r="M79" s="1">
        <v>46173</v>
      </c>
      <c r="N79">
        <v>6.8319442699999997E-2</v>
      </c>
      <c r="O79" t="s">
        <v>56</v>
      </c>
      <c r="P79" t="s">
        <v>63</v>
      </c>
      <c r="Q79" t="s">
        <v>1366</v>
      </c>
      <c r="R79" t="s">
        <v>1371</v>
      </c>
      <c r="S79" t="s">
        <v>67</v>
      </c>
      <c r="T79" t="s">
        <v>1457</v>
      </c>
      <c r="U79" t="s">
        <v>1597</v>
      </c>
      <c r="V79">
        <v>16</v>
      </c>
      <c r="W79" s="2">
        <v>78.527669391800003</v>
      </c>
    </row>
    <row r="80" spans="1:23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>
        <v>1141685</v>
      </c>
      <c r="H80" t="s">
        <v>90</v>
      </c>
      <c r="I80" t="s">
        <v>43</v>
      </c>
      <c r="J80" t="s">
        <v>105</v>
      </c>
      <c r="K80" t="s">
        <v>128</v>
      </c>
      <c r="L80" s="1">
        <v>46143</v>
      </c>
      <c r="M80" s="1">
        <v>46173</v>
      </c>
      <c r="N80">
        <v>0.99731182799999996</v>
      </c>
      <c r="O80" t="s">
        <v>135</v>
      </c>
      <c r="P80" t="s">
        <v>63</v>
      </c>
      <c r="Q80" t="s">
        <v>1368</v>
      </c>
      <c r="R80" t="s">
        <v>1387</v>
      </c>
      <c r="S80" t="s">
        <v>67</v>
      </c>
      <c r="T80" t="s">
        <v>1458</v>
      </c>
      <c r="U80" t="s">
        <v>1598</v>
      </c>
      <c r="V80">
        <v>8</v>
      </c>
      <c r="W80" s="2">
        <v>260986.5283870938</v>
      </c>
    </row>
    <row r="81" spans="1:23" x14ac:dyDescent="0.25">
      <c r="A81" t="s">
        <v>31</v>
      </c>
      <c r="B81" t="s">
        <v>32</v>
      </c>
      <c r="C81" t="s">
        <v>33</v>
      </c>
      <c r="D81" t="s">
        <v>34</v>
      </c>
      <c r="E81" t="s">
        <v>35</v>
      </c>
      <c r="F81" t="s">
        <v>36</v>
      </c>
      <c r="G81">
        <v>1141685</v>
      </c>
      <c r="H81" t="s">
        <v>77</v>
      </c>
      <c r="I81" t="s">
        <v>96</v>
      </c>
      <c r="J81" t="s">
        <v>77</v>
      </c>
      <c r="K81" t="s">
        <v>113</v>
      </c>
      <c r="L81" s="1">
        <v>46143</v>
      </c>
      <c r="M81" s="1">
        <v>46173</v>
      </c>
      <c r="N81">
        <v>7.1636559245999996</v>
      </c>
      <c r="O81" t="s">
        <v>56</v>
      </c>
      <c r="P81" t="s">
        <v>63</v>
      </c>
      <c r="Q81" t="s">
        <v>1366</v>
      </c>
      <c r="R81" t="s">
        <v>1372</v>
      </c>
      <c r="S81" t="s">
        <v>67</v>
      </c>
      <c r="T81" t="s">
        <v>1459</v>
      </c>
      <c r="U81" t="s">
        <v>1599</v>
      </c>
      <c r="V81">
        <v>16</v>
      </c>
      <c r="W81" s="2">
        <v>1249.7688430925</v>
      </c>
    </row>
    <row r="82" spans="1:23" x14ac:dyDescent="0.25">
      <c r="A82" t="s">
        <v>31</v>
      </c>
      <c r="B82" t="s">
        <v>32</v>
      </c>
      <c r="C82" t="s">
        <v>33</v>
      </c>
      <c r="D82" t="s">
        <v>34</v>
      </c>
      <c r="E82" t="s">
        <v>35</v>
      </c>
      <c r="F82" t="s">
        <v>36</v>
      </c>
      <c r="G82">
        <v>1141685</v>
      </c>
      <c r="H82" t="s">
        <v>87</v>
      </c>
      <c r="I82" t="s">
        <v>87</v>
      </c>
      <c r="J82" t="s">
        <v>87</v>
      </c>
      <c r="K82" t="s">
        <v>125</v>
      </c>
      <c r="L82" s="1">
        <v>46143</v>
      </c>
      <c r="M82" s="1">
        <v>46173</v>
      </c>
      <c r="N82">
        <v>744</v>
      </c>
      <c r="O82" t="s">
        <v>58</v>
      </c>
      <c r="P82" t="s">
        <v>63</v>
      </c>
      <c r="Q82" t="s">
        <v>1366</v>
      </c>
      <c r="R82" t="s">
        <v>164</v>
      </c>
      <c r="S82" t="s">
        <v>67</v>
      </c>
      <c r="T82" t="s">
        <v>1460</v>
      </c>
      <c r="U82" t="s">
        <v>1600</v>
      </c>
      <c r="V82">
        <v>11</v>
      </c>
      <c r="W82" s="2">
        <v>324495.598</v>
      </c>
    </row>
    <row r="83" spans="1:23" x14ac:dyDescent="0.25">
      <c r="A83" t="s">
        <v>31</v>
      </c>
      <c r="B83" t="s">
        <v>32</v>
      </c>
      <c r="C83" t="s">
        <v>33</v>
      </c>
      <c r="D83" t="s">
        <v>34</v>
      </c>
      <c r="E83" t="s">
        <v>35</v>
      </c>
      <c r="F83" t="s">
        <v>36</v>
      </c>
      <c r="G83">
        <v>1141685</v>
      </c>
      <c r="H83" t="s">
        <v>87</v>
      </c>
      <c r="I83" t="s">
        <v>87</v>
      </c>
      <c r="J83" t="s">
        <v>87</v>
      </c>
      <c r="K83" t="s">
        <v>131</v>
      </c>
      <c r="L83" s="1">
        <v>46143</v>
      </c>
      <c r="M83" s="1">
        <v>46173</v>
      </c>
      <c r="N83">
        <v>39.532269004699998</v>
      </c>
      <c r="O83" t="s">
        <v>56</v>
      </c>
      <c r="P83" t="s">
        <v>63</v>
      </c>
      <c r="Q83" t="s">
        <v>1366</v>
      </c>
      <c r="R83" t="s">
        <v>158</v>
      </c>
      <c r="S83" t="s">
        <v>67</v>
      </c>
      <c r="T83" t="s">
        <v>1461</v>
      </c>
      <c r="U83" t="s">
        <v>1601</v>
      </c>
      <c r="V83">
        <v>11</v>
      </c>
      <c r="W83" s="2">
        <v>3448.4018462448998</v>
      </c>
    </row>
    <row r="84" spans="1:23" x14ac:dyDescent="0.25">
      <c r="A84" t="s">
        <v>31</v>
      </c>
      <c r="B84" t="s">
        <v>32</v>
      </c>
      <c r="C84" t="s">
        <v>33</v>
      </c>
      <c r="D84" t="s">
        <v>34</v>
      </c>
      <c r="E84" t="s">
        <v>35</v>
      </c>
      <c r="F84" t="s">
        <v>36</v>
      </c>
      <c r="G84">
        <v>1141685</v>
      </c>
      <c r="H84" t="s">
        <v>91</v>
      </c>
      <c r="I84" t="s">
        <v>95</v>
      </c>
      <c r="J84" t="s">
        <v>106</v>
      </c>
      <c r="K84" t="s">
        <v>129</v>
      </c>
      <c r="L84" s="1">
        <v>46143</v>
      </c>
      <c r="M84" s="1">
        <v>46173</v>
      </c>
      <c r="N84">
        <v>1</v>
      </c>
      <c r="O84" t="s">
        <v>58</v>
      </c>
      <c r="P84" t="s">
        <v>63</v>
      </c>
      <c r="Q84" t="s">
        <v>1367</v>
      </c>
      <c r="R84" t="s">
        <v>1372</v>
      </c>
      <c r="S84" t="s">
        <v>67</v>
      </c>
      <c r="T84" t="s">
        <v>1462</v>
      </c>
      <c r="U84" t="s">
        <v>1602</v>
      </c>
      <c r="V84">
        <v>16</v>
      </c>
      <c r="W84" s="2">
        <v>2180.75</v>
      </c>
    </row>
    <row r="85" spans="1:23" x14ac:dyDescent="0.25">
      <c r="A85" t="s">
        <v>31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>
        <v>1141685</v>
      </c>
      <c r="H85" t="s">
        <v>92</v>
      </c>
      <c r="I85" t="s">
        <v>97</v>
      </c>
      <c r="J85" t="s">
        <v>107</v>
      </c>
      <c r="K85" t="s">
        <v>130</v>
      </c>
      <c r="L85" s="1">
        <v>46143</v>
      </c>
      <c r="M85" s="1">
        <v>46173</v>
      </c>
      <c r="N85">
        <v>41.6</v>
      </c>
      <c r="O85" t="s">
        <v>57</v>
      </c>
      <c r="P85" t="s">
        <v>63</v>
      </c>
      <c r="Q85" t="s">
        <v>1368</v>
      </c>
      <c r="R85" t="s">
        <v>1373</v>
      </c>
      <c r="S85" t="s">
        <v>67</v>
      </c>
      <c r="T85" t="s">
        <v>1463</v>
      </c>
      <c r="U85" t="s">
        <v>1603</v>
      </c>
      <c r="V85">
        <v>6</v>
      </c>
      <c r="W85" s="2">
        <v>100153.9971839958</v>
      </c>
    </row>
    <row r="86" spans="1:23" x14ac:dyDescent="0.25">
      <c r="A86" t="s">
        <v>31</v>
      </c>
      <c r="B86" t="s">
        <v>32</v>
      </c>
      <c r="C86" t="s">
        <v>33</v>
      </c>
      <c r="D86" t="s">
        <v>34</v>
      </c>
      <c r="E86" t="s">
        <v>35</v>
      </c>
      <c r="F86" t="s">
        <v>36</v>
      </c>
      <c r="G86">
        <v>1141685</v>
      </c>
      <c r="H86" t="s">
        <v>76</v>
      </c>
      <c r="I86" t="s">
        <v>95</v>
      </c>
      <c r="J86" t="s">
        <v>99</v>
      </c>
      <c r="K86" t="s">
        <v>109</v>
      </c>
      <c r="L86" s="1">
        <v>46143</v>
      </c>
      <c r="M86" s="1">
        <v>46173</v>
      </c>
      <c r="N86">
        <v>0.13331599999999999</v>
      </c>
      <c r="O86" t="s">
        <v>58</v>
      </c>
      <c r="P86" t="s">
        <v>63</v>
      </c>
      <c r="Q86" t="s">
        <v>1367</v>
      </c>
      <c r="R86" t="s">
        <v>1371</v>
      </c>
      <c r="S86" t="s">
        <v>67</v>
      </c>
      <c r="T86" t="s">
        <v>1395</v>
      </c>
      <c r="U86" t="s">
        <v>1535</v>
      </c>
      <c r="V86">
        <v>17</v>
      </c>
      <c r="W86" s="2">
        <v>0</v>
      </c>
    </row>
    <row r="87" spans="1:23" x14ac:dyDescent="0.25">
      <c r="A87" t="s">
        <v>31</v>
      </c>
      <c r="B87" t="s">
        <v>32</v>
      </c>
      <c r="C87" t="s">
        <v>33</v>
      </c>
      <c r="D87" t="s">
        <v>34</v>
      </c>
      <c r="E87" t="s">
        <v>35</v>
      </c>
      <c r="F87" t="s">
        <v>36</v>
      </c>
      <c r="G87">
        <v>1141685</v>
      </c>
      <c r="H87" t="s">
        <v>76</v>
      </c>
      <c r="I87" t="s">
        <v>95</v>
      </c>
      <c r="J87" t="s">
        <v>99</v>
      </c>
      <c r="K87" t="s">
        <v>109</v>
      </c>
      <c r="L87" s="1">
        <v>46143</v>
      </c>
      <c r="M87" s="1">
        <v>46173</v>
      </c>
      <c r="N87">
        <v>5.900112</v>
      </c>
      <c r="O87" t="s">
        <v>58</v>
      </c>
      <c r="P87" t="s">
        <v>63</v>
      </c>
      <c r="Q87" t="s">
        <v>1367</v>
      </c>
      <c r="R87" t="s">
        <v>1372</v>
      </c>
      <c r="S87" t="s">
        <v>67</v>
      </c>
      <c r="T87" t="s">
        <v>1403</v>
      </c>
      <c r="U87" t="s">
        <v>1543</v>
      </c>
      <c r="V87">
        <v>16</v>
      </c>
      <c r="W87" s="2">
        <v>0</v>
      </c>
    </row>
    <row r="88" spans="1:23" x14ac:dyDescent="0.25">
      <c r="A88" t="s">
        <v>31</v>
      </c>
      <c r="B88" t="s">
        <v>32</v>
      </c>
      <c r="C88" t="s">
        <v>33</v>
      </c>
      <c r="D88" t="s">
        <v>34</v>
      </c>
      <c r="E88" t="s">
        <v>35</v>
      </c>
      <c r="F88" t="s">
        <v>36</v>
      </c>
      <c r="G88">
        <v>1141685</v>
      </c>
      <c r="H88" t="s">
        <v>76</v>
      </c>
      <c r="I88" t="s">
        <v>95</v>
      </c>
      <c r="J88" t="s">
        <v>99</v>
      </c>
      <c r="K88" t="s">
        <v>109</v>
      </c>
      <c r="L88" s="1">
        <v>46143</v>
      </c>
      <c r="M88" s="1">
        <v>46173</v>
      </c>
      <c r="N88">
        <v>0.433342</v>
      </c>
      <c r="O88" t="s">
        <v>58</v>
      </c>
      <c r="P88" t="s">
        <v>63</v>
      </c>
      <c r="Q88" t="s">
        <v>1367</v>
      </c>
      <c r="R88" t="s">
        <v>1370</v>
      </c>
      <c r="S88" t="s">
        <v>67</v>
      </c>
      <c r="T88" t="s">
        <v>1394</v>
      </c>
      <c r="U88" t="s">
        <v>1534</v>
      </c>
      <c r="V88">
        <v>16</v>
      </c>
      <c r="W88" s="2">
        <v>0</v>
      </c>
    </row>
    <row r="89" spans="1:23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36</v>
      </c>
      <c r="G89">
        <v>1141685</v>
      </c>
      <c r="H89" t="s">
        <v>76</v>
      </c>
      <c r="I89" t="s">
        <v>95</v>
      </c>
      <c r="J89" t="s">
        <v>99</v>
      </c>
      <c r="K89" t="s">
        <v>109</v>
      </c>
      <c r="L89" s="1">
        <v>46143</v>
      </c>
      <c r="M89" s="1">
        <v>46173</v>
      </c>
      <c r="N89">
        <v>239</v>
      </c>
      <c r="O89" t="s">
        <v>58</v>
      </c>
      <c r="P89" t="s">
        <v>63</v>
      </c>
      <c r="Q89" t="s">
        <v>1367</v>
      </c>
      <c r="R89" t="s">
        <v>1370</v>
      </c>
      <c r="S89" t="s">
        <v>67</v>
      </c>
      <c r="T89" t="s">
        <v>1394</v>
      </c>
      <c r="U89" t="s">
        <v>1534</v>
      </c>
      <c r="V89">
        <v>16</v>
      </c>
      <c r="W89" s="2">
        <v>0</v>
      </c>
    </row>
    <row r="90" spans="1:23" x14ac:dyDescent="0.25">
      <c r="A90" t="s">
        <v>31</v>
      </c>
      <c r="B90" t="s">
        <v>32</v>
      </c>
      <c r="C90" t="s">
        <v>33</v>
      </c>
      <c r="D90" t="s">
        <v>34</v>
      </c>
      <c r="E90" t="s">
        <v>35</v>
      </c>
      <c r="F90" t="s">
        <v>36</v>
      </c>
      <c r="G90">
        <v>1141685</v>
      </c>
      <c r="H90" t="s">
        <v>38</v>
      </c>
      <c r="I90" t="s">
        <v>38</v>
      </c>
      <c r="J90" t="s">
        <v>38</v>
      </c>
      <c r="K90" t="s">
        <v>53</v>
      </c>
      <c r="L90" s="1">
        <v>46143</v>
      </c>
      <c r="M90" s="1">
        <v>46173</v>
      </c>
      <c r="N90">
        <v>1.7459325500000001E-2</v>
      </c>
      <c r="O90" t="s">
        <v>57</v>
      </c>
      <c r="P90" t="s">
        <v>63</v>
      </c>
      <c r="Q90" t="s">
        <v>1368</v>
      </c>
      <c r="R90" t="s">
        <v>1381</v>
      </c>
      <c r="S90" t="s">
        <v>66</v>
      </c>
      <c r="T90" t="s">
        <v>1464</v>
      </c>
      <c r="U90" t="s">
        <v>1604</v>
      </c>
      <c r="V90">
        <v>6</v>
      </c>
      <c r="W90" s="2">
        <v>42.763369938900013</v>
      </c>
    </row>
    <row r="91" spans="1:23" x14ac:dyDescent="0.25">
      <c r="A91" t="s">
        <v>31</v>
      </c>
      <c r="B91" t="s">
        <v>32</v>
      </c>
      <c r="C91" t="s">
        <v>33</v>
      </c>
      <c r="D91" t="s">
        <v>34</v>
      </c>
      <c r="E91" t="s">
        <v>35</v>
      </c>
      <c r="F91" t="s">
        <v>36</v>
      </c>
      <c r="G91">
        <v>1141685</v>
      </c>
      <c r="H91" t="s">
        <v>76</v>
      </c>
      <c r="I91" t="s">
        <v>95</v>
      </c>
      <c r="J91" t="s">
        <v>99</v>
      </c>
      <c r="K91" t="s">
        <v>109</v>
      </c>
      <c r="L91" s="1">
        <v>46143</v>
      </c>
      <c r="M91" s="1">
        <v>46173</v>
      </c>
      <c r="N91">
        <v>0.700013</v>
      </c>
      <c r="O91" t="s">
        <v>58</v>
      </c>
      <c r="P91" t="s">
        <v>63</v>
      </c>
      <c r="Q91" t="s">
        <v>1367</v>
      </c>
      <c r="R91" t="s">
        <v>1370</v>
      </c>
      <c r="S91" t="s">
        <v>67</v>
      </c>
      <c r="T91" t="s">
        <v>1394</v>
      </c>
      <c r="U91" t="s">
        <v>1534</v>
      </c>
      <c r="V91">
        <v>16</v>
      </c>
      <c r="W91" s="2">
        <v>0</v>
      </c>
    </row>
    <row r="92" spans="1:23" x14ac:dyDescent="0.25">
      <c r="A92" t="s">
        <v>31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>
        <v>1141685</v>
      </c>
      <c r="H92" t="s">
        <v>76</v>
      </c>
      <c r="I92" t="s">
        <v>95</v>
      </c>
      <c r="J92" t="s">
        <v>99</v>
      </c>
      <c r="K92" t="s">
        <v>109</v>
      </c>
      <c r="L92" s="1">
        <v>46143</v>
      </c>
      <c r="M92" s="1">
        <v>46173</v>
      </c>
      <c r="N92">
        <v>237</v>
      </c>
      <c r="O92" t="s">
        <v>58</v>
      </c>
      <c r="P92" t="s">
        <v>63</v>
      </c>
      <c r="Q92" t="s">
        <v>1367</v>
      </c>
      <c r="R92" t="s">
        <v>1370</v>
      </c>
      <c r="S92" t="s">
        <v>67</v>
      </c>
      <c r="T92" t="s">
        <v>1394</v>
      </c>
      <c r="U92" t="s">
        <v>1534</v>
      </c>
      <c r="V92">
        <v>16</v>
      </c>
      <c r="W92" s="2">
        <v>0</v>
      </c>
    </row>
    <row r="93" spans="1:23" x14ac:dyDescent="0.25">
      <c r="A93" t="s">
        <v>31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>
        <v>1141685</v>
      </c>
      <c r="H93" t="s">
        <v>76</v>
      </c>
      <c r="I93" t="s">
        <v>95</v>
      </c>
      <c r="J93" t="s">
        <v>99</v>
      </c>
      <c r="K93" t="s">
        <v>109</v>
      </c>
      <c r="L93" s="1">
        <v>46143</v>
      </c>
      <c r="M93" s="1">
        <v>46173</v>
      </c>
      <c r="N93">
        <v>77</v>
      </c>
      <c r="O93" t="s">
        <v>58</v>
      </c>
      <c r="P93" t="s">
        <v>63</v>
      </c>
      <c r="Q93" t="s">
        <v>1367</v>
      </c>
      <c r="R93" t="s">
        <v>1370</v>
      </c>
      <c r="S93" t="s">
        <v>67</v>
      </c>
      <c r="T93" t="s">
        <v>1394</v>
      </c>
      <c r="U93" t="s">
        <v>1534</v>
      </c>
      <c r="V93">
        <v>16</v>
      </c>
      <c r="W93" s="2">
        <v>0</v>
      </c>
    </row>
    <row r="94" spans="1:23" x14ac:dyDescent="0.25">
      <c r="A94" t="s">
        <v>31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>
        <v>1141685</v>
      </c>
      <c r="H94" t="s">
        <v>76</v>
      </c>
      <c r="I94" t="s">
        <v>95</v>
      </c>
      <c r="J94" t="s">
        <v>99</v>
      </c>
      <c r="K94" t="s">
        <v>109</v>
      </c>
      <c r="L94" s="1">
        <v>46143</v>
      </c>
      <c r="M94" s="1">
        <v>46173</v>
      </c>
      <c r="N94">
        <v>0.50000900000000004</v>
      </c>
      <c r="O94" t="s">
        <v>58</v>
      </c>
      <c r="P94" t="s">
        <v>63</v>
      </c>
      <c r="Q94" t="s">
        <v>1367</v>
      </c>
      <c r="R94" t="s">
        <v>1370</v>
      </c>
      <c r="S94" t="s">
        <v>67</v>
      </c>
      <c r="T94" t="s">
        <v>1394</v>
      </c>
      <c r="U94" t="s">
        <v>1534</v>
      </c>
      <c r="V94">
        <v>16</v>
      </c>
      <c r="W94" s="2">
        <v>0</v>
      </c>
    </row>
    <row r="95" spans="1:23" x14ac:dyDescent="0.25">
      <c r="A95" t="s">
        <v>31</v>
      </c>
      <c r="B95" t="s">
        <v>32</v>
      </c>
      <c r="C95" t="s">
        <v>33</v>
      </c>
      <c r="D95" t="s">
        <v>34</v>
      </c>
      <c r="E95" t="s">
        <v>35</v>
      </c>
      <c r="F95" t="s">
        <v>36</v>
      </c>
      <c r="G95">
        <v>1141685</v>
      </c>
      <c r="H95" t="s">
        <v>76</v>
      </c>
      <c r="I95" t="s">
        <v>95</v>
      </c>
      <c r="J95" t="s">
        <v>99</v>
      </c>
      <c r="K95" t="s">
        <v>109</v>
      </c>
      <c r="L95" s="1">
        <v>46143</v>
      </c>
      <c r="M95" s="1">
        <v>46173</v>
      </c>
      <c r="N95">
        <v>0.71667999999999998</v>
      </c>
      <c r="O95" t="s">
        <v>58</v>
      </c>
      <c r="P95" t="s">
        <v>63</v>
      </c>
      <c r="Q95" t="s">
        <v>1367</v>
      </c>
      <c r="R95" t="s">
        <v>1370</v>
      </c>
      <c r="S95" t="s">
        <v>67</v>
      </c>
      <c r="T95" t="s">
        <v>1394</v>
      </c>
      <c r="U95" t="s">
        <v>1534</v>
      </c>
      <c r="V95">
        <v>16</v>
      </c>
      <c r="W95" s="2">
        <v>0</v>
      </c>
    </row>
    <row r="96" spans="1:23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>
        <v>1141685</v>
      </c>
      <c r="H96" t="s">
        <v>76</v>
      </c>
      <c r="I96" t="s">
        <v>95</v>
      </c>
      <c r="J96" t="s">
        <v>99</v>
      </c>
      <c r="K96" t="s">
        <v>109</v>
      </c>
      <c r="L96" s="1">
        <v>46143</v>
      </c>
      <c r="M96" s="1">
        <v>46173</v>
      </c>
      <c r="N96">
        <v>137</v>
      </c>
      <c r="O96" t="s">
        <v>58</v>
      </c>
      <c r="P96" t="s">
        <v>63</v>
      </c>
      <c r="Q96" t="s">
        <v>1367</v>
      </c>
      <c r="R96" t="s">
        <v>1370</v>
      </c>
      <c r="S96" t="s">
        <v>67</v>
      </c>
      <c r="T96" t="s">
        <v>1465</v>
      </c>
      <c r="U96" t="s">
        <v>1605</v>
      </c>
      <c r="V96">
        <v>15</v>
      </c>
      <c r="W96" s="2">
        <v>0</v>
      </c>
    </row>
    <row r="97" spans="1:23" x14ac:dyDescent="0.25">
      <c r="A97" t="s">
        <v>31</v>
      </c>
      <c r="B97" t="s">
        <v>32</v>
      </c>
      <c r="C97" t="s">
        <v>33</v>
      </c>
      <c r="D97" t="s">
        <v>34</v>
      </c>
      <c r="E97" t="s">
        <v>35</v>
      </c>
      <c r="F97" t="s">
        <v>36</v>
      </c>
      <c r="G97">
        <v>1141685</v>
      </c>
      <c r="H97" t="s">
        <v>80</v>
      </c>
      <c r="I97" t="s">
        <v>96</v>
      </c>
      <c r="J97" t="s">
        <v>80</v>
      </c>
      <c r="K97" t="s">
        <v>115</v>
      </c>
      <c r="L97" s="1">
        <v>46143</v>
      </c>
      <c r="M97" s="1">
        <v>46173</v>
      </c>
      <c r="N97">
        <v>0.66462638789999995</v>
      </c>
      <c r="O97" t="s">
        <v>56</v>
      </c>
      <c r="P97" t="s">
        <v>63</v>
      </c>
      <c r="Q97" t="s">
        <v>1366</v>
      </c>
      <c r="R97" t="s">
        <v>1370</v>
      </c>
      <c r="S97" t="s">
        <v>67</v>
      </c>
      <c r="T97" t="s">
        <v>1466</v>
      </c>
      <c r="U97" t="s">
        <v>1606</v>
      </c>
      <c r="V97">
        <v>16</v>
      </c>
      <c r="W97" s="2">
        <v>115.9466332726</v>
      </c>
    </row>
    <row r="98" spans="1:23" x14ac:dyDescent="0.25">
      <c r="A98" t="s">
        <v>31</v>
      </c>
      <c r="B98" t="s">
        <v>32</v>
      </c>
      <c r="C98" t="s">
        <v>33</v>
      </c>
      <c r="D98" t="s">
        <v>34</v>
      </c>
      <c r="E98" t="s">
        <v>35</v>
      </c>
      <c r="F98" t="s">
        <v>36</v>
      </c>
      <c r="G98">
        <v>1141685</v>
      </c>
      <c r="H98" t="s">
        <v>80</v>
      </c>
      <c r="I98" t="s">
        <v>96</v>
      </c>
      <c r="J98" t="s">
        <v>80</v>
      </c>
      <c r="K98" t="s">
        <v>115</v>
      </c>
      <c r="L98" s="1">
        <v>46143</v>
      </c>
      <c r="M98" s="1">
        <v>46173</v>
      </c>
      <c r="N98">
        <v>2.170885E-4</v>
      </c>
      <c r="O98" t="s">
        <v>56</v>
      </c>
      <c r="P98" t="s">
        <v>63</v>
      </c>
      <c r="Q98" t="s">
        <v>1366</v>
      </c>
      <c r="R98" t="s">
        <v>1370</v>
      </c>
      <c r="S98" t="s">
        <v>67</v>
      </c>
      <c r="T98" t="s">
        <v>1467</v>
      </c>
      <c r="U98" t="s">
        <v>1607</v>
      </c>
      <c r="V98">
        <v>16</v>
      </c>
      <c r="W98" s="2">
        <v>3.3328468200000003E-2</v>
      </c>
    </row>
    <row r="99" spans="1:23" x14ac:dyDescent="0.25">
      <c r="A99" t="s">
        <v>31</v>
      </c>
      <c r="B99" t="s">
        <v>32</v>
      </c>
      <c r="C99" t="s">
        <v>33</v>
      </c>
      <c r="D99" t="s">
        <v>34</v>
      </c>
      <c r="E99" t="s">
        <v>35</v>
      </c>
      <c r="F99" t="s">
        <v>36</v>
      </c>
      <c r="G99">
        <v>1141685</v>
      </c>
      <c r="H99" t="s">
        <v>86</v>
      </c>
      <c r="I99" t="s">
        <v>42</v>
      </c>
      <c r="J99" t="s">
        <v>86</v>
      </c>
      <c r="K99" t="s">
        <v>124</v>
      </c>
      <c r="L99" s="1">
        <v>46143</v>
      </c>
      <c r="M99" s="1">
        <v>46173</v>
      </c>
      <c r="N99">
        <v>0.81364800000000004</v>
      </c>
      <c r="O99" t="s">
        <v>135</v>
      </c>
      <c r="P99" t="s">
        <v>63</v>
      </c>
      <c r="Q99" t="s">
        <v>1367</v>
      </c>
      <c r="R99" t="s">
        <v>1388</v>
      </c>
      <c r="S99" t="s">
        <v>67</v>
      </c>
      <c r="T99" t="s">
        <v>1468</v>
      </c>
      <c r="U99" t="s">
        <v>1608</v>
      </c>
      <c r="V99">
        <v>17</v>
      </c>
      <c r="W99" s="2">
        <v>279781.53369315842</v>
      </c>
    </row>
    <row r="100" spans="1:23" x14ac:dyDescent="0.25">
      <c r="A100" t="s">
        <v>31</v>
      </c>
      <c r="B100" t="s">
        <v>32</v>
      </c>
      <c r="C100" t="s">
        <v>33</v>
      </c>
      <c r="D100" t="s">
        <v>34</v>
      </c>
      <c r="E100" t="s">
        <v>35</v>
      </c>
      <c r="F100" t="s">
        <v>36</v>
      </c>
      <c r="G100">
        <v>1141685</v>
      </c>
      <c r="H100" t="s">
        <v>80</v>
      </c>
      <c r="I100" t="s">
        <v>96</v>
      </c>
      <c r="J100" t="s">
        <v>80</v>
      </c>
      <c r="K100" t="s">
        <v>115</v>
      </c>
      <c r="L100" s="1">
        <v>46143</v>
      </c>
      <c r="M100" s="1">
        <v>46173</v>
      </c>
      <c r="N100">
        <v>0.32454186309999999</v>
      </c>
      <c r="O100" t="s">
        <v>56</v>
      </c>
      <c r="P100" t="s">
        <v>63</v>
      </c>
      <c r="Q100" t="s">
        <v>1366</v>
      </c>
      <c r="R100" t="s">
        <v>1370</v>
      </c>
      <c r="S100" t="s">
        <v>67</v>
      </c>
      <c r="T100" t="s">
        <v>1469</v>
      </c>
      <c r="U100" t="s">
        <v>1609</v>
      </c>
      <c r="V100">
        <v>15</v>
      </c>
      <c r="W100" s="2">
        <v>56.615224616600003</v>
      </c>
    </row>
    <row r="101" spans="1:23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>
        <v>1141685</v>
      </c>
      <c r="H101" t="s">
        <v>80</v>
      </c>
      <c r="I101" t="s">
        <v>96</v>
      </c>
      <c r="J101" t="s">
        <v>80</v>
      </c>
      <c r="K101" t="s">
        <v>115</v>
      </c>
      <c r="L101" s="1">
        <v>46143</v>
      </c>
      <c r="M101" s="1">
        <v>46173</v>
      </c>
      <c r="N101">
        <v>0.32263511230000003</v>
      </c>
      <c r="O101" t="s">
        <v>56</v>
      </c>
      <c r="P101" t="s">
        <v>63</v>
      </c>
      <c r="Q101" t="s">
        <v>1366</v>
      </c>
      <c r="R101" t="s">
        <v>1370</v>
      </c>
      <c r="S101" t="s">
        <v>67</v>
      </c>
      <c r="T101" t="s">
        <v>1470</v>
      </c>
      <c r="U101" t="s">
        <v>1610</v>
      </c>
      <c r="V101">
        <v>15</v>
      </c>
      <c r="W101" s="2">
        <v>56.282491092999997</v>
      </c>
    </row>
    <row r="102" spans="1:23" x14ac:dyDescent="0.25">
      <c r="A102" t="s">
        <v>31</v>
      </c>
      <c r="B102" t="s">
        <v>32</v>
      </c>
      <c r="C102" t="s">
        <v>33</v>
      </c>
      <c r="D102" t="s">
        <v>34</v>
      </c>
      <c r="E102" t="s">
        <v>35</v>
      </c>
      <c r="F102" t="s">
        <v>36</v>
      </c>
      <c r="G102">
        <v>1141685</v>
      </c>
      <c r="H102" t="s">
        <v>77</v>
      </c>
      <c r="I102" t="s">
        <v>96</v>
      </c>
      <c r="J102" t="s">
        <v>77</v>
      </c>
      <c r="K102" t="s">
        <v>110</v>
      </c>
      <c r="L102" s="1">
        <v>46143</v>
      </c>
      <c r="M102" s="1">
        <v>46173</v>
      </c>
      <c r="N102">
        <v>744</v>
      </c>
      <c r="O102" t="s">
        <v>58</v>
      </c>
      <c r="P102" t="s">
        <v>63</v>
      </c>
      <c r="Q102" t="s">
        <v>1369</v>
      </c>
      <c r="R102" t="s">
        <v>1389</v>
      </c>
      <c r="S102" t="s">
        <v>67</v>
      </c>
      <c r="T102" t="s">
        <v>1407</v>
      </c>
      <c r="U102" t="s">
        <v>1547</v>
      </c>
      <c r="V102">
        <v>7</v>
      </c>
      <c r="W102" s="2">
        <v>129798.2412</v>
      </c>
    </row>
    <row r="103" spans="1:23" x14ac:dyDescent="0.25">
      <c r="A103" t="s">
        <v>31</v>
      </c>
      <c r="B103" t="s">
        <v>32</v>
      </c>
      <c r="C103" t="s">
        <v>33</v>
      </c>
      <c r="D103" t="s">
        <v>34</v>
      </c>
      <c r="E103" t="s">
        <v>35</v>
      </c>
      <c r="F103" t="s">
        <v>36</v>
      </c>
      <c r="G103">
        <v>1141685</v>
      </c>
      <c r="H103" t="s">
        <v>75</v>
      </c>
      <c r="I103" t="s">
        <v>94</v>
      </c>
      <c r="J103" t="s">
        <v>98</v>
      </c>
      <c r="K103" t="s">
        <v>108</v>
      </c>
      <c r="L103" s="1">
        <v>46143</v>
      </c>
      <c r="M103" s="1">
        <v>46173</v>
      </c>
      <c r="N103">
        <v>1.4099888999999999E-3</v>
      </c>
      <c r="O103" t="s">
        <v>56</v>
      </c>
      <c r="P103" t="s">
        <v>63</v>
      </c>
      <c r="Q103" t="s">
        <v>1366</v>
      </c>
      <c r="R103" t="s">
        <v>1372</v>
      </c>
      <c r="S103" t="s">
        <v>67</v>
      </c>
      <c r="T103" t="s">
        <v>1471</v>
      </c>
      <c r="U103" t="s">
        <v>1611</v>
      </c>
      <c r="V103">
        <v>16</v>
      </c>
      <c r="W103" s="2">
        <v>2.9476190749</v>
      </c>
    </row>
    <row r="104" spans="1:23" x14ac:dyDescent="0.25">
      <c r="A104" t="s">
        <v>31</v>
      </c>
      <c r="B104" t="s">
        <v>32</v>
      </c>
      <c r="C104" t="s">
        <v>33</v>
      </c>
      <c r="D104" t="s">
        <v>34</v>
      </c>
      <c r="E104" t="s">
        <v>35</v>
      </c>
      <c r="F104" t="s">
        <v>36</v>
      </c>
      <c r="G104">
        <v>1141685</v>
      </c>
      <c r="H104" t="s">
        <v>75</v>
      </c>
      <c r="I104" t="s">
        <v>94</v>
      </c>
      <c r="J104" t="s">
        <v>98</v>
      </c>
      <c r="K104" t="s">
        <v>108</v>
      </c>
      <c r="L104" s="1">
        <v>46143</v>
      </c>
      <c r="M104" s="1">
        <v>46173</v>
      </c>
      <c r="N104">
        <v>2.2505113464000002</v>
      </c>
      <c r="O104" t="s">
        <v>56</v>
      </c>
      <c r="P104" t="s">
        <v>63</v>
      </c>
      <c r="Q104" t="s">
        <v>1366</v>
      </c>
      <c r="R104" t="s">
        <v>1371</v>
      </c>
      <c r="S104" t="s">
        <v>67</v>
      </c>
      <c r="T104" t="s">
        <v>1472</v>
      </c>
      <c r="U104" t="s">
        <v>1612</v>
      </c>
      <c r="V104">
        <v>17</v>
      </c>
      <c r="W104" s="2">
        <v>4711.4916522156</v>
      </c>
    </row>
    <row r="105" spans="1:23" x14ac:dyDescent="0.25">
      <c r="A105" t="s">
        <v>31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>
        <v>1141685</v>
      </c>
      <c r="H105" t="s">
        <v>75</v>
      </c>
      <c r="I105" t="s">
        <v>94</v>
      </c>
      <c r="J105" t="s">
        <v>98</v>
      </c>
      <c r="K105" t="s">
        <v>108</v>
      </c>
      <c r="L105" s="1">
        <v>46143</v>
      </c>
      <c r="M105" s="1">
        <v>46173</v>
      </c>
      <c r="N105">
        <v>0.1215386391</v>
      </c>
      <c r="O105" t="s">
        <v>56</v>
      </c>
      <c r="P105" t="s">
        <v>63</v>
      </c>
      <c r="Q105" t="s">
        <v>1366</v>
      </c>
      <c r="R105" t="s">
        <v>1370</v>
      </c>
      <c r="S105" t="s">
        <v>67</v>
      </c>
      <c r="T105" t="s">
        <v>1473</v>
      </c>
      <c r="U105" t="s">
        <v>1613</v>
      </c>
      <c r="V105">
        <v>15</v>
      </c>
      <c r="W105" s="2">
        <v>242.42707513350001</v>
      </c>
    </row>
    <row r="106" spans="1:23" x14ac:dyDescent="0.25">
      <c r="A106" t="s">
        <v>31</v>
      </c>
      <c r="B106" t="s">
        <v>32</v>
      </c>
      <c r="C106" t="s">
        <v>33</v>
      </c>
      <c r="D106" t="s">
        <v>34</v>
      </c>
      <c r="E106" t="s">
        <v>35</v>
      </c>
      <c r="F106" t="s">
        <v>36</v>
      </c>
      <c r="G106">
        <v>1141685</v>
      </c>
      <c r="H106" t="s">
        <v>75</v>
      </c>
      <c r="I106" t="s">
        <v>94</v>
      </c>
      <c r="J106" t="s">
        <v>98</v>
      </c>
      <c r="K106" t="s">
        <v>108</v>
      </c>
      <c r="L106" s="1">
        <v>46143</v>
      </c>
      <c r="M106" s="1">
        <v>46173</v>
      </c>
      <c r="N106">
        <v>8.8768266100000007E-2</v>
      </c>
      <c r="O106" t="s">
        <v>56</v>
      </c>
      <c r="P106" t="s">
        <v>63</v>
      </c>
      <c r="Q106" t="s">
        <v>1366</v>
      </c>
      <c r="R106" t="s">
        <v>1370</v>
      </c>
      <c r="S106" t="s">
        <v>67</v>
      </c>
      <c r="T106" t="s">
        <v>1474</v>
      </c>
      <c r="U106" t="s">
        <v>1614</v>
      </c>
      <c r="V106">
        <v>15</v>
      </c>
      <c r="W106" s="2">
        <v>174.5111081503</v>
      </c>
    </row>
    <row r="107" spans="1:23" x14ac:dyDescent="0.25">
      <c r="A107" t="s">
        <v>31</v>
      </c>
      <c r="B107" t="s">
        <v>32</v>
      </c>
      <c r="C107" t="s">
        <v>33</v>
      </c>
      <c r="D107" t="s">
        <v>34</v>
      </c>
      <c r="E107" t="s">
        <v>35</v>
      </c>
      <c r="F107" t="s">
        <v>36</v>
      </c>
      <c r="G107">
        <v>1141685</v>
      </c>
      <c r="H107" t="s">
        <v>75</v>
      </c>
      <c r="I107" t="s">
        <v>94</v>
      </c>
      <c r="J107" t="s">
        <v>98</v>
      </c>
      <c r="K107" t="s">
        <v>108</v>
      </c>
      <c r="L107" s="1">
        <v>46143</v>
      </c>
      <c r="M107" s="1">
        <v>46173</v>
      </c>
      <c r="N107">
        <v>0.27678872370000002</v>
      </c>
      <c r="O107" t="s">
        <v>56</v>
      </c>
      <c r="P107" t="s">
        <v>63</v>
      </c>
      <c r="Q107" t="s">
        <v>1366</v>
      </c>
      <c r="R107" t="s">
        <v>1370</v>
      </c>
      <c r="S107" t="s">
        <v>67</v>
      </c>
      <c r="T107" t="s">
        <v>1475</v>
      </c>
      <c r="U107" t="s">
        <v>1615</v>
      </c>
      <c r="V107">
        <v>16</v>
      </c>
      <c r="W107" s="2">
        <v>579.46720129560003</v>
      </c>
    </row>
    <row r="108" spans="1:23" x14ac:dyDescent="0.25">
      <c r="A108" t="s">
        <v>31</v>
      </c>
      <c r="B108" t="s">
        <v>32</v>
      </c>
      <c r="C108" t="s">
        <v>33</v>
      </c>
      <c r="D108" t="s">
        <v>34</v>
      </c>
      <c r="E108" t="s">
        <v>35</v>
      </c>
      <c r="F108" t="s">
        <v>36</v>
      </c>
      <c r="G108">
        <v>1141685</v>
      </c>
      <c r="H108" t="s">
        <v>77</v>
      </c>
      <c r="I108" t="s">
        <v>96</v>
      </c>
      <c r="J108" t="s">
        <v>77</v>
      </c>
      <c r="K108" t="s">
        <v>111</v>
      </c>
      <c r="L108" s="1">
        <v>46143</v>
      </c>
      <c r="M108" s="1">
        <v>46173</v>
      </c>
      <c r="N108">
        <v>2.2997350400000002E-2</v>
      </c>
      <c r="O108" t="s">
        <v>56</v>
      </c>
      <c r="P108" t="s">
        <v>63</v>
      </c>
      <c r="Q108" t="s">
        <v>1369</v>
      </c>
      <c r="R108" t="s">
        <v>1380</v>
      </c>
      <c r="S108" t="s">
        <v>67</v>
      </c>
      <c r="T108" t="s">
        <v>1476</v>
      </c>
      <c r="U108" t="s">
        <v>1616</v>
      </c>
      <c r="V108">
        <v>7</v>
      </c>
      <c r="W108" s="2">
        <v>4.0106636239000002</v>
      </c>
    </row>
    <row r="109" spans="1:23" x14ac:dyDescent="0.25">
      <c r="A109" t="s">
        <v>31</v>
      </c>
      <c r="B109" t="s">
        <v>32</v>
      </c>
      <c r="C109" t="s">
        <v>33</v>
      </c>
      <c r="D109" t="s">
        <v>34</v>
      </c>
      <c r="E109" t="s">
        <v>35</v>
      </c>
      <c r="F109" t="s">
        <v>36</v>
      </c>
      <c r="G109">
        <v>1141685</v>
      </c>
      <c r="H109" t="s">
        <v>79</v>
      </c>
      <c r="I109" t="s">
        <v>94</v>
      </c>
      <c r="J109" t="s">
        <v>101</v>
      </c>
      <c r="K109" t="s">
        <v>116</v>
      </c>
      <c r="L109" s="1">
        <v>46143</v>
      </c>
      <c r="M109" s="1">
        <v>46173</v>
      </c>
      <c r="N109">
        <v>1.08574E-5</v>
      </c>
      <c r="O109" t="s">
        <v>56</v>
      </c>
      <c r="P109" t="s">
        <v>63</v>
      </c>
      <c r="Q109" t="s">
        <v>1366</v>
      </c>
      <c r="R109" t="s">
        <v>1372</v>
      </c>
      <c r="S109" t="s">
        <v>67</v>
      </c>
      <c r="T109" t="s">
        <v>1477</v>
      </c>
      <c r="U109" t="s">
        <v>1617</v>
      </c>
      <c r="V109">
        <v>16</v>
      </c>
      <c r="W109" s="2">
        <v>1.33349904E-2</v>
      </c>
    </row>
    <row r="110" spans="1:23" x14ac:dyDescent="0.25">
      <c r="A110" t="s">
        <v>31</v>
      </c>
      <c r="B110" t="s">
        <v>32</v>
      </c>
      <c r="C110" t="s">
        <v>33</v>
      </c>
      <c r="D110" t="s">
        <v>34</v>
      </c>
      <c r="E110" t="s">
        <v>35</v>
      </c>
      <c r="F110" t="s">
        <v>36</v>
      </c>
      <c r="G110">
        <v>1141685</v>
      </c>
      <c r="H110" t="s">
        <v>79</v>
      </c>
      <c r="I110" t="s">
        <v>94</v>
      </c>
      <c r="J110" t="s">
        <v>101</v>
      </c>
      <c r="K110" t="s">
        <v>116</v>
      </c>
      <c r="L110" s="1">
        <v>46143</v>
      </c>
      <c r="M110" s="1">
        <v>46173</v>
      </c>
      <c r="N110">
        <v>0.33675392339999999</v>
      </c>
      <c r="O110" t="s">
        <v>56</v>
      </c>
      <c r="P110" t="s">
        <v>63</v>
      </c>
      <c r="Q110" t="s">
        <v>1366</v>
      </c>
      <c r="R110" t="s">
        <v>1370</v>
      </c>
      <c r="S110" t="s">
        <v>67</v>
      </c>
      <c r="T110" t="s">
        <v>1478</v>
      </c>
      <c r="U110" t="s">
        <v>1618</v>
      </c>
      <c r="V110">
        <v>15</v>
      </c>
      <c r="W110" s="2">
        <v>386.74820970550002</v>
      </c>
    </row>
    <row r="111" spans="1:23" x14ac:dyDescent="0.25">
      <c r="A111" t="s">
        <v>31</v>
      </c>
      <c r="B111" t="s">
        <v>32</v>
      </c>
      <c r="C111" t="s">
        <v>33</v>
      </c>
      <c r="D111" t="s">
        <v>34</v>
      </c>
      <c r="E111" t="s">
        <v>35</v>
      </c>
      <c r="F111" t="s">
        <v>36</v>
      </c>
      <c r="G111">
        <v>1141685</v>
      </c>
      <c r="H111" t="s">
        <v>79</v>
      </c>
      <c r="I111" t="s">
        <v>94</v>
      </c>
      <c r="J111" t="s">
        <v>101</v>
      </c>
      <c r="K111" t="s">
        <v>116</v>
      </c>
      <c r="L111" s="1">
        <v>46143</v>
      </c>
      <c r="M111" s="1">
        <v>46173</v>
      </c>
      <c r="N111">
        <v>0.34232351459999999</v>
      </c>
      <c r="O111" t="s">
        <v>56</v>
      </c>
      <c r="P111" t="s">
        <v>63</v>
      </c>
      <c r="Q111" t="s">
        <v>1366</v>
      </c>
      <c r="R111" t="s">
        <v>1370</v>
      </c>
      <c r="S111" t="s">
        <v>67</v>
      </c>
      <c r="T111" t="s">
        <v>1479</v>
      </c>
      <c r="U111" t="s">
        <v>1619</v>
      </c>
      <c r="V111">
        <v>15</v>
      </c>
      <c r="W111" s="2">
        <v>393.07412124119998</v>
      </c>
    </row>
    <row r="112" spans="1:23" x14ac:dyDescent="0.25">
      <c r="A112" t="s">
        <v>31</v>
      </c>
      <c r="B112" t="s">
        <v>32</v>
      </c>
      <c r="C112" t="s">
        <v>33</v>
      </c>
      <c r="D112" t="s">
        <v>34</v>
      </c>
      <c r="E112" t="s">
        <v>35</v>
      </c>
      <c r="F112" t="s">
        <v>36</v>
      </c>
      <c r="G112">
        <v>1141685</v>
      </c>
      <c r="H112" t="s">
        <v>77</v>
      </c>
      <c r="I112" t="s">
        <v>96</v>
      </c>
      <c r="J112" t="s">
        <v>77</v>
      </c>
      <c r="K112" t="s">
        <v>113</v>
      </c>
      <c r="L112" s="1">
        <v>46143</v>
      </c>
      <c r="M112" s="1">
        <v>46173</v>
      </c>
      <c r="N112">
        <v>175.25827556199999</v>
      </c>
      <c r="O112" t="s">
        <v>56</v>
      </c>
      <c r="P112" t="s">
        <v>63</v>
      </c>
      <c r="Q112" t="s">
        <v>1366</v>
      </c>
      <c r="R112" t="s">
        <v>1370</v>
      </c>
      <c r="S112" t="s">
        <v>67</v>
      </c>
      <c r="T112" t="s">
        <v>1480</v>
      </c>
      <c r="U112" t="s">
        <v>1620</v>
      </c>
      <c r="V112">
        <v>16</v>
      </c>
      <c r="W112" s="2">
        <v>30575.5617039957</v>
      </c>
    </row>
    <row r="113" spans="1:23" x14ac:dyDescent="0.25">
      <c r="A113" t="s">
        <v>31</v>
      </c>
      <c r="B113" t="s">
        <v>32</v>
      </c>
      <c r="C113" t="s">
        <v>33</v>
      </c>
      <c r="D113" t="s">
        <v>34</v>
      </c>
      <c r="E113" t="s">
        <v>35</v>
      </c>
      <c r="F113" t="s">
        <v>36</v>
      </c>
      <c r="G113">
        <v>1141685</v>
      </c>
      <c r="H113" t="s">
        <v>77</v>
      </c>
      <c r="I113" t="s">
        <v>96</v>
      </c>
      <c r="J113" t="s">
        <v>77</v>
      </c>
      <c r="K113" t="s">
        <v>113</v>
      </c>
      <c r="L113" s="1">
        <v>46143</v>
      </c>
      <c r="M113" s="1">
        <v>46173</v>
      </c>
      <c r="N113">
        <v>61.259773921200001</v>
      </c>
      <c r="O113" t="s">
        <v>56</v>
      </c>
      <c r="P113" t="s">
        <v>63</v>
      </c>
      <c r="Q113" t="s">
        <v>1366</v>
      </c>
      <c r="R113" t="s">
        <v>1370</v>
      </c>
      <c r="S113" t="s">
        <v>67</v>
      </c>
      <c r="T113" t="s">
        <v>1481</v>
      </c>
      <c r="U113" t="s">
        <v>1621</v>
      </c>
      <c r="V113">
        <v>15</v>
      </c>
      <c r="W113" s="2">
        <v>10687.3845393007</v>
      </c>
    </row>
    <row r="114" spans="1:23" x14ac:dyDescent="0.25">
      <c r="A114" t="s">
        <v>31</v>
      </c>
      <c r="B114" t="s">
        <v>32</v>
      </c>
      <c r="C114" t="s">
        <v>33</v>
      </c>
      <c r="D114" t="s">
        <v>34</v>
      </c>
      <c r="E114" t="s">
        <v>35</v>
      </c>
      <c r="F114" t="s">
        <v>36</v>
      </c>
      <c r="G114">
        <v>1141685</v>
      </c>
      <c r="H114" t="s">
        <v>77</v>
      </c>
      <c r="I114" t="s">
        <v>96</v>
      </c>
      <c r="J114" t="s">
        <v>77</v>
      </c>
      <c r="K114" t="s">
        <v>113</v>
      </c>
      <c r="L114" s="1">
        <v>46143</v>
      </c>
      <c r="M114" s="1">
        <v>46173</v>
      </c>
      <c r="N114">
        <v>62.079440360900001</v>
      </c>
      <c r="O114" t="s">
        <v>56</v>
      </c>
      <c r="P114" t="s">
        <v>63</v>
      </c>
      <c r="Q114" t="s">
        <v>1366</v>
      </c>
      <c r="R114" t="s">
        <v>1370</v>
      </c>
      <c r="S114" t="s">
        <v>67</v>
      </c>
      <c r="T114" t="s">
        <v>1482</v>
      </c>
      <c r="U114" t="s">
        <v>1622</v>
      </c>
      <c r="V114">
        <v>15</v>
      </c>
      <c r="W114" s="2">
        <v>10830.3836655174</v>
      </c>
    </row>
    <row r="115" spans="1:23" x14ac:dyDescent="0.25">
      <c r="A115" t="s">
        <v>31</v>
      </c>
      <c r="B115" t="s">
        <v>32</v>
      </c>
      <c r="C115" t="s">
        <v>33</v>
      </c>
      <c r="D115" t="s">
        <v>34</v>
      </c>
      <c r="E115" t="s">
        <v>35</v>
      </c>
      <c r="F115" t="s">
        <v>36</v>
      </c>
      <c r="G115">
        <v>1141685</v>
      </c>
      <c r="H115" t="s">
        <v>77</v>
      </c>
      <c r="I115" t="s">
        <v>96</v>
      </c>
      <c r="J115" t="s">
        <v>77</v>
      </c>
      <c r="K115" t="s">
        <v>113</v>
      </c>
      <c r="L115" s="1">
        <v>46143</v>
      </c>
      <c r="M115" s="1">
        <v>46173</v>
      </c>
      <c r="N115">
        <v>1.28031764E-2</v>
      </c>
      <c r="O115" t="s">
        <v>56</v>
      </c>
      <c r="P115" t="s">
        <v>63</v>
      </c>
      <c r="Q115" t="s">
        <v>1366</v>
      </c>
      <c r="R115" t="s">
        <v>1370</v>
      </c>
      <c r="S115" t="s">
        <v>67</v>
      </c>
      <c r="T115" t="s">
        <v>1483</v>
      </c>
      <c r="U115" t="s">
        <v>1623</v>
      </c>
      <c r="V115">
        <v>16</v>
      </c>
      <c r="W115" s="2">
        <v>2.2356050988999998</v>
      </c>
    </row>
    <row r="116" spans="1:23" x14ac:dyDescent="0.25">
      <c r="A116" t="s">
        <v>31</v>
      </c>
      <c r="B116" t="s">
        <v>32</v>
      </c>
      <c r="C116" t="s">
        <v>33</v>
      </c>
      <c r="D116" t="s">
        <v>34</v>
      </c>
      <c r="E116" t="s">
        <v>35</v>
      </c>
      <c r="F116" t="s">
        <v>36</v>
      </c>
      <c r="G116">
        <v>1141685</v>
      </c>
      <c r="H116" t="s">
        <v>77</v>
      </c>
      <c r="I116" t="s">
        <v>96</v>
      </c>
      <c r="J116" t="s">
        <v>77</v>
      </c>
      <c r="K116" t="s">
        <v>113</v>
      </c>
      <c r="L116" s="1">
        <v>46143</v>
      </c>
      <c r="M116" s="1">
        <v>46173</v>
      </c>
      <c r="N116">
        <v>138.0662476327</v>
      </c>
      <c r="O116" t="s">
        <v>56</v>
      </c>
      <c r="P116" t="s">
        <v>63</v>
      </c>
      <c r="Q116" t="s">
        <v>1366</v>
      </c>
      <c r="R116" t="s">
        <v>1370</v>
      </c>
      <c r="S116" t="s">
        <v>67</v>
      </c>
      <c r="T116" t="s">
        <v>1484</v>
      </c>
      <c r="U116" t="s">
        <v>1624</v>
      </c>
      <c r="V116">
        <v>16</v>
      </c>
      <c r="W116" s="2">
        <v>24087.033054564901</v>
      </c>
    </row>
    <row r="117" spans="1:23" x14ac:dyDescent="0.25">
      <c r="A117" t="s">
        <v>31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>
        <v>1141685</v>
      </c>
      <c r="H117" t="s">
        <v>93</v>
      </c>
      <c r="I117" t="s">
        <v>93</v>
      </c>
      <c r="J117" t="s">
        <v>93</v>
      </c>
      <c r="K117" t="s">
        <v>133</v>
      </c>
      <c r="L117" s="1">
        <v>46143</v>
      </c>
      <c r="M117" s="1">
        <v>46173</v>
      </c>
      <c r="N117">
        <v>743.97283662919995</v>
      </c>
      <c r="O117" t="s">
        <v>58</v>
      </c>
      <c r="P117" t="s">
        <v>63</v>
      </c>
      <c r="Q117" t="s">
        <v>1368</v>
      </c>
      <c r="R117" t="s">
        <v>1390</v>
      </c>
      <c r="S117" t="s">
        <v>67</v>
      </c>
      <c r="T117" t="s">
        <v>1485</v>
      </c>
      <c r="U117" t="s">
        <v>1625</v>
      </c>
      <c r="V117">
        <v>9</v>
      </c>
      <c r="W117" s="2">
        <v>1297935.009489377</v>
      </c>
    </row>
    <row r="118" spans="1:23" x14ac:dyDescent="0.25">
      <c r="A118" t="s">
        <v>31</v>
      </c>
      <c r="B118" t="s">
        <v>32</v>
      </c>
      <c r="C118" t="s">
        <v>33</v>
      </c>
      <c r="D118" t="s">
        <v>34</v>
      </c>
      <c r="E118" t="s">
        <v>35</v>
      </c>
      <c r="F118" t="s">
        <v>36</v>
      </c>
      <c r="G118">
        <v>1141685</v>
      </c>
      <c r="H118" t="s">
        <v>77</v>
      </c>
      <c r="I118" t="s">
        <v>96</v>
      </c>
      <c r="J118" t="s">
        <v>77</v>
      </c>
      <c r="K118" t="s">
        <v>111</v>
      </c>
      <c r="L118" s="1">
        <v>46143</v>
      </c>
      <c r="M118" s="1">
        <v>46173</v>
      </c>
      <c r="N118">
        <v>17.925277572100001</v>
      </c>
      <c r="O118" t="s">
        <v>56</v>
      </c>
      <c r="P118" t="s">
        <v>63</v>
      </c>
      <c r="Q118" t="s">
        <v>1366</v>
      </c>
      <c r="R118" t="s">
        <v>1370</v>
      </c>
      <c r="S118" t="s">
        <v>67</v>
      </c>
      <c r="T118" t="s">
        <v>1486</v>
      </c>
      <c r="U118" t="s">
        <v>1626</v>
      </c>
      <c r="V118">
        <v>16</v>
      </c>
      <c r="W118" s="2">
        <v>3127.2446542031998</v>
      </c>
    </row>
    <row r="119" spans="1:23" x14ac:dyDescent="0.25">
      <c r="A119" t="s">
        <v>31</v>
      </c>
      <c r="B119" t="s">
        <v>32</v>
      </c>
      <c r="C119" t="s">
        <v>33</v>
      </c>
      <c r="D119" t="s">
        <v>34</v>
      </c>
      <c r="E119" t="s">
        <v>35</v>
      </c>
      <c r="F119" t="s">
        <v>36</v>
      </c>
      <c r="G119">
        <v>1141685</v>
      </c>
      <c r="H119" t="s">
        <v>87</v>
      </c>
      <c r="I119" t="s">
        <v>87</v>
      </c>
      <c r="J119" t="s">
        <v>87</v>
      </c>
      <c r="K119" t="s">
        <v>131</v>
      </c>
      <c r="L119" s="1">
        <v>46143</v>
      </c>
      <c r="M119" s="1">
        <v>46173</v>
      </c>
      <c r="N119">
        <v>2376.5908555975002</v>
      </c>
      <c r="O119" t="s">
        <v>56</v>
      </c>
      <c r="P119" t="s">
        <v>63</v>
      </c>
      <c r="Q119" t="s">
        <v>1366</v>
      </c>
      <c r="R119" t="s">
        <v>164</v>
      </c>
      <c r="S119" t="s">
        <v>67</v>
      </c>
      <c r="T119" t="s">
        <v>1487</v>
      </c>
      <c r="U119" t="s">
        <v>1627</v>
      </c>
      <c r="V119">
        <v>11</v>
      </c>
      <c r="W119" s="2">
        <v>207310.0178937189</v>
      </c>
    </row>
    <row r="120" spans="1:23" x14ac:dyDescent="0.25">
      <c r="A120" t="s">
        <v>31</v>
      </c>
      <c r="B120" t="s">
        <v>32</v>
      </c>
      <c r="C120" t="s">
        <v>33</v>
      </c>
      <c r="D120" t="s">
        <v>34</v>
      </c>
      <c r="E120" t="s">
        <v>35</v>
      </c>
      <c r="F120" t="s">
        <v>36</v>
      </c>
      <c r="G120">
        <v>1141685</v>
      </c>
      <c r="H120" t="s">
        <v>75</v>
      </c>
      <c r="I120" t="s">
        <v>94</v>
      </c>
      <c r="J120" t="s">
        <v>98</v>
      </c>
      <c r="K120" t="s">
        <v>108</v>
      </c>
      <c r="L120" s="1">
        <v>46143</v>
      </c>
      <c r="M120" s="1">
        <v>46173</v>
      </c>
      <c r="N120">
        <v>6.4158999999999998E-6</v>
      </c>
      <c r="O120" t="s">
        <v>56</v>
      </c>
      <c r="P120" t="s">
        <v>63</v>
      </c>
      <c r="Q120" t="s">
        <v>1366</v>
      </c>
      <c r="R120" t="s">
        <v>1372</v>
      </c>
      <c r="S120" t="s">
        <v>67</v>
      </c>
      <c r="T120" t="s">
        <v>1488</v>
      </c>
      <c r="U120" t="s">
        <v>1628</v>
      </c>
      <c r="V120">
        <v>16</v>
      </c>
      <c r="W120" s="2">
        <v>1.18199625E-2</v>
      </c>
    </row>
    <row r="121" spans="1:23" x14ac:dyDescent="0.25">
      <c r="A121" t="s">
        <v>31</v>
      </c>
      <c r="B121" t="s">
        <v>32</v>
      </c>
      <c r="C121" t="s">
        <v>33</v>
      </c>
      <c r="D121" t="s">
        <v>34</v>
      </c>
      <c r="E121" t="s">
        <v>35</v>
      </c>
      <c r="F121" t="s">
        <v>36</v>
      </c>
      <c r="G121">
        <v>1141685</v>
      </c>
      <c r="H121" t="s">
        <v>75</v>
      </c>
      <c r="I121" t="s">
        <v>94</v>
      </c>
      <c r="J121" t="s">
        <v>98</v>
      </c>
      <c r="K121" t="s">
        <v>108</v>
      </c>
      <c r="L121" s="1">
        <v>46143</v>
      </c>
      <c r="M121" s="1">
        <v>46173</v>
      </c>
      <c r="N121">
        <v>0.2226358289</v>
      </c>
      <c r="O121" t="s">
        <v>56</v>
      </c>
      <c r="P121" t="s">
        <v>63</v>
      </c>
      <c r="Q121" t="s">
        <v>1366</v>
      </c>
      <c r="R121" t="s">
        <v>1370</v>
      </c>
      <c r="S121" t="s">
        <v>67</v>
      </c>
      <c r="T121" t="s">
        <v>1489</v>
      </c>
      <c r="U121" t="s">
        <v>1629</v>
      </c>
      <c r="V121">
        <v>16</v>
      </c>
      <c r="W121" s="2">
        <v>466.09145323550001</v>
      </c>
    </row>
    <row r="122" spans="1:23" x14ac:dyDescent="0.25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36</v>
      </c>
      <c r="G122">
        <v>1141685</v>
      </c>
      <c r="H122" t="s">
        <v>75</v>
      </c>
      <c r="I122" t="s">
        <v>94</v>
      </c>
      <c r="J122" t="s">
        <v>98</v>
      </c>
      <c r="K122" t="s">
        <v>108</v>
      </c>
      <c r="L122" s="1">
        <v>46143</v>
      </c>
      <c r="M122" s="1">
        <v>46173</v>
      </c>
      <c r="N122">
        <v>0.1352250334</v>
      </c>
      <c r="O122" t="s">
        <v>56</v>
      </c>
      <c r="P122" t="s">
        <v>63</v>
      </c>
      <c r="Q122" t="s">
        <v>1366</v>
      </c>
      <c r="R122" t="s">
        <v>1370</v>
      </c>
      <c r="S122" t="s">
        <v>67</v>
      </c>
      <c r="T122" t="s">
        <v>1490</v>
      </c>
      <c r="U122" t="s">
        <v>1630</v>
      </c>
      <c r="V122">
        <v>16</v>
      </c>
      <c r="W122" s="2">
        <v>283.09475446840003</v>
      </c>
    </row>
    <row r="123" spans="1:23" x14ac:dyDescent="0.25">
      <c r="A123" t="s">
        <v>31</v>
      </c>
      <c r="B123" t="s">
        <v>32</v>
      </c>
      <c r="C123" t="s">
        <v>33</v>
      </c>
      <c r="D123" t="s">
        <v>34</v>
      </c>
      <c r="E123" t="s">
        <v>35</v>
      </c>
      <c r="F123" t="s">
        <v>36</v>
      </c>
      <c r="G123">
        <v>1141685</v>
      </c>
      <c r="H123" t="s">
        <v>75</v>
      </c>
      <c r="I123" t="s">
        <v>94</v>
      </c>
      <c r="J123" t="s">
        <v>98</v>
      </c>
      <c r="K123" t="s">
        <v>108</v>
      </c>
      <c r="L123" s="1">
        <v>46143</v>
      </c>
      <c r="M123" s="1">
        <v>46173</v>
      </c>
      <c r="N123">
        <v>6.0667300000000001E-5</v>
      </c>
      <c r="O123" t="s">
        <v>56</v>
      </c>
      <c r="P123" t="s">
        <v>63</v>
      </c>
      <c r="Q123" t="s">
        <v>1366</v>
      </c>
      <c r="R123" t="s">
        <v>1370</v>
      </c>
      <c r="S123" t="s">
        <v>67</v>
      </c>
      <c r="T123" t="s">
        <v>1491</v>
      </c>
      <c r="U123" t="s">
        <v>1631</v>
      </c>
      <c r="V123">
        <v>16</v>
      </c>
      <c r="W123" s="2">
        <v>0.13176719140000001</v>
      </c>
    </row>
    <row r="124" spans="1:23" x14ac:dyDescent="0.25">
      <c r="A124" t="s">
        <v>31</v>
      </c>
      <c r="B124" t="s">
        <v>32</v>
      </c>
      <c r="C124" t="s">
        <v>33</v>
      </c>
      <c r="D124" t="s">
        <v>34</v>
      </c>
      <c r="E124" t="s">
        <v>35</v>
      </c>
      <c r="F124" t="s">
        <v>36</v>
      </c>
      <c r="G124">
        <v>1141685</v>
      </c>
      <c r="H124" t="s">
        <v>82</v>
      </c>
      <c r="I124" t="s">
        <v>82</v>
      </c>
      <c r="J124" t="s">
        <v>82</v>
      </c>
      <c r="K124" t="s">
        <v>120</v>
      </c>
      <c r="L124" s="1">
        <v>46143</v>
      </c>
      <c r="M124" s="1">
        <v>46173</v>
      </c>
      <c r="N124">
        <v>1</v>
      </c>
      <c r="O124" t="s">
        <v>61</v>
      </c>
      <c r="P124" t="s">
        <v>63</v>
      </c>
      <c r="Q124" t="s">
        <v>1369</v>
      </c>
      <c r="R124" t="s">
        <v>148</v>
      </c>
      <c r="S124" t="s">
        <v>68</v>
      </c>
      <c r="T124" t="s">
        <v>1416</v>
      </c>
      <c r="U124" t="s">
        <v>1556</v>
      </c>
      <c r="V124">
        <v>7</v>
      </c>
      <c r="W124" s="2">
        <v>2691.9341720419998</v>
      </c>
    </row>
    <row r="125" spans="1:23" x14ac:dyDescent="0.25">
      <c r="A125" t="s">
        <v>31</v>
      </c>
      <c r="B125" t="s">
        <v>32</v>
      </c>
      <c r="C125" t="s">
        <v>33</v>
      </c>
      <c r="D125" t="s">
        <v>34</v>
      </c>
      <c r="E125" t="s">
        <v>35</v>
      </c>
      <c r="F125" t="s">
        <v>36</v>
      </c>
      <c r="G125">
        <v>1141685</v>
      </c>
      <c r="H125" t="s">
        <v>82</v>
      </c>
      <c r="I125" t="s">
        <v>82</v>
      </c>
      <c r="J125" t="s">
        <v>82</v>
      </c>
      <c r="K125" t="s">
        <v>120</v>
      </c>
      <c r="L125" s="1">
        <v>46143</v>
      </c>
      <c r="M125" s="1">
        <v>46173</v>
      </c>
      <c r="N125">
        <v>1</v>
      </c>
      <c r="O125" t="s">
        <v>61</v>
      </c>
      <c r="P125" t="s">
        <v>63</v>
      </c>
      <c r="Q125" t="s">
        <v>1369</v>
      </c>
      <c r="R125" t="s">
        <v>149</v>
      </c>
      <c r="S125" t="s">
        <v>68</v>
      </c>
      <c r="T125" t="s">
        <v>1492</v>
      </c>
      <c r="U125" t="s">
        <v>1632</v>
      </c>
      <c r="V125">
        <v>7</v>
      </c>
      <c r="W125" s="2">
        <v>2691.9341720419998</v>
      </c>
    </row>
    <row r="126" spans="1:23" x14ac:dyDescent="0.25">
      <c r="A126" t="s">
        <v>31</v>
      </c>
      <c r="B126" t="s">
        <v>32</v>
      </c>
      <c r="C126" t="s">
        <v>33</v>
      </c>
      <c r="D126" t="s">
        <v>34</v>
      </c>
      <c r="E126" t="s">
        <v>35</v>
      </c>
      <c r="F126" t="s">
        <v>36</v>
      </c>
      <c r="G126">
        <v>1141685</v>
      </c>
      <c r="H126" t="s">
        <v>82</v>
      </c>
      <c r="I126" t="s">
        <v>82</v>
      </c>
      <c r="J126" t="s">
        <v>82</v>
      </c>
      <c r="K126" t="s">
        <v>118</v>
      </c>
      <c r="L126" s="1">
        <v>46143</v>
      </c>
      <c r="M126" s="1">
        <v>46173</v>
      </c>
      <c r="N126">
        <v>0.116299</v>
      </c>
      <c r="O126" t="s">
        <v>60</v>
      </c>
      <c r="P126" t="s">
        <v>63</v>
      </c>
      <c r="Q126" t="s">
        <v>1369</v>
      </c>
      <c r="R126" t="s">
        <v>149</v>
      </c>
      <c r="S126" t="s">
        <v>68</v>
      </c>
      <c r="T126" t="s">
        <v>1493</v>
      </c>
      <c r="U126" t="s">
        <v>1633</v>
      </c>
      <c r="V126">
        <v>7</v>
      </c>
      <c r="W126" s="2">
        <v>811.58122860239996</v>
      </c>
    </row>
    <row r="127" spans="1:23" x14ac:dyDescent="0.25">
      <c r="A127" t="s">
        <v>31</v>
      </c>
      <c r="B127" t="s">
        <v>32</v>
      </c>
      <c r="C127" t="s">
        <v>33</v>
      </c>
      <c r="D127" t="s">
        <v>34</v>
      </c>
      <c r="E127" t="s">
        <v>35</v>
      </c>
      <c r="F127" t="s">
        <v>36</v>
      </c>
      <c r="G127">
        <v>1141685</v>
      </c>
      <c r="H127" t="s">
        <v>91</v>
      </c>
      <c r="I127" t="s">
        <v>95</v>
      </c>
      <c r="J127" t="s">
        <v>106</v>
      </c>
      <c r="K127" t="s">
        <v>129</v>
      </c>
      <c r="L127" s="1">
        <v>46143</v>
      </c>
      <c r="M127" s="1">
        <v>46173</v>
      </c>
      <c r="N127">
        <v>5.0020000000000002E-2</v>
      </c>
      <c r="O127" t="s">
        <v>58</v>
      </c>
      <c r="P127" t="s">
        <v>63</v>
      </c>
      <c r="Q127" t="s">
        <v>1367</v>
      </c>
      <c r="R127" t="s">
        <v>1371</v>
      </c>
      <c r="S127" t="s">
        <v>67</v>
      </c>
      <c r="T127" t="s">
        <v>1494</v>
      </c>
      <c r="U127" t="s">
        <v>1634</v>
      </c>
      <c r="V127">
        <v>17</v>
      </c>
      <c r="W127" s="2">
        <v>109.0813812</v>
      </c>
    </row>
    <row r="128" spans="1:23" x14ac:dyDescent="0.25">
      <c r="A128" t="s">
        <v>31</v>
      </c>
      <c r="B128" t="s">
        <v>32</v>
      </c>
      <c r="C128" t="s">
        <v>33</v>
      </c>
      <c r="D128" t="s">
        <v>34</v>
      </c>
      <c r="E128" t="s">
        <v>35</v>
      </c>
      <c r="F128" t="s">
        <v>36</v>
      </c>
      <c r="G128">
        <v>1141685</v>
      </c>
      <c r="H128" t="s">
        <v>91</v>
      </c>
      <c r="I128" t="s">
        <v>95</v>
      </c>
      <c r="J128" t="s">
        <v>106</v>
      </c>
      <c r="K128" t="s">
        <v>129</v>
      </c>
      <c r="L128" s="1">
        <v>46143</v>
      </c>
      <c r="M128" s="1">
        <v>46173</v>
      </c>
      <c r="N128">
        <v>0.16667000000000001</v>
      </c>
      <c r="O128" t="s">
        <v>58</v>
      </c>
      <c r="P128" t="s">
        <v>63</v>
      </c>
      <c r="Q128" t="s">
        <v>1367</v>
      </c>
      <c r="R128" t="s">
        <v>1372</v>
      </c>
      <c r="S128" t="s">
        <v>67</v>
      </c>
      <c r="T128" t="s">
        <v>1495</v>
      </c>
      <c r="U128" t="s">
        <v>1635</v>
      </c>
      <c r="V128">
        <v>16</v>
      </c>
      <c r="W128" s="2">
        <v>363.46973020000001</v>
      </c>
    </row>
    <row r="129" spans="1:23" x14ac:dyDescent="0.25">
      <c r="A129" t="s">
        <v>31</v>
      </c>
      <c r="B129" t="s">
        <v>32</v>
      </c>
      <c r="C129" t="s">
        <v>33</v>
      </c>
      <c r="D129" t="s">
        <v>34</v>
      </c>
      <c r="E129" t="s">
        <v>35</v>
      </c>
      <c r="F129" t="s">
        <v>36</v>
      </c>
      <c r="G129">
        <v>1141685</v>
      </c>
      <c r="H129" t="s">
        <v>75</v>
      </c>
      <c r="I129" t="s">
        <v>94</v>
      </c>
      <c r="J129" t="s">
        <v>98</v>
      </c>
      <c r="K129" t="s">
        <v>108</v>
      </c>
      <c r="L129" s="1">
        <v>46143</v>
      </c>
      <c r="M129" s="1">
        <v>46173</v>
      </c>
      <c r="N129">
        <v>0.14791189129999999</v>
      </c>
      <c r="O129" t="s">
        <v>56</v>
      </c>
      <c r="P129" t="s">
        <v>63</v>
      </c>
      <c r="Q129" t="s">
        <v>1366</v>
      </c>
      <c r="R129" t="s">
        <v>1370</v>
      </c>
      <c r="S129" t="s">
        <v>67</v>
      </c>
      <c r="T129" t="s">
        <v>1496</v>
      </c>
      <c r="U129" t="s">
        <v>1636</v>
      </c>
      <c r="V129">
        <v>16</v>
      </c>
      <c r="W129" s="2">
        <v>309.65772242799989</v>
      </c>
    </row>
    <row r="130" spans="1:23" x14ac:dyDescent="0.25">
      <c r="A130" t="s">
        <v>31</v>
      </c>
      <c r="B130" t="s">
        <v>32</v>
      </c>
      <c r="C130" t="s">
        <v>33</v>
      </c>
      <c r="D130" t="s">
        <v>34</v>
      </c>
      <c r="E130" t="s">
        <v>35</v>
      </c>
      <c r="F130" t="s">
        <v>36</v>
      </c>
      <c r="G130">
        <v>1141685</v>
      </c>
      <c r="H130" t="s">
        <v>91</v>
      </c>
      <c r="I130" t="s">
        <v>95</v>
      </c>
      <c r="J130" t="s">
        <v>106</v>
      </c>
      <c r="K130" t="s">
        <v>129</v>
      </c>
      <c r="L130" s="1">
        <v>46143</v>
      </c>
      <c r="M130" s="1">
        <v>46173</v>
      </c>
      <c r="N130">
        <v>0.250004</v>
      </c>
      <c r="O130" t="s">
        <v>58</v>
      </c>
      <c r="P130" t="s">
        <v>63</v>
      </c>
      <c r="Q130" t="s">
        <v>1367</v>
      </c>
      <c r="R130" t="s">
        <v>1372</v>
      </c>
      <c r="S130" t="s">
        <v>67</v>
      </c>
      <c r="T130" t="s">
        <v>1497</v>
      </c>
      <c r="U130" t="s">
        <v>1637</v>
      </c>
      <c r="V130">
        <v>16</v>
      </c>
      <c r="W130" s="2">
        <v>545.19267623999997</v>
      </c>
    </row>
    <row r="131" spans="1:23" x14ac:dyDescent="0.25">
      <c r="A131" t="s">
        <v>31</v>
      </c>
      <c r="B131" t="s">
        <v>32</v>
      </c>
      <c r="C131" t="s">
        <v>33</v>
      </c>
      <c r="D131" t="s">
        <v>34</v>
      </c>
      <c r="E131" t="s">
        <v>35</v>
      </c>
      <c r="F131" t="s">
        <v>36</v>
      </c>
      <c r="G131">
        <v>1141685</v>
      </c>
      <c r="H131" t="s">
        <v>75</v>
      </c>
      <c r="I131" t="s">
        <v>94</v>
      </c>
      <c r="J131" t="s">
        <v>98</v>
      </c>
      <c r="K131" t="s">
        <v>108</v>
      </c>
      <c r="L131" s="1">
        <v>46143</v>
      </c>
      <c r="M131" s="1">
        <v>46173</v>
      </c>
      <c r="N131">
        <v>7.2332615000000003E-2</v>
      </c>
      <c r="O131" t="s">
        <v>56</v>
      </c>
      <c r="P131" t="s">
        <v>63</v>
      </c>
      <c r="Q131" t="s">
        <v>1366</v>
      </c>
      <c r="R131" t="s">
        <v>1370</v>
      </c>
      <c r="S131" t="s">
        <v>67</v>
      </c>
      <c r="T131" t="s">
        <v>1498</v>
      </c>
      <c r="U131" t="s">
        <v>1638</v>
      </c>
      <c r="V131">
        <v>15</v>
      </c>
      <c r="W131" s="2">
        <v>139.31647845219999</v>
      </c>
    </row>
    <row r="132" spans="1:23" x14ac:dyDescent="0.25">
      <c r="A132" t="s">
        <v>31</v>
      </c>
      <c r="B132" t="s">
        <v>32</v>
      </c>
      <c r="C132" t="s">
        <v>33</v>
      </c>
      <c r="D132" t="s">
        <v>34</v>
      </c>
      <c r="E132" t="s">
        <v>35</v>
      </c>
      <c r="F132" t="s">
        <v>36</v>
      </c>
      <c r="G132">
        <v>1141685</v>
      </c>
      <c r="H132" t="s">
        <v>80</v>
      </c>
      <c r="I132" t="s">
        <v>96</v>
      </c>
      <c r="J132" t="s">
        <v>80</v>
      </c>
      <c r="K132" t="s">
        <v>122</v>
      </c>
      <c r="L132" s="1">
        <v>46143</v>
      </c>
      <c r="M132" s="1">
        <v>46173</v>
      </c>
      <c r="N132">
        <v>0.34159733079999999</v>
      </c>
      <c r="O132" t="s">
        <v>56</v>
      </c>
      <c r="P132" t="s">
        <v>63</v>
      </c>
      <c r="Q132" t="s">
        <v>1366</v>
      </c>
      <c r="R132" t="s">
        <v>1370</v>
      </c>
      <c r="S132" t="s">
        <v>67</v>
      </c>
      <c r="T132" t="s">
        <v>1499</v>
      </c>
      <c r="U132" t="s">
        <v>1639</v>
      </c>
      <c r="V132">
        <v>16</v>
      </c>
      <c r="W132" s="2">
        <v>59.593661883999999</v>
      </c>
    </row>
    <row r="133" spans="1:23" x14ac:dyDescent="0.25">
      <c r="A133" t="s">
        <v>31</v>
      </c>
      <c r="B133" t="s">
        <v>32</v>
      </c>
      <c r="C133" t="s">
        <v>33</v>
      </c>
      <c r="D133" t="s">
        <v>34</v>
      </c>
      <c r="E133" t="s">
        <v>35</v>
      </c>
      <c r="F133" t="s">
        <v>36</v>
      </c>
      <c r="G133">
        <v>1141685</v>
      </c>
      <c r="H133" t="s">
        <v>80</v>
      </c>
      <c r="I133" t="s">
        <v>96</v>
      </c>
      <c r="J133" t="s">
        <v>80</v>
      </c>
      <c r="K133" t="s">
        <v>122</v>
      </c>
      <c r="L133" s="1">
        <v>46143</v>
      </c>
      <c r="M133" s="1">
        <v>46173</v>
      </c>
      <c r="N133">
        <v>0.32923165710000002</v>
      </c>
      <c r="O133" t="s">
        <v>56</v>
      </c>
      <c r="P133" t="s">
        <v>63</v>
      </c>
      <c r="Q133" t="s">
        <v>1366</v>
      </c>
      <c r="R133" t="s">
        <v>1370</v>
      </c>
      <c r="S133" t="s">
        <v>67</v>
      </c>
      <c r="T133" t="s">
        <v>1500</v>
      </c>
      <c r="U133" t="s">
        <v>1640</v>
      </c>
      <c r="V133">
        <v>16</v>
      </c>
      <c r="W133" s="2">
        <v>57.435224306899997</v>
      </c>
    </row>
    <row r="134" spans="1:23" x14ac:dyDescent="0.25">
      <c r="A134" t="s">
        <v>31</v>
      </c>
      <c r="B134" t="s">
        <v>32</v>
      </c>
      <c r="C134" t="s">
        <v>33</v>
      </c>
      <c r="D134" t="s">
        <v>34</v>
      </c>
      <c r="E134" t="s">
        <v>35</v>
      </c>
      <c r="F134" t="s">
        <v>36</v>
      </c>
      <c r="G134">
        <v>1141685</v>
      </c>
      <c r="H134" t="s">
        <v>80</v>
      </c>
      <c r="I134" t="s">
        <v>96</v>
      </c>
      <c r="J134" t="s">
        <v>80</v>
      </c>
      <c r="K134" t="s">
        <v>122</v>
      </c>
      <c r="L134" s="1">
        <v>46143</v>
      </c>
      <c r="M134" s="1">
        <v>46173</v>
      </c>
      <c r="N134">
        <v>6.6936900000000006E-5</v>
      </c>
      <c r="O134" t="s">
        <v>56</v>
      </c>
      <c r="P134" t="s">
        <v>63</v>
      </c>
      <c r="Q134" t="s">
        <v>1366</v>
      </c>
      <c r="R134" t="s">
        <v>1370</v>
      </c>
      <c r="S134" t="s">
        <v>67</v>
      </c>
      <c r="T134" t="s">
        <v>1501</v>
      </c>
      <c r="U134" t="s">
        <v>1641</v>
      </c>
      <c r="V134">
        <v>16</v>
      </c>
      <c r="W134" s="2">
        <v>1.0276481400000001E-2</v>
      </c>
    </row>
    <row r="135" spans="1:23" x14ac:dyDescent="0.25">
      <c r="A135" t="s">
        <v>31</v>
      </c>
      <c r="B135" t="s">
        <v>32</v>
      </c>
      <c r="C135" t="s">
        <v>33</v>
      </c>
      <c r="D135" t="s">
        <v>34</v>
      </c>
      <c r="E135" t="s">
        <v>35</v>
      </c>
      <c r="F135" t="s">
        <v>36</v>
      </c>
      <c r="G135">
        <v>1141685</v>
      </c>
      <c r="H135" t="s">
        <v>80</v>
      </c>
      <c r="I135" t="s">
        <v>96</v>
      </c>
      <c r="J135" t="s">
        <v>80</v>
      </c>
      <c r="K135" t="s">
        <v>122</v>
      </c>
      <c r="L135" s="1">
        <v>46143</v>
      </c>
      <c r="M135" s="1">
        <v>46173</v>
      </c>
      <c r="N135">
        <v>4.6904993200000002E-2</v>
      </c>
      <c r="O135" t="s">
        <v>56</v>
      </c>
      <c r="P135" t="s">
        <v>63</v>
      </c>
      <c r="Q135" t="s">
        <v>1366</v>
      </c>
      <c r="R135" t="s">
        <v>1372</v>
      </c>
      <c r="S135" t="s">
        <v>67</v>
      </c>
      <c r="T135" t="s">
        <v>1502</v>
      </c>
      <c r="U135" t="s">
        <v>1642</v>
      </c>
      <c r="V135">
        <v>16</v>
      </c>
      <c r="W135" s="2">
        <v>8.1810797044000001</v>
      </c>
    </row>
    <row r="136" spans="1:23" x14ac:dyDescent="0.25">
      <c r="A136" t="s">
        <v>31</v>
      </c>
      <c r="B136" t="s">
        <v>32</v>
      </c>
      <c r="C136" t="s">
        <v>33</v>
      </c>
      <c r="D136" t="s">
        <v>34</v>
      </c>
      <c r="E136" t="s">
        <v>35</v>
      </c>
      <c r="F136" t="s">
        <v>36</v>
      </c>
      <c r="G136">
        <v>1141685</v>
      </c>
      <c r="H136" t="s">
        <v>79</v>
      </c>
      <c r="I136" t="s">
        <v>94</v>
      </c>
      <c r="J136" t="s">
        <v>101</v>
      </c>
      <c r="K136" t="s">
        <v>116</v>
      </c>
      <c r="L136" s="1">
        <v>46143</v>
      </c>
      <c r="M136" s="1">
        <v>46173</v>
      </c>
      <c r="N136">
        <v>0.39464784320000001</v>
      </c>
      <c r="O136" t="s">
        <v>56</v>
      </c>
      <c r="P136" t="s">
        <v>63</v>
      </c>
      <c r="Q136" t="s">
        <v>1366</v>
      </c>
      <c r="R136" t="s">
        <v>1372</v>
      </c>
      <c r="S136" t="s">
        <v>67</v>
      </c>
      <c r="T136" t="s">
        <v>1503</v>
      </c>
      <c r="U136" t="s">
        <v>1643</v>
      </c>
      <c r="V136">
        <v>16</v>
      </c>
      <c r="W136" s="2">
        <v>550.80584958479994</v>
      </c>
    </row>
    <row r="137" spans="1:23" x14ac:dyDescent="0.25">
      <c r="A137" t="s">
        <v>31</v>
      </c>
      <c r="B137" t="s">
        <v>32</v>
      </c>
      <c r="C137" t="s">
        <v>33</v>
      </c>
      <c r="D137" t="s">
        <v>34</v>
      </c>
      <c r="E137" t="s">
        <v>35</v>
      </c>
      <c r="F137" t="s">
        <v>36</v>
      </c>
      <c r="G137">
        <v>1141685</v>
      </c>
      <c r="H137" t="s">
        <v>79</v>
      </c>
      <c r="I137" t="s">
        <v>94</v>
      </c>
      <c r="J137" t="s">
        <v>101</v>
      </c>
      <c r="K137" t="s">
        <v>116</v>
      </c>
      <c r="L137" s="1">
        <v>46143</v>
      </c>
      <c r="M137" s="1">
        <v>46173</v>
      </c>
      <c r="N137">
        <v>0.71038560380000004</v>
      </c>
      <c r="O137" t="s">
        <v>56</v>
      </c>
      <c r="P137" t="s">
        <v>63</v>
      </c>
      <c r="Q137" t="s">
        <v>1366</v>
      </c>
      <c r="R137" t="s">
        <v>1370</v>
      </c>
      <c r="S137" t="s">
        <v>67</v>
      </c>
      <c r="T137" t="s">
        <v>1504</v>
      </c>
      <c r="U137" t="s">
        <v>1644</v>
      </c>
      <c r="V137">
        <v>16</v>
      </c>
      <c r="W137" s="2">
        <v>991.47446200620004</v>
      </c>
    </row>
    <row r="138" spans="1:23" x14ac:dyDescent="0.25">
      <c r="A138" t="s">
        <v>31</v>
      </c>
      <c r="B138" t="s">
        <v>32</v>
      </c>
      <c r="C138" t="s">
        <v>33</v>
      </c>
      <c r="D138" t="s">
        <v>34</v>
      </c>
      <c r="E138" t="s">
        <v>35</v>
      </c>
      <c r="F138" t="s">
        <v>36</v>
      </c>
      <c r="G138">
        <v>1141685</v>
      </c>
      <c r="H138" t="s">
        <v>79</v>
      </c>
      <c r="I138" t="s">
        <v>94</v>
      </c>
      <c r="J138" t="s">
        <v>101</v>
      </c>
      <c r="K138" t="s">
        <v>116</v>
      </c>
      <c r="L138" s="1">
        <v>46143</v>
      </c>
      <c r="M138" s="1">
        <v>46173</v>
      </c>
      <c r="N138">
        <v>0.32792861109999999</v>
      </c>
      <c r="O138" t="s">
        <v>56</v>
      </c>
      <c r="P138" t="s">
        <v>63</v>
      </c>
      <c r="Q138" t="s">
        <v>1366</v>
      </c>
      <c r="R138" t="s">
        <v>1371</v>
      </c>
      <c r="S138" t="s">
        <v>67</v>
      </c>
      <c r="T138" t="s">
        <v>1505</v>
      </c>
      <c r="U138" t="s">
        <v>1645</v>
      </c>
      <c r="V138">
        <v>17</v>
      </c>
      <c r="W138" s="2">
        <v>457.6813954369</v>
      </c>
    </row>
    <row r="139" spans="1:23" x14ac:dyDescent="0.25">
      <c r="A139" t="s">
        <v>31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>
        <v>1141685</v>
      </c>
      <c r="H139" t="s">
        <v>79</v>
      </c>
      <c r="I139" t="s">
        <v>94</v>
      </c>
      <c r="J139" t="s">
        <v>101</v>
      </c>
      <c r="K139" t="s">
        <v>116</v>
      </c>
      <c r="L139" s="1">
        <v>46143</v>
      </c>
      <c r="M139" s="1">
        <v>46173</v>
      </c>
      <c r="N139">
        <v>0.87616376669999996</v>
      </c>
      <c r="O139" t="s">
        <v>56</v>
      </c>
      <c r="P139" t="s">
        <v>63</v>
      </c>
      <c r="Q139" t="s">
        <v>1366</v>
      </c>
      <c r="R139" t="s">
        <v>1370</v>
      </c>
      <c r="S139" t="s">
        <v>67</v>
      </c>
      <c r="T139" t="s">
        <v>1506</v>
      </c>
      <c r="U139" t="s">
        <v>1646</v>
      </c>
      <c r="V139">
        <v>16</v>
      </c>
      <c r="W139" s="2">
        <v>1222.8429364213</v>
      </c>
    </row>
    <row r="140" spans="1:23" x14ac:dyDescent="0.25">
      <c r="A140" t="s">
        <v>31</v>
      </c>
      <c r="B140" t="s">
        <v>32</v>
      </c>
      <c r="C140" t="s">
        <v>33</v>
      </c>
      <c r="D140" t="s">
        <v>34</v>
      </c>
      <c r="E140" t="s">
        <v>35</v>
      </c>
      <c r="F140" t="s">
        <v>36</v>
      </c>
      <c r="G140">
        <v>1141685</v>
      </c>
      <c r="H140" t="s">
        <v>79</v>
      </c>
      <c r="I140" t="s">
        <v>94</v>
      </c>
      <c r="J140" t="s">
        <v>101</v>
      </c>
      <c r="K140" t="s">
        <v>116</v>
      </c>
      <c r="L140" s="1">
        <v>46143</v>
      </c>
      <c r="M140" s="1">
        <v>46173</v>
      </c>
      <c r="N140">
        <v>5.1687500000000003E-5</v>
      </c>
      <c r="O140" t="s">
        <v>56</v>
      </c>
      <c r="P140" t="s">
        <v>63</v>
      </c>
      <c r="Q140" t="s">
        <v>1366</v>
      </c>
      <c r="R140" t="s">
        <v>1371</v>
      </c>
      <c r="S140" t="s">
        <v>67</v>
      </c>
      <c r="T140" t="s">
        <v>1507</v>
      </c>
      <c r="U140" t="s">
        <v>1647</v>
      </c>
      <c r="V140">
        <v>17</v>
      </c>
      <c r="W140" s="2">
        <v>7.3482469799999992E-2</v>
      </c>
    </row>
    <row r="141" spans="1:23" x14ac:dyDescent="0.25">
      <c r="A141" t="s">
        <v>31</v>
      </c>
      <c r="B141" t="s">
        <v>32</v>
      </c>
      <c r="C141" t="s">
        <v>33</v>
      </c>
      <c r="D141" t="s">
        <v>34</v>
      </c>
      <c r="E141" t="s">
        <v>35</v>
      </c>
      <c r="F141" t="s">
        <v>36</v>
      </c>
      <c r="G141">
        <v>1141685</v>
      </c>
      <c r="H141" t="s">
        <v>79</v>
      </c>
      <c r="I141" t="s">
        <v>94</v>
      </c>
      <c r="J141" t="s">
        <v>101</v>
      </c>
      <c r="K141" t="s">
        <v>116</v>
      </c>
      <c r="L141" s="1">
        <v>46143</v>
      </c>
      <c r="M141" s="1">
        <v>46173</v>
      </c>
      <c r="N141">
        <v>1.9412500000000001E-5</v>
      </c>
      <c r="O141" t="s">
        <v>56</v>
      </c>
      <c r="P141" t="s">
        <v>63</v>
      </c>
      <c r="Q141" t="s">
        <v>1366</v>
      </c>
      <c r="R141" t="s">
        <v>1372</v>
      </c>
      <c r="S141" t="s">
        <v>67</v>
      </c>
      <c r="T141" t="s">
        <v>1508</v>
      </c>
      <c r="U141" t="s">
        <v>1648</v>
      </c>
      <c r="V141">
        <v>16</v>
      </c>
      <c r="W141" s="2">
        <v>2.3842386300000001E-2</v>
      </c>
    </row>
    <row r="142" spans="1:23" x14ac:dyDescent="0.25">
      <c r="A142" t="s">
        <v>31</v>
      </c>
      <c r="B142" t="s">
        <v>32</v>
      </c>
      <c r="C142" t="s">
        <v>33</v>
      </c>
      <c r="D142" t="s">
        <v>34</v>
      </c>
      <c r="E142" t="s">
        <v>35</v>
      </c>
      <c r="F142" t="s">
        <v>36</v>
      </c>
      <c r="G142">
        <v>1141685</v>
      </c>
      <c r="H142" t="s">
        <v>79</v>
      </c>
      <c r="I142" t="s">
        <v>94</v>
      </c>
      <c r="J142" t="s">
        <v>101</v>
      </c>
      <c r="K142" t="s">
        <v>116</v>
      </c>
      <c r="L142" s="1">
        <v>46143</v>
      </c>
      <c r="M142" s="1">
        <v>46173</v>
      </c>
      <c r="N142">
        <v>0.3295677481</v>
      </c>
      <c r="O142" t="s">
        <v>56</v>
      </c>
      <c r="P142" t="s">
        <v>63</v>
      </c>
      <c r="Q142" t="s">
        <v>1366</v>
      </c>
      <c r="R142" t="s">
        <v>1370</v>
      </c>
      <c r="S142" t="s">
        <v>67</v>
      </c>
      <c r="T142" t="s">
        <v>1509</v>
      </c>
      <c r="U142" t="s">
        <v>1649</v>
      </c>
      <c r="V142">
        <v>15</v>
      </c>
      <c r="W142" s="2">
        <v>378.2791682939</v>
      </c>
    </row>
    <row r="143" spans="1:23" x14ac:dyDescent="0.25">
      <c r="A143" t="s">
        <v>31</v>
      </c>
      <c r="B143" t="s">
        <v>32</v>
      </c>
      <c r="C143" t="s">
        <v>33</v>
      </c>
      <c r="D143" t="s">
        <v>34</v>
      </c>
      <c r="E143" t="s">
        <v>35</v>
      </c>
      <c r="F143" t="s">
        <v>36</v>
      </c>
      <c r="G143">
        <v>1141685</v>
      </c>
      <c r="H143" t="s">
        <v>76</v>
      </c>
      <c r="I143" t="s">
        <v>95</v>
      </c>
      <c r="J143" t="s">
        <v>99</v>
      </c>
      <c r="K143" t="s">
        <v>109</v>
      </c>
      <c r="L143" s="1">
        <v>46143</v>
      </c>
      <c r="M143" s="1">
        <v>46173</v>
      </c>
      <c r="N143">
        <v>0.983352</v>
      </c>
      <c r="O143" t="s">
        <v>58</v>
      </c>
      <c r="P143" t="s">
        <v>63</v>
      </c>
      <c r="Q143" t="s">
        <v>1367</v>
      </c>
      <c r="R143" t="s">
        <v>1370</v>
      </c>
      <c r="S143" t="s">
        <v>67</v>
      </c>
      <c r="T143" t="s">
        <v>1394</v>
      </c>
      <c r="U143" t="s">
        <v>1534</v>
      </c>
      <c r="V143">
        <v>16</v>
      </c>
      <c r="W143" s="2">
        <v>0</v>
      </c>
    </row>
    <row r="144" spans="1:23" x14ac:dyDescent="0.25">
      <c r="A144" t="s">
        <v>31</v>
      </c>
      <c r="B144" t="s">
        <v>32</v>
      </c>
      <c r="C144" t="s">
        <v>33</v>
      </c>
      <c r="D144" t="s">
        <v>34</v>
      </c>
      <c r="E144" t="s">
        <v>35</v>
      </c>
      <c r="F144" t="s">
        <v>36</v>
      </c>
      <c r="G144">
        <v>1141685</v>
      </c>
      <c r="H144" t="s">
        <v>76</v>
      </c>
      <c r="I144" t="s">
        <v>95</v>
      </c>
      <c r="J144" t="s">
        <v>99</v>
      </c>
      <c r="K144" t="s">
        <v>109</v>
      </c>
      <c r="L144" s="1">
        <v>46143</v>
      </c>
      <c r="M144" s="1">
        <v>46173</v>
      </c>
      <c r="N144">
        <v>137</v>
      </c>
      <c r="O144" t="s">
        <v>58</v>
      </c>
      <c r="P144" t="s">
        <v>63</v>
      </c>
      <c r="Q144" t="s">
        <v>1367</v>
      </c>
      <c r="R144" t="s">
        <v>1370</v>
      </c>
      <c r="S144" t="s">
        <v>67</v>
      </c>
      <c r="T144" t="s">
        <v>1465</v>
      </c>
      <c r="U144" t="s">
        <v>1605</v>
      </c>
      <c r="V144">
        <v>15</v>
      </c>
      <c r="W144" s="2">
        <v>0</v>
      </c>
    </row>
    <row r="145" spans="1:23" x14ac:dyDescent="0.25">
      <c r="A145" t="s">
        <v>31</v>
      </c>
      <c r="B145" t="s">
        <v>32</v>
      </c>
      <c r="C145" t="s">
        <v>33</v>
      </c>
      <c r="D145" t="s">
        <v>34</v>
      </c>
      <c r="E145" t="s">
        <v>35</v>
      </c>
      <c r="F145" t="s">
        <v>36</v>
      </c>
      <c r="G145">
        <v>1141685</v>
      </c>
      <c r="H145" t="s">
        <v>76</v>
      </c>
      <c r="I145" t="s">
        <v>95</v>
      </c>
      <c r="J145" t="s">
        <v>99</v>
      </c>
      <c r="K145" t="s">
        <v>109</v>
      </c>
      <c r="L145" s="1">
        <v>46143</v>
      </c>
      <c r="M145" s="1">
        <v>46173</v>
      </c>
      <c r="N145">
        <v>121</v>
      </c>
      <c r="O145" t="s">
        <v>58</v>
      </c>
      <c r="P145" t="s">
        <v>63</v>
      </c>
      <c r="Q145" t="s">
        <v>1367</v>
      </c>
      <c r="R145" t="s">
        <v>1370</v>
      </c>
      <c r="S145" t="s">
        <v>67</v>
      </c>
      <c r="T145" t="s">
        <v>1394</v>
      </c>
      <c r="U145" t="s">
        <v>1534</v>
      </c>
      <c r="V145">
        <v>16</v>
      </c>
      <c r="W145" s="2">
        <v>0</v>
      </c>
    </row>
    <row r="146" spans="1:23" x14ac:dyDescent="0.25">
      <c r="A146" t="s">
        <v>31</v>
      </c>
      <c r="B146" t="s">
        <v>32</v>
      </c>
      <c r="C146" t="s">
        <v>33</v>
      </c>
      <c r="D146" t="s">
        <v>34</v>
      </c>
      <c r="E146" t="s">
        <v>35</v>
      </c>
      <c r="F146" t="s">
        <v>36</v>
      </c>
      <c r="G146">
        <v>1141685</v>
      </c>
      <c r="H146" t="s">
        <v>79</v>
      </c>
      <c r="I146" t="s">
        <v>94</v>
      </c>
      <c r="J146" t="s">
        <v>101</v>
      </c>
      <c r="K146" t="s">
        <v>114</v>
      </c>
      <c r="L146" s="1">
        <v>46143</v>
      </c>
      <c r="M146" s="1">
        <v>46173</v>
      </c>
      <c r="N146">
        <v>1.118E-7</v>
      </c>
      <c r="O146" t="s">
        <v>56</v>
      </c>
      <c r="P146" t="s">
        <v>63</v>
      </c>
      <c r="Q146" t="s">
        <v>1366</v>
      </c>
      <c r="R146" t="s">
        <v>1372</v>
      </c>
      <c r="S146" t="s">
        <v>67</v>
      </c>
      <c r="T146" t="s">
        <v>1510</v>
      </c>
      <c r="U146" t="s">
        <v>1650</v>
      </c>
      <c r="V146">
        <v>16</v>
      </c>
      <c r="W146" s="2">
        <v>1.3726179999999999E-4</v>
      </c>
    </row>
    <row r="147" spans="1:23" x14ac:dyDescent="0.25">
      <c r="A147" t="s">
        <v>31</v>
      </c>
      <c r="B147" t="s">
        <v>32</v>
      </c>
      <c r="C147" t="s">
        <v>33</v>
      </c>
      <c r="D147" t="s">
        <v>34</v>
      </c>
      <c r="E147" t="s">
        <v>35</v>
      </c>
      <c r="F147" t="s">
        <v>36</v>
      </c>
      <c r="G147">
        <v>1141685</v>
      </c>
      <c r="H147" t="s">
        <v>79</v>
      </c>
      <c r="I147" t="s">
        <v>94</v>
      </c>
      <c r="J147" t="s">
        <v>101</v>
      </c>
      <c r="K147" t="s">
        <v>114</v>
      </c>
      <c r="L147" s="1">
        <v>46143</v>
      </c>
      <c r="M147" s="1">
        <v>46173</v>
      </c>
      <c r="N147">
        <v>5.6690820000000004E-4</v>
      </c>
      <c r="O147" t="s">
        <v>56</v>
      </c>
      <c r="P147" t="s">
        <v>63</v>
      </c>
      <c r="Q147" t="s">
        <v>1366</v>
      </c>
      <c r="R147" t="s">
        <v>1371</v>
      </c>
      <c r="S147" t="s">
        <v>67</v>
      </c>
      <c r="T147" t="s">
        <v>1511</v>
      </c>
      <c r="U147" t="s">
        <v>1651</v>
      </c>
      <c r="V147">
        <v>16</v>
      </c>
      <c r="W147" s="2">
        <v>0.78627569249999996</v>
      </c>
    </row>
    <row r="148" spans="1:23" x14ac:dyDescent="0.25">
      <c r="A148" t="s">
        <v>31</v>
      </c>
      <c r="B148" t="s">
        <v>32</v>
      </c>
      <c r="C148" t="s">
        <v>33</v>
      </c>
      <c r="D148" t="s">
        <v>34</v>
      </c>
      <c r="E148" t="s">
        <v>35</v>
      </c>
      <c r="F148" t="s">
        <v>36</v>
      </c>
      <c r="G148">
        <v>1141685</v>
      </c>
      <c r="H148" t="s">
        <v>79</v>
      </c>
      <c r="I148" t="s">
        <v>94</v>
      </c>
      <c r="J148" t="s">
        <v>101</v>
      </c>
      <c r="K148" t="s">
        <v>114</v>
      </c>
      <c r="L148" s="1">
        <v>46143</v>
      </c>
      <c r="M148" s="1">
        <v>46173</v>
      </c>
      <c r="N148">
        <v>6.7287499999999997E-4</v>
      </c>
      <c r="O148" t="s">
        <v>56</v>
      </c>
      <c r="P148" t="s">
        <v>63</v>
      </c>
      <c r="Q148" t="s">
        <v>1366</v>
      </c>
      <c r="R148" t="s">
        <v>1372</v>
      </c>
      <c r="S148" t="s">
        <v>67</v>
      </c>
      <c r="T148" t="s">
        <v>1512</v>
      </c>
      <c r="U148" t="s">
        <v>1652</v>
      </c>
      <c r="V148">
        <v>15</v>
      </c>
      <c r="W148" s="2">
        <v>0.93642396370000003</v>
      </c>
    </row>
    <row r="149" spans="1:23" x14ac:dyDescent="0.25">
      <c r="A149" t="s">
        <v>31</v>
      </c>
      <c r="B149" t="s">
        <v>32</v>
      </c>
      <c r="C149" t="s">
        <v>33</v>
      </c>
      <c r="D149" t="s">
        <v>34</v>
      </c>
      <c r="E149" t="s">
        <v>35</v>
      </c>
      <c r="F149" t="s">
        <v>36</v>
      </c>
      <c r="G149">
        <v>1141685</v>
      </c>
      <c r="H149" t="s">
        <v>81</v>
      </c>
      <c r="I149" t="s">
        <v>97</v>
      </c>
      <c r="J149" t="s">
        <v>102</v>
      </c>
      <c r="K149" t="s">
        <v>117</v>
      </c>
      <c r="L149" s="1">
        <v>46143</v>
      </c>
      <c r="M149" s="1">
        <v>46173</v>
      </c>
      <c r="N149">
        <v>4</v>
      </c>
      <c r="O149" t="s">
        <v>58</v>
      </c>
      <c r="P149" t="s">
        <v>63</v>
      </c>
      <c r="Q149" t="s">
        <v>1368</v>
      </c>
      <c r="R149" t="s">
        <v>1373</v>
      </c>
      <c r="S149" t="s">
        <v>67</v>
      </c>
      <c r="T149" t="s">
        <v>70</v>
      </c>
      <c r="U149" t="s">
        <v>73</v>
      </c>
      <c r="V149">
        <v>6</v>
      </c>
      <c r="W149" s="2">
        <v>0</v>
      </c>
    </row>
    <row r="150" spans="1:23" x14ac:dyDescent="0.25">
      <c r="A150" t="s">
        <v>31</v>
      </c>
      <c r="B150" t="s">
        <v>32</v>
      </c>
      <c r="C150" t="s">
        <v>33</v>
      </c>
      <c r="D150" t="s">
        <v>34</v>
      </c>
      <c r="E150" t="s">
        <v>35</v>
      </c>
      <c r="F150" t="s">
        <v>36</v>
      </c>
      <c r="G150">
        <v>1141685</v>
      </c>
      <c r="H150" t="s">
        <v>81</v>
      </c>
      <c r="I150" t="s">
        <v>97</v>
      </c>
      <c r="J150" t="s">
        <v>102</v>
      </c>
      <c r="K150" t="s">
        <v>117</v>
      </c>
      <c r="L150" s="1">
        <v>46143</v>
      </c>
      <c r="M150" s="1">
        <v>46173</v>
      </c>
      <c r="N150">
        <v>434</v>
      </c>
      <c r="O150" t="s">
        <v>58</v>
      </c>
      <c r="P150" t="s">
        <v>63</v>
      </c>
      <c r="Q150" t="s">
        <v>1368</v>
      </c>
      <c r="R150" t="s">
        <v>1373</v>
      </c>
      <c r="S150" t="s">
        <v>67</v>
      </c>
      <c r="T150" t="s">
        <v>70</v>
      </c>
      <c r="U150" t="s">
        <v>73</v>
      </c>
      <c r="V150">
        <v>6</v>
      </c>
      <c r="W150" s="2">
        <v>0</v>
      </c>
    </row>
    <row r="151" spans="1:23" x14ac:dyDescent="0.25">
      <c r="A151" t="s">
        <v>31</v>
      </c>
      <c r="B151" t="s">
        <v>32</v>
      </c>
      <c r="C151" t="s">
        <v>33</v>
      </c>
      <c r="D151" t="s">
        <v>34</v>
      </c>
      <c r="E151" t="s">
        <v>35</v>
      </c>
      <c r="F151" t="s">
        <v>36</v>
      </c>
      <c r="G151">
        <v>1141685</v>
      </c>
      <c r="H151" t="s">
        <v>76</v>
      </c>
      <c r="I151" t="s">
        <v>95</v>
      </c>
      <c r="J151" t="s">
        <v>99</v>
      </c>
      <c r="K151" t="s">
        <v>109</v>
      </c>
      <c r="L151" s="1">
        <v>46143</v>
      </c>
      <c r="M151" s="1">
        <v>46173</v>
      </c>
      <c r="N151">
        <v>0.98335300000000003</v>
      </c>
      <c r="O151" t="s">
        <v>58</v>
      </c>
      <c r="P151" t="s">
        <v>63</v>
      </c>
      <c r="Q151" t="s">
        <v>1367</v>
      </c>
      <c r="R151" t="s">
        <v>1372</v>
      </c>
      <c r="S151" t="s">
        <v>67</v>
      </c>
      <c r="T151" t="s">
        <v>1396</v>
      </c>
      <c r="U151" t="s">
        <v>1536</v>
      </c>
      <c r="V151">
        <v>15</v>
      </c>
      <c r="W151" s="2">
        <v>0</v>
      </c>
    </row>
    <row r="152" spans="1:23" x14ac:dyDescent="0.25">
      <c r="A152" t="s">
        <v>31</v>
      </c>
      <c r="B152" t="s">
        <v>32</v>
      </c>
      <c r="C152" t="s">
        <v>33</v>
      </c>
      <c r="D152" t="s">
        <v>34</v>
      </c>
      <c r="E152" t="s">
        <v>35</v>
      </c>
      <c r="F152" t="s">
        <v>36</v>
      </c>
      <c r="G152">
        <v>1141685</v>
      </c>
      <c r="H152" t="s">
        <v>76</v>
      </c>
      <c r="I152" t="s">
        <v>95</v>
      </c>
      <c r="J152" t="s">
        <v>99</v>
      </c>
      <c r="K152" t="s">
        <v>109</v>
      </c>
      <c r="L152" s="1">
        <v>46143</v>
      </c>
      <c r="M152" s="1">
        <v>46173</v>
      </c>
      <c r="N152">
        <v>354.78323899999998</v>
      </c>
      <c r="O152" t="s">
        <v>58</v>
      </c>
      <c r="P152" t="s">
        <v>63</v>
      </c>
      <c r="Q152" t="s">
        <v>1367</v>
      </c>
      <c r="R152" t="s">
        <v>1372</v>
      </c>
      <c r="S152" t="s">
        <v>67</v>
      </c>
      <c r="T152" t="s">
        <v>1403</v>
      </c>
      <c r="U152" t="s">
        <v>1543</v>
      </c>
      <c r="V152">
        <v>16</v>
      </c>
      <c r="W152" s="2">
        <v>0</v>
      </c>
    </row>
    <row r="153" spans="1:23" x14ac:dyDescent="0.25">
      <c r="A153" t="s">
        <v>31</v>
      </c>
      <c r="B153" t="s">
        <v>32</v>
      </c>
      <c r="C153" t="s">
        <v>33</v>
      </c>
      <c r="D153" t="s">
        <v>34</v>
      </c>
      <c r="E153" t="s">
        <v>35</v>
      </c>
      <c r="F153" t="s">
        <v>36</v>
      </c>
      <c r="G153">
        <v>1141685</v>
      </c>
      <c r="H153" t="s">
        <v>76</v>
      </c>
      <c r="I153" t="s">
        <v>95</v>
      </c>
      <c r="J153" t="s">
        <v>99</v>
      </c>
      <c r="K153" t="s">
        <v>109</v>
      </c>
      <c r="L153" s="1">
        <v>46143</v>
      </c>
      <c r="M153" s="1">
        <v>46173</v>
      </c>
      <c r="N153">
        <v>2.950056</v>
      </c>
      <c r="O153" t="s">
        <v>58</v>
      </c>
      <c r="P153" t="s">
        <v>63</v>
      </c>
      <c r="Q153" t="s">
        <v>1367</v>
      </c>
      <c r="R153" t="s">
        <v>1370</v>
      </c>
      <c r="S153" t="s">
        <v>67</v>
      </c>
      <c r="T153" t="s">
        <v>1394</v>
      </c>
      <c r="U153" t="s">
        <v>1534</v>
      </c>
      <c r="V153">
        <v>16</v>
      </c>
      <c r="W153" s="2">
        <v>0</v>
      </c>
    </row>
    <row r="154" spans="1:23" x14ac:dyDescent="0.25">
      <c r="A154" t="s">
        <v>31</v>
      </c>
      <c r="B154" t="s">
        <v>32</v>
      </c>
      <c r="C154" t="s">
        <v>33</v>
      </c>
      <c r="D154" t="s">
        <v>34</v>
      </c>
      <c r="E154" t="s">
        <v>35</v>
      </c>
      <c r="F154" t="s">
        <v>36</v>
      </c>
      <c r="G154">
        <v>1141685</v>
      </c>
      <c r="H154" t="s">
        <v>76</v>
      </c>
      <c r="I154" t="s">
        <v>95</v>
      </c>
      <c r="J154" t="s">
        <v>99</v>
      </c>
      <c r="K154" t="s">
        <v>109</v>
      </c>
      <c r="L154" s="1">
        <v>46143</v>
      </c>
      <c r="M154" s="1">
        <v>46173</v>
      </c>
      <c r="N154">
        <v>169</v>
      </c>
      <c r="O154" t="s">
        <v>58</v>
      </c>
      <c r="P154" t="s">
        <v>63</v>
      </c>
      <c r="Q154" t="s">
        <v>1367</v>
      </c>
      <c r="R154" t="s">
        <v>1370</v>
      </c>
      <c r="S154" t="s">
        <v>67</v>
      </c>
      <c r="T154" t="s">
        <v>1394</v>
      </c>
      <c r="U154" t="s">
        <v>1534</v>
      </c>
      <c r="V154">
        <v>16</v>
      </c>
      <c r="W154" s="2">
        <v>0</v>
      </c>
    </row>
    <row r="155" spans="1:23" x14ac:dyDescent="0.25">
      <c r="A155" t="s">
        <v>31</v>
      </c>
      <c r="B155" t="s">
        <v>32</v>
      </c>
      <c r="C155" t="s">
        <v>33</v>
      </c>
      <c r="D155" t="s">
        <v>34</v>
      </c>
      <c r="E155" t="s">
        <v>35</v>
      </c>
      <c r="F155" t="s">
        <v>36</v>
      </c>
      <c r="G155">
        <v>1141685</v>
      </c>
      <c r="H155" t="s">
        <v>76</v>
      </c>
      <c r="I155" t="s">
        <v>95</v>
      </c>
      <c r="J155" t="s">
        <v>99</v>
      </c>
      <c r="K155" t="s">
        <v>109</v>
      </c>
      <c r="L155" s="1">
        <v>46143</v>
      </c>
      <c r="M155" s="1">
        <v>46173</v>
      </c>
      <c r="N155">
        <v>134</v>
      </c>
      <c r="O155" t="s">
        <v>58</v>
      </c>
      <c r="P155" t="s">
        <v>63</v>
      </c>
      <c r="Q155" t="s">
        <v>1367</v>
      </c>
      <c r="R155" t="s">
        <v>1370</v>
      </c>
      <c r="S155" t="s">
        <v>67</v>
      </c>
      <c r="T155" t="s">
        <v>1465</v>
      </c>
      <c r="U155" t="s">
        <v>1605</v>
      </c>
      <c r="V155">
        <v>15</v>
      </c>
      <c r="W155" s="2">
        <v>0</v>
      </c>
    </row>
    <row r="156" spans="1:23" x14ac:dyDescent="0.25">
      <c r="A156" t="s">
        <v>31</v>
      </c>
      <c r="B156" t="s">
        <v>32</v>
      </c>
      <c r="C156" t="s">
        <v>33</v>
      </c>
      <c r="D156" t="s">
        <v>34</v>
      </c>
      <c r="E156" t="s">
        <v>35</v>
      </c>
      <c r="F156" t="s">
        <v>36</v>
      </c>
      <c r="G156">
        <v>1141685</v>
      </c>
      <c r="H156" t="s">
        <v>81</v>
      </c>
      <c r="I156" t="s">
        <v>97</v>
      </c>
      <c r="J156" t="s">
        <v>102</v>
      </c>
      <c r="K156" t="s">
        <v>117</v>
      </c>
      <c r="L156" s="1">
        <v>46143</v>
      </c>
      <c r="M156" s="1">
        <v>46173</v>
      </c>
      <c r="N156">
        <v>2104</v>
      </c>
      <c r="O156" t="s">
        <v>58</v>
      </c>
      <c r="P156" t="s">
        <v>63</v>
      </c>
      <c r="Q156" t="s">
        <v>1368</v>
      </c>
      <c r="R156" t="s">
        <v>1373</v>
      </c>
      <c r="S156" t="s">
        <v>67</v>
      </c>
      <c r="T156" t="s">
        <v>70</v>
      </c>
      <c r="U156" t="s">
        <v>73</v>
      </c>
      <c r="V156">
        <v>6</v>
      </c>
      <c r="W156" s="2">
        <v>0</v>
      </c>
    </row>
    <row r="157" spans="1:23" x14ac:dyDescent="0.25">
      <c r="A157" t="s">
        <v>31</v>
      </c>
      <c r="B157" t="s">
        <v>32</v>
      </c>
      <c r="C157" t="s">
        <v>33</v>
      </c>
      <c r="D157" t="s">
        <v>34</v>
      </c>
      <c r="E157" t="s">
        <v>35</v>
      </c>
      <c r="F157" t="s">
        <v>36</v>
      </c>
      <c r="G157">
        <v>1141685</v>
      </c>
      <c r="H157" t="s">
        <v>80</v>
      </c>
      <c r="I157" t="s">
        <v>96</v>
      </c>
      <c r="J157" t="s">
        <v>80</v>
      </c>
      <c r="K157" t="s">
        <v>122</v>
      </c>
      <c r="L157" s="1">
        <v>46143</v>
      </c>
      <c r="M157" s="1">
        <v>46173</v>
      </c>
      <c r="N157">
        <v>0.61200672290000002</v>
      </c>
      <c r="O157" t="s">
        <v>56</v>
      </c>
      <c r="P157" t="s">
        <v>63</v>
      </c>
      <c r="Q157" t="s">
        <v>1366</v>
      </c>
      <c r="R157" t="s">
        <v>1370</v>
      </c>
      <c r="S157" t="s">
        <v>67</v>
      </c>
      <c r="T157" t="s">
        <v>1513</v>
      </c>
      <c r="U157" t="s">
        <v>1653</v>
      </c>
      <c r="V157">
        <v>16</v>
      </c>
      <c r="W157" s="2">
        <v>106.7682097382</v>
      </c>
    </row>
    <row r="158" spans="1:23" x14ac:dyDescent="0.25">
      <c r="A158" t="s">
        <v>31</v>
      </c>
      <c r="B158" t="s">
        <v>32</v>
      </c>
      <c r="C158" t="s">
        <v>33</v>
      </c>
      <c r="D158" t="s">
        <v>34</v>
      </c>
      <c r="E158" t="s">
        <v>35</v>
      </c>
      <c r="F158" t="s">
        <v>36</v>
      </c>
      <c r="G158">
        <v>1141685</v>
      </c>
      <c r="H158" t="s">
        <v>80</v>
      </c>
      <c r="I158" t="s">
        <v>96</v>
      </c>
      <c r="J158" t="s">
        <v>80</v>
      </c>
      <c r="K158" t="s">
        <v>122</v>
      </c>
      <c r="L158" s="1">
        <v>46143</v>
      </c>
      <c r="M158" s="1">
        <v>46173</v>
      </c>
      <c r="N158">
        <v>0.14536563399999999</v>
      </c>
      <c r="O158" t="s">
        <v>56</v>
      </c>
      <c r="P158" t="s">
        <v>63</v>
      </c>
      <c r="Q158" t="s">
        <v>1366</v>
      </c>
      <c r="R158" t="s">
        <v>1370</v>
      </c>
      <c r="S158" t="s">
        <v>67</v>
      </c>
      <c r="T158" t="s">
        <v>1514</v>
      </c>
      <c r="U158" t="s">
        <v>1654</v>
      </c>
      <c r="V158">
        <v>15</v>
      </c>
      <c r="W158" s="2">
        <v>25.357229886199999</v>
      </c>
    </row>
    <row r="159" spans="1:23" x14ac:dyDescent="0.25">
      <c r="A159" t="s">
        <v>31</v>
      </c>
      <c r="B159" t="s">
        <v>32</v>
      </c>
      <c r="C159" t="s">
        <v>33</v>
      </c>
      <c r="D159" t="s">
        <v>34</v>
      </c>
      <c r="E159" t="s">
        <v>35</v>
      </c>
      <c r="F159" t="s">
        <v>36</v>
      </c>
      <c r="G159">
        <v>1141685</v>
      </c>
      <c r="H159" t="s">
        <v>79</v>
      </c>
      <c r="I159" t="s">
        <v>94</v>
      </c>
      <c r="J159" t="s">
        <v>101</v>
      </c>
      <c r="K159" t="s">
        <v>116</v>
      </c>
      <c r="L159" s="1">
        <v>46143</v>
      </c>
      <c r="M159" s="1">
        <v>46173</v>
      </c>
      <c r="N159">
        <v>0.97731943610000005</v>
      </c>
      <c r="O159" t="s">
        <v>56</v>
      </c>
      <c r="P159" t="s">
        <v>63</v>
      </c>
      <c r="Q159" t="s">
        <v>1366</v>
      </c>
      <c r="R159" t="s">
        <v>1370</v>
      </c>
      <c r="S159" t="s">
        <v>67</v>
      </c>
      <c r="T159" t="s">
        <v>1515</v>
      </c>
      <c r="U159" t="s">
        <v>1655</v>
      </c>
      <c r="V159">
        <v>16</v>
      </c>
      <c r="W159" s="2">
        <v>1364.0221677648001</v>
      </c>
    </row>
    <row r="160" spans="1:23" x14ac:dyDescent="0.25">
      <c r="A160" t="s">
        <v>31</v>
      </c>
      <c r="B160" t="s">
        <v>32</v>
      </c>
      <c r="C160" t="s">
        <v>33</v>
      </c>
      <c r="D160" t="s">
        <v>34</v>
      </c>
      <c r="E160" t="s">
        <v>35</v>
      </c>
      <c r="F160" t="s">
        <v>36</v>
      </c>
      <c r="G160">
        <v>1141685</v>
      </c>
      <c r="H160" t="s">
        <v>79</v>
      </c>
      <c r="I160" t="s">
        <v>94</v>
      </c>
      <c r="J160" t="s">
        <v>101</v>
      </c>
      <c r="K160" t="s">
        <v>114</v>
      </c>
      <c r="L160" s="1">
        <v>46143</v>
      </c>
      <c r="M160" s="1">
        <v>46173</v>
      </c>
      <c r="N160">
        <v>2.1445385935000001</v>
      </c>
      <c r="O160" t="s">
        <v>56</v>
      </c>
      <c r="P160" t="s">
        <v>63</v>
      </c>
      <c r="Q160" t="s">
        <v>1366</v>
      </c>
      <c r="R160" t="s">
        <v>1370</v>
      </c>
      <c r="S160" t="s">
        <v>67</v>
      </c>
      <c r="T160" t="s">
        <v>1516</v>
      </c>
      <c r="U160" t="s">
        <v>1656</v>
      </c>
      <c r="V160">
        <v>16</v>
      </c>
      <c r="W160" s="2">
        <v>2993.0888692469998</v>
      </c>
    </row>
    <row r="161" spans="1:23" x14ac:dyDescent="0.25">
      <c r="A161" t="s">
        <v>31</v>
      </c>
      <c r="B161" t="s">
        <v>32</v>
      </c>
      <c r="C161" t="s">
        <v>33</v>
      </c>
      <c r="D161" t="s">
        <v>34</v>
      </c>
      <c r="E161" t="s">
        <v>35</v>
      </c>
      <c r="F161" t="s">
        <v>36</v>
      </c>
      <c r="G161">
        <v>1141685</v>
      </c>
      <c r="H161" t="s">
        <v>79</v>
      </c>
      <c r="I161" t="s">
        <v>94</v>
      </c>
      <c r="J161" t="s">
        <v>101</v>
      </c>
      <c r="K161" t="s">
        <v>114</v>
      </c>
      <c r="L161" s="1">
        <v>46143</v>
      </c>
      <c r="M161" s="1">
        <v>46173</v>
      </c>
      <c r="N161">
        <v>0.1433215998</v>
      </c>
      <c r="O161" t="s">
        <v>56</v>
      </c>
      <c r="P161" t="s">
        <v>63</v>
      </c>
      <c r="Q161" t="s">
        <v>1366</v>
      </c>
      <c r="R161" t="s">
        <v>1372</v>
      </c>
      <c r="S161" t="s">
        <v>67</v>
      </c>
      <c r="T161" t="s">
        <v>1517</v>
      </c>
      <c r="U161" t="s">
        <v>1657</v>
      </c>
      <c r="V161">
        <v>16</v>
      </c>
      <c r="W161" s="2">
        <v>200.0273595717</v>
      </c>
    </row>
    <row r="162" spans="1:23" x14ac:dyDescent="0.25">
      <c r="A162" t="s">
        <v>31</v>
      </c>
      <c r="B162" t="s">
        <v>32</v>
      </c>
      <c r="C162" t="s">
        <v>33</v>
      </c>
      <c r="D162" t="s">
        <v>34</v>
      </c>
      <c r="E162" t="s">
        <v>35</v>
      </c>
      <c r="F162" t="s">
        <v>36</v>
      </c>
      <c r="G162">
        <v>1141685</v>
      </c>
      <c r="H162" t="s">
        <v>76</v>
      </c>
      <c r="I162" t="s">
        <v>95</v>
      </c>
      <c r="J162" t="s">
        <v>99</v>
      </c>
      <c r="K162" t="s">
        <v>109</v>
      </c>
      <c r="L162" s="1">
        <v>46143</v>
      </c>
      <c r="M162" s="1">
        <v>46173</v>
      </c>
      <c r="N162">
        <v>2.950059</v>
      </c>
      <c r="O162" t="s">
        <v>58</v>
      </c>
      <c r="P162" t="s">
        <v>63</v>
      </c>
      <c r="Q162" t="s">
        <v>1367</v>
      </c>
      <c r="R162" t="s">
        <v>1370</v>
      </c>
      <c r="S162" t="s">
        <v>67</v>
      </c>
      <c r="T162" t="s">
        <v>1465</v>
      </c>
      <c r="U162" t="s">
        <v>1605</v>
      </c>
      <c r="V162">
        <v>15</v>
      </c>
      <c r="W162" s="2">
        <v>0</v>
      </c>
    </row>
    <row r="163" spans="1:23" x14ac:dyDescent="0.25">
      <c r="A163" t="s">
        <v>31</v>
      </c>
      <c r="B163" t="s">
        <v>32</v>
      </c>
      <c r="C163" t="s">
        <v>33</v>
      </c>
      <c r="D163" t="s">
        <v>34</v>
      </c>
      <c r="E163" t="s">
        <v>35</v>
      </c>
      <c r="F163" t="s">
        <v>36</v>
      </c>
      <c r="G163">
        <v>1141685</v>
      </c>
      <c r="H163" t="s">
        <v>76</v>
      </c>
      <c r="I163" t="s">
        <v>95</v>
      </c>
      <c r="J163" t="s">
        <v>99</v>
      </c>
      <c r="K163" t="s">
        <v>109</v>
      </c>
      <c r="L163" s="1">
        <v>46143</v>
      </c>
      <c r="M163" s="1">
        <v>46173</v>
      </c>
      <c r="N163">
        <v>75.983351999999996</v>
      </c>
      <c r="O163" t="s">
        <v>58</v>
      </c>
      <c r="P163" t="s">
        <v>63</v>
      </c>
      <c r="Q163" t="s">
        <v>1367</v>
      </c>
      <c r="R163" t="s">
        <v>1371</v>
      </c>
      <c r="S163" t="s">
        <v>67</v>
      </c>
      <c r="T163" t="s">
        <v>1395</v>
      </c>
      <c r="U163" t="s">
        <v>1535</v>
      </c>
      <c r="V163">
        <v>17</v>
      </c>
      <c r="W163" s="2">
        <v>0</v>
      </c>
    </row>
    <row r="164" spans="1:23" x14ac:dyDescent="0.25">
      <c r="A164" t="s">
        <v>31</v>
      </c>
      <c r="B164" t="s">
        <v>32</v>
      </c>
      <c r="C164" t="s">
        <v>33</v>
      </c>
      <c r="D164" t="s">
        <v>34</v>
      </c>
      <c r="E164" t="s">
        <v>35</v>
      </c>
      <c r="F164" t="s">
        <v>36</v>
      </c>
      <c r="G164">
        <v>1141685</v>
      </c>
      <c r="H164" t="s">
        <v>76</v>
      </c>
      <c r="I164" t="s">
        <v>95</v>
      </c>
      <c r="J164" t="s">
        <v>99</v>
      </c>
      <c r="K164" t="s">
        <v>109</v>
      </c>
      <c r="L164" s="1">
        <v>46143</v>
      </c>
      <c r="M164" s="1">
        <v>46173</v>
      </c>
      <c r="N164">
        <v>167</v>
      </c>
      <c r="O164" t="s">
        <v>58</v>
      </c>
      <c r="P164" t="s">
        <v>63</v>
      </c>
      <c r="Q164" t="s">
        <v>1367</v>
      </c>
      <c r="R164" t="s">
        <v>1370</v>
      </c>
      <c r="S164" t="s">
        <v>67</v>
      </c>
      <c r="T164" t="s">
        <v>1394</v>
      </c>
      <c r="U164" t="s">
        <v>1534</v>
      </c>
      <c r="V164">
        <v>16</v>
      </c>
      <c r="W164" s="2">
        <v>0</v>
      </c>
    </row>
    <row r="165" spans="1:23" x14ac:dyDescent="0.25">
      <c r="A165" t="s">
        <v>31</v>
      </c>
      <c r="B165" t="s">
        <v>32</v>
      </c>
      <c r="C165" t="s">
        <v>33</v>
      </c>
      <c r="D165" t="s">
        <v>34</v>
      </c>
      <c r="E165" t="s">
        <v>35</v>
      </c>
      <c r="F165" t="s">
        <v>36</v>
      </c>
      <c r="G165">
        <v>1141685</v>
      </c>
      <c r="H165" t="s">
        <v>77</v>
      </c>
      <c r="I165" t="s">
        <v>96</v>
      </c>
      <c r="J165" t="s">
        <v>77</v>
      </c>
      <c r="K165" t="s">
        <v>113</v>
      </c>
      <c r="L165" s="1">
        <v>46143</v>
      </c>
      <c r="M165" s="1">
        <v>46173</v>
      </c>
      <c r="N165">
        <v>91.071308877299998</v>
      </c>
      <c r="O165" t="s">
        <v>56</v>
      </c>
      <c r="P165" t="s">
        <v>63</v>
      </c>
      <c r="Q165" t="s">
        <v>1366</v>
      </c>
      <c r="R165" t="s">
        <v>1370</v>
      </c>
      <c r="S165" t="s">
        <v>67</v>
      </c>
      <c r="T165" t="s">
        <v>1518</v>
      </c>
      <c r="U165" t="s">
        <v>1658</v>
      </c>
      <c r="V165">
        <v>16</v>
      </c>
      <c r="W165" s="2">
        <v>15888.3044811286</v>
      </c>
    </row>
    <row r="166" spans="1:23" x14ac:dyDescent="0.25">
      <c r="A166" t="s">
        <v>31</v>
      </c>
      <c r="B166" t="s">
        <v>32</v>
      </c>
      <c r="C166" t="s">
        <v>33</v>
      </c>
      <c r="D166" t="s">
        <v>34</v>
      </c>
      <c r="E166" t="s">
        <v>35</v>
      </c>
      <c r="F166" t="s">
        <v>36</v>
      </c>
      <c r="G166">
        <v>1141685</v>
      </c>
      <c r="H166" t="s">
        <v>77</v>
      </c>
      <c r="I166" t="s">
        <v>96</v>
      </c>
      <c r="J166" t="s">
        <v>77</v>
      </c>
      <c r="K166" t="s">
        <v>111</v>
      </c>
      <c r="L166" s="1">
        <v>46143</v>
      </c>
      <c r="M166" s="1">
        <v>46173</v>
      </c>
      <c r="N166">
        <v>2.4408006137</v>
      </c>
      <c r="O166" t="s">
        <v>56</v>
      </c>
      <c r="P166" t="s">
        <v>63</v>
      </c>
      <c r="Q166" t="s">
        <v>1366</v>
      </c>
      <c r="R166" t="s">
        <v>1372</v>
      </c>
      <c r="S166" t="s">
        <v>67</v>
      </c>
      <c r="T166" t="s">
        <v>1519</v>
      </c>
      <c r="U166" t="s">
        <v>1659</v>
      </c>
      <c r="V166">
        <v>16</v>
      </c>
      <c r="W166" s="2">
        <v>425.82342605939999</v>
      </c>
    </row>
    <row r="167" spans="1:23" x14ac:dyDescent="0.25">
      <c r="A167" t="s">
        <v>31</v>
      </c>
      <c r="B167" t="s">
        <v>32</v>
      </c>
      <c r="C167" t="s">
        <v>33</v>
      </c>
      <c r="D167" t="s">
        <v>34</v>
      </c>
      <c r="E167" t="s">
        <v>35</v>
      </c>
      <c r="F167" t="s">
        <v>36</v>
      </c>
      <c r="G167">
        <v>1141685</v>
      </c>
      <c r="H167" t="s">
        <v>77</v>
      </c>
      <c r="I167" t="s">
        <v>96</v>
      </c>
      <c r="J167" t="s">
        <v>77</v>
      </c>
      <c r="K167" t="s">
        <v>111</v>
      </c>
      <c r="L167" s="1">
        <v>46143</v>
      </c>
      <c r="M167" s="1">
        <v>46173</v>
      </c>
      <c r="N167">
        <v>25.7445890224</v>
      </c>
      <c r="O167" t="s">
        <v>56</v>
      </c>
      <c r="P167" t="s">
        <v>63</v>
      </c>
      <c r="Q167" t="s">
        <v>1366</v>
      </c>
      <c r="R167" t="s">
        <v>1370</v>
      </c>
      <c r="S167" t="s">
        <v>67</v>
      </c>
      <c r="T167" t="s">
        <v>1520</v>
      </c>
      <c r="U167" t="s">
        <v>1660</v>
      </c>
      <c r="V167">
        <v>16</v>
      </c>
      <c r="W167" s="2">
        <v>4491.4028807375998</v>
      </c>
    </row>
    <row r="168" spans="1:23" x14ac:dyDescent="0.25">
      <c r="A168" t="s">
        <v>31</v>
      </c>
      <c r="B168" t="s">
        <v>32</v>
      </c>
      <c r="C168" t="s">
        <v>33</v>
      </c>
      <c r="D168" t="s">
        <v>34</v>
      </c>
      <c r="E168" t="s">
        <v>35</v>
      </c>
      <c r="F168" t="s">
        <v>36</v>
      </c>
      <c r="G168">
        <v>1141685</v>
      </c>
      <c r="H168" t="s">
        <v>79</v>
      </c>
      <c r="I168" t="s">
        <v>94</v>
      </c>
      <c r="J168" t="s">
        <v>101</v>
      </c>
      <c r="K168" t="s">
        <v>114</v>
      </c>
      <c r="L168" s="1">
        <v>46143</v>
      </c>
      <c r="M168" s="1">
        <v>46173</v>
      </c>
      <c r="N168">
        <v>0.1008830657</v>
      </c>
      <c r="O168" t="s">
        <v>56</v>
      </c>
      <c r="P168" t="s">
        <v>63</v>
      </c>
      <c r="Q168" t="s">
        <v>1366</v>
      </c>
      <c r="R168" t="s">
        <v>1370</v>
      </c>
      <c r="S168" t="s">
        <v>67</v>
      </c>
      <c r="T168" t="s">
        <v>1521</v>
      </c>
      <c r="U168" t="s">
        <v>1661</v>
      </c>
      <c r="V168">
        <v>15</v>
      </c>
      <c r="W168" s="2">
        <v>140.80441990750001</v>
      </c>
    </row>
    <row r="169" spans="1:23" x14ac:dyDescent="0.25">
      <c r="A169" t="s">
        <v>31</v>
      </c>
      <c r="B169" t="s">
        <v>32</v>
      </c>
      <c r="C169" t="s">
        <v>33</v>
      </c>
      <c r="D169" t="s">
        <v>34</v>
      </c>
      <c r="E169" t="s">
        <v>35</v>
      </c>
      <c r="F169" t="s">
        <v>36</v>
      </c>
      <c r="G169">
        <v>1141685</v>
      </c>
      <c r="H169" t="s">
        <v>79</v>
      </c>
      <c r="I169" t="s">
        <v>94</v>
      </c>
      <c r="J169" t="s">
        <v>101</v>
      </c>
      <c r="K169" t="s">
        <v>114</v>
      </c>
      <c r="L169" s="1">
        <v>46143</v>
      </c>
      <c r="M169" s="1">
        <v>46173</v>
      </c>
      <c r="N169">
        <v>0.10914756170000001</v>
      </c>
      <c r="O169" t="s">
        <v>56</v>
      </c>
      <c r="P169" t="s">
        <v>63</v>
      </c>
      <c r="Q169" t="s">
        <v>1366</v>
      </c>
      <c r="R169" t="s">
        <v>1370</v>
      </c>
      <c r="S169" t="s">
        <v>67</v>
      </c>
      <c r="T169" t="s">
        <v>1522</v>
      </c>
      <c r="U169" t="s">
        <v>1662</v>
      </c>
      <c r="V169">
        <v>15</v>
      </c>
      <c r="W169" s="2">
        <v>152.3348606605</v>
      </c>
    </row>
    <row r="170" spans="1:23" x14ac:dyDescent="0.25">
      <c r="A170" t="s">
        <v>31</v>
      </c>
      <c r="B170" t="s">
        <v>32</v>
      </c>
      <c r="C170" t="s">
        <v>33</v>
      </c>
      <c r="D170" t="s">
        <v>34</v>
      </c>
      <c r="E170" t="s">
        <v>35</v>
      </c>
      <c r="F170" t="s">
        <v>36</v>
      </c>
      <c r="G170">
        <v>1141685</v>
      </c>
      <c r="H170" t="s">
        <v>77</v>
      </c>
      <c r="I170" t="s">
        <v>96</v>
      </c>
      <c r="J170" t="s">
        <v>77</v>
      </c>
      <c r="K170" t="s">
        <v>113</v>
      </c>
      <c r="L170" s="1">
        <v>46143</v>
      </c>
      <c r="M170" s="1">
        <v>46173</v>
      </c>
      <c r="N170">
        <v>0.78834311850000005</v>
      </c>
      <c r="O170" t="s">
        <v>56</v>
      </c>
      <c r="P170" t="s">
        <v>63</v>
      </c>
      <c r="Q170" t="s">
        <v>1366</v>
      </c>
      <c r="R170" t="s">
        <v>1372</v>
      </c>
      <c r="S170" t="s">
        <v>67</v>
      </c>
      <c r="T170" t="s">
        <v>1523</v>
      </c>
      <c r="U170" t="s">
        <v>1663</v>
      </c>
      <c r="V170">
        <v>15</v>
      </c>
      <c r="W170" s="2">
        <v>137.53021959930001</v>
      </c>
    </row>
    <row r="171" spans="1:23" x14ac:dyDescent="0.25">
      <c r="A171" t="s">
        <v>31</v>
      </c>
      <c r="B171" t="s">
        <v>32</v>
      </c>
      <c r="C171" t="s">
        <v>33</v>
      </c>
      <c r="D171" t="s">
        <v>34</v>
      </c>
      <c r="E171" t="s">
        <v>35</v>
      </c>
      <c r="F171" t="s">
        <v>36</v>
      </c>
      <c r="G171">
        <v>1141685</v>
      </c>
      <c r="H171" t="s">
        <v>77</v>
      </c>
      <c r="I171" t="s">
        <v>96</v>
      </c>
      <c r="J171" t="s">
        <v>77</v>
      </c>
      <c r="K171" t="s">
        <v>113</v>
      </c>
      <c r="L171" s="1">
        <v>46143</v>
      </c>
      <c r="M171" s="1">
        <v>46173</v>
      </c>
      <c r="N171">
        <v>219.36553175469999</v>
      </c>
      <c r="O171" t="s">
        <v>56</v>
      </c>
      <c r="P171" t="s">
        <v>63</v>
      </c>
      <c r="Q171" t="s">
        <v>1366</v>
      </c>
      <c r="R171" t="s">
        <v>1370</v>
      </c>
      <c r="S171" t="s">
        <v>67</v>
      </c>
      <c r="T171" t="s">
        <v>1524</v>
      </c>
      <c r="U171" t="s">
        <v>1664</v>
      </c>
      <c r="V171">
        <v>16</v>
      </c>
      <c r="W171" s="2">
        <v>38270.509389530896</v>
      </c>
    </row>
    <row r="172" spans="1:23" x14ac:dyDescent="0.25">
      <c r="A172" t="s">
        <v>31</v>
      </c>
      <c r="B172" t="s">
        <v>32</v>
      </c>
      <c r="C172" t="s">
        <v>33</v>
      </c>
      <c r="D172" t="s">
        <v>34</v>
      </c>
      <c r="E172" t="s">
        <v>35</v>
      </c>
      <c r="F172" t="s">
        <v>36</v>
      </c>
      <c r="G172">
        <v>1141685</v>
      </c>
      <c r="H172" t="s">
        <v>87</v>
      </c>
      <c r="I172" t="s">
        <v>87</v>
      </c>
      <c r="J172" t="s">
        <v>87</v>
      </c>
      <c r="K172" t="s">
        <v>125</v>
      </c>
      <c r="L172" s="1">
        <v>46143</v>
      </c>
      <c r="M172" s="1">
        <v>46173</v>
      </c>
      <c r="N172">
        <v>744</v>
      </c>
      <c r="O172" t="s">
        <v>58</v>
      </c>
      <c r="P172" t="s">
        <v>63</v>
      </c>
      <c r="Q172" t="s">
        <v>1366</v>
      </c>
      <c r="R172" t="s">
        <v>158</v>
      </c>
      <c r="S172" t="s">
        <v>67</v>
      </c>
      <c r="T172" t="s">
        <v>1525</v>
      </c>
      <c r="U172" t="s">
        <v>1665</v>
      </c>
      <c r="V172">
        <v>11</v>
      </c>
      <c r="W172" s="2">
        <v>324495.598</v>
      </c>
    </row>
    <row r="173" spans="1:23" x14ac:dyDescent="0.25">
      <c r="A173" t="s">
        <v>31</v>
      </c>
      <c r="B173" t="s">
        <v>32</v>
      </c>
      <c r="C173" t="s">
        <v>33</v>
      </c>
      <c r="D173" t="s">
        <v>34</v>
      </c>
      <c r="E173" t="s">
        <v>35</v>
      </c>
      <c r="F173" t="s">
        <v>36</v>
      </c>
      <c r="G173">
        <v>1141685</v>
      </c>
      <c r="H173" t="s">
        <v>75</v>
      </c>
      <c r="I173" t="s">
        <v>94</v>
      </c>
      <c r="J173" t="s">
        <v>98</v>
      </c>
      <c r="K173" t="s">
        <v>108</v>
      </c>
      <c r="L173" s="1">
        <v>46143</v>
      </c>
      <c r="M173" s="1">
        <v>46173</v>
      </c>
      <c r="N173">
        <v>1.0878677E-3</v>
      </c>
      <c r="O173" t="s">
        <v>56</v>
      </c>
      <c r="P173" t="s">
        <v>63</v>
      </c>
      <c r="Q173" t="s">
        <v>1366</v>
      </c>
      <c r="R173" t="s">
        <v>1372</v>
      </c>
      <c r="S173" t="s">
        <v>67</v>
      </c>
      <c r="T173" t="s">
        <v>1526</v>
      </c>
      <c r="U173" t="s">
        <v>1666</v>
      </c>
      <c r="V173">
        <v>16</v>
      </c>
      <c r="W173" s="2">
        <v>2.2741759695999999</v>
      </c>
    </row>
    <row r="174" spans="1:23" x14ac:dyDescent="0.25">
      <c r="A174" t="s">
        <v>31</v>
      </c>
      <c r="B174" t="s">
        <v>32</v>
      </c>
      <c r="C174" t="s">
        <v>33</v>
      </c>
      <c r="D174" t="s">
        <v>34</v>
      </c>
      <c r="E174" t="s">
        <v>35</v>
      </c>
      <c r="F174" t="s">
        <v>36</v>
      </c>
      <c r="G174">
        <v>1141685</v>
      </c>
      <c r="H174" t="s">
        <v>75</v>
      </c>
      <c r="I174" t="s">
        <v>94</v>
      </c>
      <c r="J174" t="s">
        <v>98</v>
      </c>
      <c r="K174" t="s">
        <v>108</v>
      </c>
      <c r="L174" s="1">
        <v>46143</v>
      </c>
      <c r="M174" s="1">
        <v>46173</v>
      </c>
      <c r="N174">
        <v>0.20351046140000001</v>
      </c>
      <c r="O174" t="s">
        <v>56</v>
      </c>
      <c r="P174" t="s">
        <v>63</v>
      </c>
      <c r="Q174" t="s">
        <v>1366</v>
      </c>
      <c r="R174" t="s">
        <v>1370</v>
      </c>
      <c r="S174" t="s">
        <v>67</v>
      </c>
      <c r="T174" t="s">
        <v>1527</v>
      </c>
      <c r="U174" t="s">
        <v>1667</v>
      </c>
      <c r="V174">
        <v>16</v>
      </c>
      <c r="W174" s="2">
        <v>426.05683456529999</v>
      </c>
    </row>
    <row r="175" spans="1:23" x14ac:dyDescent="0.25">
      <c r="A175" t="s">
        <v>31</v>
      </c>
      <c r="B175" t="s">
        <v>32</v>
      </c>
      <c r="C175" t="s">
        <v>33</v>
      </c>
      <c r="D175" t="s">
        <v>34</v>
      </c>
      <c r="E175" t="s">
        <v>35</v>
      </c>
      <c r="F175" t="s">
        <v>36</v>
      </c>
      <c r="G175">
        <v>1141685</v>
      </c>
      <c r="H175" t="s">
        <v>88</v>
      </c>
      <c r="I175" t="s">
        <v>88</v>
      </c>
      <c r="J175" t="s">
        <v>88</v>
      </c>
      <c r="K175" t="s">
        <v>126</v>
      </c>
      <c r="L175" s="1">
        <v>46143</v>
      </c>
      <c r="M175" s="1">
        <v>46173</v>
      </c>
      <c r="N175">
        <v>744</v>
      </c>
      <c r="O175" t="s">
        <v>58</v>
      </c>
      <c r="P175" t="s">
        <v>63</v>
      </c>
      <c r="Q175" t="s">
        <v>1368</v>
      </c>
      <c r="R175" t="s">
        <v>1374</v>
      </c>
      <c r="S175" t="s">
        <v>67</v>
      </c>
      <c r="T175" t="s">
        <v>1528</v>
      </c>
      <c r="U175" t="s">
        <v>1668</v>
      </c>
      <c r="V175">
        <v>6</v>
      </c>
      <c r="W175" s="2">
        <v>389394.72360000003</v>
      </c>
    </row>
    <row r="176" spans="1:23" x14ac:dyDescent="0.25">
      <c r="A176" t="s">
        <v>31</v>
      </c>
      <c r="B176" t="s">
        <v>32</v>
      </c>
      <c r="C176" t="s">
        <v>33</v>
      </c>
      <c r="D176" t="s">
        <v>34</v>
      </c>
      <c r="E176" t="s">
        <v>35</v>
      </c>
      <c r="F176" t="s">
        <v>36</v>
      </c>
      <c r="G176">
        <v>1141685</v>
      </c>
      <c r="H176" t="s">
        <v>76</v>
      </c>
      <c r="I176" t="s">
        <v>95</v>
      </c>
      <c r="J176" t="s">
        <v>99</v>
      </c>
      <c r="K176" t="s">
        <v>109</v>
      </c>
      <c r="L176" s="1">
        <v>46143</v>
      </c>
      <c r="M176" s="1">
        <v>46173</v>
      </c>
      <c r="N176">
        <v>361</v>
      </c>
      <c r="O176" t="s">
        <v>58</v>
      </c>
      <c r="P176" t="s">
        <v>63</v>
      </c>
      <c r="Q176" t="s">
        <v>1367</v>
      </c>
      <c r="R176" t="s">
        <v>1370</v>
      </c>
      <c r="S176" t="s">
        <v>67</v>
      </c>
      <c r="T176" t="s">
        <v>1394</v>
      </c>
      <c r="U176" t="s">
        <v>1534</v>
      </c>
      <c r="V176">
        <v>16</v>
      </c>
      <c r="W176" s="2">
        <v>0</v>
      </c>
    </row>
    <row r="177" spans="1:23" x14ac:dyDescent="0.25">
      <c r="A177" t="s">
        <v>31</v>
      </c>
      <c r="B177" t="s">
        <v>32</v>
      </c>
      <c r="C177" t="s">
        <v>33</v>
      </c>
      <c r="D177" t="s">
        <v>34</v>
      </c>
      <c r="E177" t="s">
        <v>35</v>
      </c>
      <c r="F177" t="s">
        <v>36</v>
      </c>
      <c r="G177">
        <v>1141685</v>
      </c>
      <c r="H177" t="s">
        <v>76</v>
      </c>
      <c r="I177" t="s">
        <v>95</v>
      </c>
      <c r="J177" t="s">
        <v>99</v>
      </c>
      <c r="K177" t="s">
        <v>109</v>
      </c>
      <c r="L177" s="1">
        <v>46143</v>
      </c>
      <c r="M177" s="1">
        <v>46173</v>
      </c>
      <c r="N177">
        <v>0.983352</v>
      </c>
      <c r="O177" t="s">
        <v>58</v>
      </c>
      <c r="P177" t="s">
        <v>63</v>
      </c>
      <c r="Q177" t="s">
        <v>1367</v>
      </c>
      <c r="R177" t="s">
        <v>1370</v>
      </c>
      <c r="S177" t="s">
        <v>67</v>
      </c>
      <c r="T177" t="s">
        <v>1394</v>
      </c>
      <c r="U177" t="s">
        <v>1534</v>
      </c>
      <c r="V177">
        <v>16</v>
      </c>
      <c r="W177" s="2">
        <v>0</v>
      </c>
    </row>
    <row r="178" spans="1:23" x14ac:dyDescent="0.25">
      <c r="A178" t="s">
        <v>31</v>
      </c>
      <c r="B178" t="s">
        <v>32</v>
      </c>
      <c r="C178" t="s">
        <v>33</v>
      </c>
      <c r="D178" t="s">
        <v>34</v>
      </c>
      <c r="E178" t="s">
        <v>35</v>
      </c>
      <c r="F178" t="s">
        <v>36</v>
      </c>
      <c r="G178">
        <v>1141685</v>
      </c>
      <c r="H178" t="s">
        <v>76</v>
      </c>
      <c r="I178" t="s">
        <v>95</v>
      </c>
      <c r="J178" t="s">
        <v>99</v>
      </c>
      <c r="K178" t="s">
        <v>109</v>
      </c>
      <c r="L178" s="1">
        <v>46143</v>
      </c>
      <c r="M178" s="1">
        <v>46173</v>
      </c>
      <c r="N178">
        <v>1.9667060000000001</v>
      </c>
      <c r="O178" t="s">
        <v>58</v>
      </c>
      <c r="P178" t="s">
        <v>63</v>
      </c>
      <c r="Q178" t="s">
        <v>1367</v>
      </c>
      <c r="R178" t="s">
        <v>1370</v>
      </c>
      <c r="S178" t="s">
        <v>67</v>
      </c>
      <c r="T178" t="s">
        <v>1394</v>
      </c>
      <c r="U178" t="s">
        <v>1534</v>
      </c>
      <c r="V178">
        <v>16</v>
      </c>
      <c r="W178" s="2">
        <v>0</v>
      </c>
    </row>
    <row r="179" spans="1:23" x14ac:dyDescent="0.25">
      <c r="A179" t="s">
        <v>31</v>
      </c>
      <c r="B179" t="s">
        <v>32</v>
      </c>
      <c r="C179" t="s">
        <v>33</v>
      </c>
      <c r="D179" t="s">
        <v>34</v>
      </c>
      <c r="E179" t="s">
        <v>35</v>
      </c>
      <c r="F179" t="s">
        <v>36</v>
      </c>
      <c r="G179">
        <v>1141685</v>
      </c>
      <c r="H179" t="s">
        <v>76</v>
      </c>
      <c r="I179" t="s">
        <v>95</v>
      </c>
      <c r="J179" t="s">
        <v>99</v>
      </c>
      <c r="K179" t="s">
        <v>109</v>
      </c>
      <c r="L179" s="1">
        <v>46143</v>
      </c>
      <c r="M179" s="1">
        <v>46173</v>
      </c>
      <c r="N179">
        <v>75.983351999999996</v>
      </c>
      <c r="O179" t="s">
        <v>58</v>
      </c>
      <c r="P179" t="s">
        <v>63</v>
      </c>
      <c r="Q179" t="s">
        <v>1367</v>
      </c>
      <c r="R179" t="s">
        <v>1370</v>
      </c>
      <c r="S179" t="s">
        <v>67</v>
      </c>
      <c r="T179" t="s">
        <v>1394</v>
      </c>
      <c r="U179" t="s">
        <v>1534</v>
      </c>
      <c r="V179">
        <v>16</v>
      </c>
      <c r="W179" s="2">
        <v>0</v>
      </c>
    </row>
    <row r="180" spans="1:23" x14ac:dyDescent="0.25">
      <c r="A180" t="s">
        <v>31</v>
      </c>
      <c r="B180" t="s">
        <v>32</v>
      </c>
      <c r="C180" t="s">
        <v>33</v>
      </c>
      <c r="D180" t="s">
        <v>34</v>
      </c>
      <c r="E180" t="s">
        <v>35</v>
      </c>
      <c r="F180" t="s">
        <v>36</v>
      </c>
      <c r="G180">
        <v>1141685</v>
      </c>
      <c r="H180" t="s">
        <v>76</v>
      </c>
      <c r="I180" t="s">
        <v>95</v>
      </c>
      <c r="J180" t="s">
        <v>99</v>
      </c>
      <c r="K180" t="s">
        <v>109</v>
      </c>
      <c r="L180" s="1">
        <v>46143</v>
      </c>
      <c r="M180" s="1">
        <v>46173</v>
      </c>
      <c r="N180">
        <v>166</v>
      </c>
      <c r="O180" t="s">
        <v>58</v>
      </c>
      <c r="P180" t="s">
        <v>63</v>
      </c>
      <c r="Q180" t="s">
        <v>1367</v>
      </c>
      <c r="R180" t="s">
        <v>1372</v>
      </c>
      <c r="S180" t="s">
        <v>67</v>
      </c>
      <c r="T180" t="s">
        <v>1403</v>
      </c>
      <c r="U180" t="s">
        <v>1543</v>
      </c>
      <c r="V180">
        <v>16</v>
      </c>
      <c r="W180" s="2">
        <v>0</v>
      </c>
    </row>
    <row r="181" spans="1:23" x14ac:dyDescent="0.25">
      <c r="A181" t="s">
        <v>31</v>
      </c>
      <c r="B181" t="s">
        <v>32</v>
      </c>
      <c r="C181" t="s">
        <v>33</v>
      </c>
      <c r="D181" t="s">
        <v>34</v>
      </c>
      <c r="E181" t="s">
        <v>35</v>
      </c>
      <c r="F181" t="s">
        <v>36</v>
      </c>
      <c r="G181">
        <v>1141685</v>
      </c>
      <c r="H181" t="s">
        <v>76</v>
      </c>
      <c r="I181" t="s">
        <v>95</v>
      </c>
      <c r="J181" t="s">
        <v>99</v>
      </c>
      <c r="K181" t="s">
        <v>109</v>
      </c>
      <c r="L181" s="1">
        <v>46143</v>
      </c>
      <c r="M181" s="1">
        <v>46173</v>
      </c>
      <c r="N181">
        <v>168</v>
      </c>
      <c r="O181" t="s">
        <v>58</v>
      </c>
      <c r="P181" t="s">
        <v>63</v>
      </c>
      <c r="Q181" t="s">
        <v>1367</v>
      </c>
      <c r="R181" t="s">
        <v>1371</v>
      </c>
      <c r="S181" t="s">
        <v>67</v>
      </c>
      <c r="T181" t="s">
        <v>1395</v>
      </c>
      <c r="U181" t="s">
        <v>1535</v>
      </c>
      <c r="V181">
        <v>17</v>
      </c>
      <c r="W181" s="2">
        <v>0</v>
      </c>
    </row>
    <row r="182" spans="1:23" x14ac:dyDescent="0.25">
      <c r="A182" t="s">
        <v>31</v>
      </c>
      <c r="B182" t="s">
        <v>32</v>
      </c>
      <c r="C182" t="s">
        <v>33</v>
      </c>
      <c r="D182" t="s">
        <v>34</v>
      </c>
      <c r="E182" t="s">
        <v>35</v>
      </c>
      <c r="F182" t="s">
        <v>36</v>
      </c>
      <c r="G182">
        <v>1141685</v>
      </c>
      <c r="H182" t="s">
        <v>76</v>
      </c>
      <c r="I182" t="s">
        <v>95</v>
      </c>
      <c r="J182" t="s">
        <v>99</v>
      </c>
      <c r="K182" t="s">
        <v>109</v>
      </c>
      <c r="L182" s="1">
        <v>46143</v>
      </c>
      <c r="M182" s="1">
        <v>46173</v>
      </c>
      <c r="N182">
        <v>76</v>
      </c>
      <c r="O182" t="s">
        <v>58</v>
      </c>
      <c r="P182" t="s">
        <v>63</v>
      </c>
      <c r="Q182" t="s">
        <v>1367</v>
      </c>
      <c r="R182" t="s">
        <v>1370</v>
      </c>
      <c r="S182" t="s">
        <v>67</v>
      </c>
      <c r="T182" t="s">
        <v>1394</v>
      </c>
      <c r="U182" t="s">
        <v>1534</v>
      </c>
      <c r="V182">
        <v>16</v>
      </c>
      <c r="W182" s="2">
        <v>0</v>
      </c>
    </row>
    <row r="183" spans="1:23" x14ac:dyDescent="0.25">
      <c r="A183" t="s">
        <v>31</v>
      </c>
      <c r="B183" t="s">
        <v>32</v>
      </c>
      <c r="C183" t="s">
        <v>33</v>
      </c>
      <c r="D183" t="s">
        <v>34</v>
      </c>
      <c r="E183" t="s">
        <v>35</v>
      </c>
      <c r="F183" t="s">
        <v>36</v>
      </c>
      <c r="G183">
        <v>1141685</v>
      </c>
      <c r="H183" t="s">
        <v>75</v>
      </c>
      <c r="I183" t="s">
        <v>94</v>
      </c>
      <c r="J183" t="s">
        <v>98</v>
      </c>
      <c r="K183" t="s">
        <v>108</v>
      </c>
      <c r="L183" s="1">
        <v>46143</v>
      </c>
      <c r="M183" s="1">
        <v>46173</v>
      </c>
      <c r="N183">
        <v>0.53841985110000001</v>
      </c>
      <c r="O183" t="s">
        <v>56</v>
      </c>
      <c r="P183" t="s">
        <v>63</v>
      </c>
      <c r="Q183" t="s">
        <v>1366</v>
      </c>
      <c r="R183" t="s">
        <v>1372</v>
      </c>
      <c r="S183" t="s">
        <v>67</v>
      </c>
      <c r="T183" t="s">
        <v>1529</v>
      </c>
      <c r="U183" t="s">
        <v>1669</v>
      </c>
      <c r="V183">
        <v>15</v>
      </c>
      <c r="W183" s="2">
        <v>1029.7770581795</v>
      </c>
    </row>
    <row r="184" spans="1:23" x14ac:dyDescent="0.25">
      <c r="A184" t="s">
        <v>31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>
        <v>1141685</v>
      </c>
      <c r="H184" t="s">
        <v>82</v>
      </c>
      <c r="I184" t="s">
        <v>82</v>
      </c>
      <c r="J184" t="s">
        <v>82</v>
      </c>
      <c r="K184" t="s">
        <v>118</v>
      </c>
      <c r="L184" s="1">
        <v>46143</v>
      </c>
      <c r="M184" s="1">
        <v>46173</v>
      </c>
      <c r="N184">
        <v>0.13267399999999999</v>
      </c>
      <c r="O184" t="s">
        <v>60</v>
      </c>
      <c r="P184" t="s">
        <v>63</v>
      </c>
      <c r="Q184" t="s">
        <v>1369</v>
      </c>
      <c r="R184" t="s">
        <v>148</v>
      </c>
      <c r="S184" t="s">
        <v>68</v>
      </c>
      <c r="T184" t="s">
        <v>1530</v>
      </c>
      <c r="U184" t="s">
        <v>1670</v>
      </c>
      <c r="V184">
        <v>7</v>
      </c>
      <c r="W184" s="2">
        <v>925.84997260800003</v>
      </c>
    </row>
    <row r="185" spans="1:23" x14ac:dyDescent="0.25">
      <c r="A185" t="s">
        <v>31</v>
      </c>
      <c r="B185" t="s">
        <v>32</v>
      </c>
      <c r="C185" t="s">
        <v>33</v>
      </c>
      <c r="D185" t="s">
        <v>34</v>
      </c>
      <c r="E185" t="s">
        <v>35</v>
      </c>
      <c r="F185" t="s">
        <v>36</v>
      </c>
      <c r="G185">
        <v>1141685</v>
      </c>
      <c r="H185" t="s">
        <v>3065</v>
      </c>
      <c r="I185" t="s">
        <v>42</v>
      </c>
      <c r="J185" t="s">
        <v>3065</v>
      </c>
      <c r="K185" t="s">
        <v>3066</v>
      </c>
      <c r="L185" s="4">
        <v>46173</v>
      </c>
      <c r="M185" s="4">
        <v>46173</v>
      </c>
      <c r="N185">
        <v>1143.22</v>
      </c>
      <c r="O185" t="s">
        <v>59</v>
      </c>
      <c r="P185" t="s">
        <v>63</v>
      </c>
      <c r="Q185" t="s">
        <v>3876</v>
      </c>
      <c r="R185" t="s">
        <v>3877</v>
      </c>
      <c r="S185" t="s">
        <v>66</v>
      </c>
      <c r="T185" t="s">
        <v>3878</v>
      </c>
      <c r="U185" t="s">
        <v>3879</v>
      </c>
      <c r="V185">
        <v>7</v>
      </c>
      <c r="W185" s="2">
        <v>29016</v>
      </c>
    </row>
    <row r="186" spans="1:23" x14ac:dyDescent="0.25">
      <c r="A186" t="s">
        <v>31</v>
      </c>
      <c r="B186" t="s">
        <v>32</v>
      </c>
      <c r="C186" t="s">
        <v>33</v>
      </c>
      <c r="D186" t="s">
        <v>34</v>
      </c>
      <c r="E186" t="s">
        <v>35</v>
      </c>
      <c r="F186" t="s">
        <v>36</v>
      </c>
      <c r="G186">
        <v>1141685</v>
      </c>
      <c r="H186" t="s">
        <v>3065</v>
      </c>
      <c r="I186" t="s">
        <v>42</v>
      </c>
      <c r="J186" t="s">
        <v>3065</v>
      </c>
      <c r="K186" t="s">
        <v>3066</v>
      </c>
      <c r="L186" s="4">
        <v>46173</v>
      </c>
      <c r="M186" s="4">
        <v>46173</v>
      </c>
      <c r="N186">
        <v>1143.22</v>
      </c>
      <c r="O186" t="s">
        <v>59</v>
      </c>
      <c r="P186" t="s">
        <v>63</v>
      </c>
      <c r="Q186" t="s">
        <v>3876</v>
      </c>
      <c r="R186" t="s">
        <v>3877</v>
      </c>
      <c r="S186" t="s">
        <v>66</v>
      </c>
      <c r="T186" t="s">
        <v>3878</v>
      </c>
      <c r="U186" t="s">
        <v>3879</v>
      </c>
      <c r="V186">
        <v>7</v>
      </c>
      <c r="W186" s="2">
        <v>29016</v>
      </c>
    </row>
    <row r="187" spans="1:23" x14ac:dyDescent="0.25">
      <c r="A187" t="s">
        <v>31</v>
      </c>
      <c r="B187" t="s">
        <v>32</v>
      </c>
      <c r="C187" t="s">
        <v>33</v>
      </c>
      <c r="D187" t="s">
        <v>34</v>
      </c>
      <c r="E187" t="s">
        <v>35</v>
      </c>
      <c r="F187" t="s">
        <v>36</v>
      </c>
      <c r="G187">
        <v>1141685</v>
      </c>
      <c r="H187" t="s">
        <v>3065</v>
      </c>
      <c r="I187" t="s">
        <v>42</v>
      </c>
      <c r="J187" t="s">
        <v>3065</v>
      </c>
      <c r="K187" t="s">
        <v>3066</v>
      </c>
      <c r="L187" s="4">
        <v>46173</v>
      </c>
      <c r="M187" s="4">
        <v>46173</v>
      </c>
      <c r="N187">
        <v>1143.22</v>
      </c>
      <c r="O187" t="s">
        <v>59</v>
      </c>
      <c r="P187" t="s">
        <v>63</v>
      </c>
      <c r="Q187" t="s">
        <v>3876</v>
      </c>
      <c r="R187" t="s">
        <v>3877</v>
      </c>
      <c r="S187" t="s">
        <v>66</v>
      </c>
      <c r="T187" t="s">
        <v>3878</v>
      </c>
      <c r="U187" t="s">
        <v>3879</v>
      </c>
      <c r="V187">
        <v>7</v>
      </c>
      <c r="W187" s="2">
        <v>29016</v>
      </c>
    </row>
    <row r="188" spans="1:23" x14ac:dyDescent="0.25">
      <c r="A188" t="s">
        <v>31</v>
      </c>
      <c r="B188" t="s">
        <v>32</v>
      </c>
      <c r="C188" t="s">
        <v>33</v>
      </c>
      <c r="D188" t="s">
        <v>34</v>
      </c>
      <c r="E188" t="s">
        <v>35</v>
      </c>
      <c r="F188" t="s">
        <v>36</v>
      </c>
      <c r="G188">
        <v>1141685</v>
      </c>
      <c r="H188" t="s">
        <v>3065</v>
      </c>
      <c r="I188" t="s">
        <v>42</v>
      </c>
      <c r="J188" t="s">
        <v>3065</v>
      </c>
      <c r="K188" t="s">
        <v>3066</v>
      </c>
      <c r="L188" s="4">
        <v>46173</v>
      </c>
      <c r="M188" s="4">
        <v>46173</v>
      </c>
      <c r="N188">
        <v>1143.22</v>
      </c>
      <c r="O188" t="s">
        <v>59</v>
      </c>
      <c r="P188" t="s">
        <v>63</v>
      </c>
      <c r="Q188" t="s">
        <v>3876</v>
      </c>
      <c r="R188" t="s">
        <v>3877</v>
      </c>
      <c r="S188" t="s">
        <v>66</v>
      </c>
      <c r="T188" t="s">
        <v>3878</v>
      </c>
      <c r="U188" t="s">
        <v>3879</v>
      </c>
      <c r="V188">
        <v>7</v>
      </c>
      <c r="W188" s="2">
        <v>29016</v>
      </c>
    </row>
    <row r="189" spans="1:23" x14ac:dyDescent="0.25">
      <c r="A189" t="s">
        <v>31</v>
      </c>
      <c r="B189" t="s">
        <v>32</v>
      </c>
      <c r="C189" t="s">
        <v>33</v>
      </c>
      <c r="D189" t="s">
        <v>34</v>
      </c>
      <c r="E189" t="s">
        <v>35</v>
      </c>
      <c r="F189" t="s">
        <v>36</v>
      </c>
      <c r="G189">
        <v>1141685</v>
      </c>
      <c r="H189" t="s">
        <v>3065</v>
      </c>
      <c r="I189" t="s">
        <v>42</v>
      </c>
      <c r="J189" t="s">
        <v>3065</v>
      </c>
      <c r="K189" t="s">
        <v>3066</v>
      </c>
      <c r="L189" s="4">
        <v>46173</v>
      </c>
      <c r="M189" s="4">
        <v>46173</v>
      </c>
      <c r="N189">
        <v>1143.22</v>
      </c>
      <c r="O189" t="s">
        <v>59</v>
      </c>
      <c r="P189" t="s">
        <v>63</v>
      </c>
      <c r="Q189" t="s">
        <v>3876</v>
      </c>
      <c r="R189" t="s">
        <v>3877</v>
      </c>
      <c r="S189" t="s">
        <v>66</v>
      </c>
      <c r="T189" t="s">
        <v>3878</v>
      </c>
      <c r="U189" t="s">
        <v>3879</v>
      </c>
      <c r="V189">
        <v>7</v>
      </c>
      <c r="W189" s="2">
        <v>29016</v>
      </c>
    </row>
    <row r="190" spans="1:23" x14ac:dyDescent="0.25">
      <c r="A190" t="s">
        <v>31</v>
      </c>
      <c r="B190" t="s">
        <v>32</v>
      </c>
      <c r="C190" t="s">
        <v>33</v>
      </c>
      <c r="D190" t="s">
        <v>34</v>
      </c>
      <c r="E190" t="s">
        <v>35</v>
      </c>
      <c r="F190" t="s">
        <v>36</v>
      </c>
      <c r="G190">
        <v>1141685</v>
      </c>
      <c r="H190" t="s">
        <v>3065</v>
      </c>
      <c r="I190" t="s">
        <v>42</v>
      </c>
      <c r="J190" t="s">
        <v>3065</v>
      </c>
      <c r="K190" t="s">
        <v>3066</v>
      </c>
      <c r="L190" s="4">
        <v>46173</v>
      </c>
      <c r="M190" s="4">
        <v>46173</v>
      </c>
      <c r="N190">
        <v>1143.22</v>
      </c>
      <c r="O190" t="s">
        <v>59</v>
      </c>
      <c r="P190" t="s">
        <v>63</v>
      </c>
      <c r="Q190" t="s">
        <v>3876</v>
      </c>
      <c r="R190" t="s">
        <v>3877</v>
      </c>
      <c r="S190" t="s">
        <v>66</v>
      </c>
      <c r="T190" t="s">
        <v>3878</v>
      </c>
      <c r="U190" t="s">
        <v>3879</v>
      </c>
      <c r="V190">
        <v>7</v>
      </c>
      <c r="W190" s="2">
        <v>29016</v>
      </c>
    </row>
    <row r="191" spans="1:23" x14ac:dyDescent="0.25">
      <c r="A191" t="s">
        <v>31</v>
      </c>
      <c r="B191" t="s">
        <v>32</v>
      </c>
      <c r="C191" t="s">
        <v>33</v>
      </c>
      <c r="D191" t="s">
        <v>34</v>
      </c>
      <c r="E191" t="s">
        <v>35</v>
      </c>
      <c r="F191" t="s">
        <v>36</v>
      </c>
      <c r="G191">
        <v>1141685</v>
      </c>
      <c r="H191" t="s">
        <v>3065</v>
      </c>
      <c r="I191" t="s">
        <v>42</v>
      </c>
      <c r="J191" t="s">
        <v>3065</v>
      </c>
      <c r="K191" t="s">
        <v>3066</v>
      </c>
      <c r="L191" s="4">
        <v>46173</v>
      </c>
      <c r="M191" s="4">
        <v>46173</v>
      </c>
      <c r="N191">
        <v>1143.22</v>
      </c>
      <c r="O191" t="s">
        <v>59</v>
      </c>
      <c r="P191" t="s">
        <v>63</v>
      </c>
      <c r="Q191" t="s">
        <v>3876</v>
      </c>
      <c r="R191" t="s">
        <v>3877</v>
      </c>
      <c r="S191" t="s">
        <v>66</v>
      </c>
      <c r="T191" t="s">
        <v>3878</v>
      </c>
      <c r="U191" t="s">
        <v>3879</v>
      </c>
      <c r="V191">
        <v>7</v>
      </c>
      <c r="W191" s="2">
        <v>29016</v>
      </c>
    </row>
    <row r="192" spans="1:23" x14ac:dyDescent="0.25">
      <c r="A192" t="s">
        <v>31</v>
      </c>
      <c r="B192" t="s">
        <v>32</v>
      </c>
      <c r="C192" t="s">
        <v>33</v>
      </c>
      <c r="D192" t="s">
        <v>34</v>
      </c>
      <c r="E192" t="s">
        <v>35</v>
      </c>
      <c r="F192" t="s">
        <v>36</v>
      </c>
      <c r="G192">
        <v>1141685</v>
      </c>
      <c r="H192" t="s">
        <v>3065</v>
      </c>
      <c r="I192" t="s">
        <v>42</v>
      </c>
      <c r="J192" t="s">
        <v>3065</v>
      </c>
      <c r="K192" t="s">
        <v>3066</v>
      </c>
      <c r="L192" s="4">
        <v>46173</v>
      </c>
      <c r="M192" s="4">
        <v>46173</v>
      </c>
      <c r="N192">
        <v>1143.22</v>
      </c>
      <c r="O192" t="s">
        <v>59</v>
      </c>
      <c r="P192" t="s">
        <v>63</v>
      </c>
      <c r="Q192" t="s">
        <v>3876</v>
      </c>
      <c r="R192" t="s">
        <v>3877</v>
      </c>
      <c r="S192" t="s">
        <v>66</v>
      </c>
      <c r="T192" t="s">
        <v>3878</v>
      </c>
      <c r="U192" t="s">
        <v>3879</v>
      </c>
      <c r="V192">
        <v>7</v>
      </c>
      <c r="W192" s="2">
        <v>29016</v>
      </c>
    </row>
    <row r="193" spans="1:23" x14ac:dyDescent="0.25">
      <c r="A193" t="s">
        <v>31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>
        <v>1141685</v>
      </c>
      <c r="H193" t="s">
        <v>3065</v>
      </c>
      <c r="I193" t="s">
        <v>42</v>
      </c>
      <c r="J193" t="s">
        <v>3065</v>
      </c>
      <c r="K193" t="s">
        <v>3066</v>
      </c>
      <c r="L193" s="4">
        <v>46173</v>
      </c>
      <c r="M193" s="4">
        <v>46173</v>
      </c>
      <c r="N193">
        <v>1143.22</v>
      </c>
      <c r="O193" t="s">
        <v>59</v>
      </c>
      <c r="P193" t="s">
        <v>63</v>
      </c>
      <c r="Q193" t="s">
        <v>3876</v>
      </c>
      <c r="R193" t="s">
        <v>3877</v>
      </c>
      <c r="S193" t="s">
        <v>66</v>
      </c>
      <c r="T193" t="s">
        <v>3878</v>
      </c>
      <c r="U193" t="s">
        <v>3879</v>
      </c>
      <c r="V193">
        <v>7</v>
      </c>
      <c r="W193" s="2">
        <v>29016</v>
      </c>
    </row>
    <row r="194" spans="1:23" x14ac:dyDescent="0.25">
      <c r="A194" t="s">
        <v>31</v>
      </c>
      <c r="B194" t="s">
        <v>32</v>
      </c>
      <c r="C194" t="s">
        <v>33</v>
      </c>
      <c r="D194" t="s">
        <v>34</v>
      </c>
      <c r="E194" t="s">
        <v>35</v>
      </c>
      <c r="F194" t="s">
        <v>36</v>
      </c>
      <c r="G194">
        <v>1141685</v>
      </c>
      <c r="H194" t="s">
        <v>3065</v>
      </c>
      <c r="I194" t="s">
        <v>42</v>
      </c>
      <c r="J194" t="s">
        <v>3065</v>
      </c>
      <c r="K194" t="s">
        <v>3066</v>
      </c>
      <c r="L194" s="4">
        <v>46173</v>
      </c>
      <c r="M194" s="4">
        <v>46173</v>
      </c>
      <c r="N194">
        <v>1143.22</v>
      </c>
      <c r="O194" t="s">
        <v>59</v>
      </c>
      <c r="P194" t="s">
        <v>63</v>
      </c>
      <c r="Q194" t="s">
        <v>3876</v>
      </c>
      <c r="R194" t="s">
        <v>3877</v>
      </c>
      <c r="S194" t="s">
        <v>66</v>
      </c>
      <c r="T194" t="s">
        <v>3878</v>
      </c>
      <c r="U194" t="s">
        <v>3879</v>
      </c>
      <c r="V194">
        <v>7</v>
      </c>
      <c r="W194" s="2">
        <v>29016</v>
      </c>
    </row>
    <row r="195" spans="1:23" x14ac:dyDescent="0.25">
      <c r="A195" t="s">
        <v>31</v>
      </c>
      <c r="B195" t="s">
        <v>32</v>
      </c>
      <c r="C195" t="s">
        <v>33</v>
      </c>
      <c r="D195" t="s">
        <v>34</v>
      </c>
      <c r="E195" t="s">
        <v>35</v>
      </c>
      <c r="F195" t="s">
        <v>36</v>
      </c>
      <c r="G195">
        <v>1141685</v>
      </c>
      <c r="H195" t="s">
        <v>3065</v>
      </c>
      <c r="I195" t="s">
        <v>42</v>
      </c>
      <c r="J195" t="s">
        <v>3065</v>
      </c>
      <c r="K195" t="s">
        <v>3066</v>
      </c>
      <c r="L195" s="4">
        <v>46173</v>
      </c>
      <c r="M195" s="4">
        <v>46173</v>
      </c>
      <c r="N195">
        <v>1143.22</v>
      </c>
      <c r="O195" t="s">
        <v>59</v>
      </c>
      <c r="P195" t="s">
        <v>63</v>
      </c>
      <c r="Q195" t="s">
        <v>3876</v>
      </c>
      <c r="R195" t="s">
        <v>3877</v>
      </c>
      <c r="S195" t="s">
        <v>66</v>
      </c>
      <c r="T195" t="s">
        <v>3878</v>
      </c>
      <c r="U195" t="s">
        <v>3879</v>
      </c>
      <c r="V195">
        <v>7</v>
      </c>
      <c r="W195" s="2">
        <v>29016</v>
      </c>
    </row>
    <row r="196" spans="1:23" x14ac:dyDescent="0.25">
      <c r="A196" t="s">
        <v>31</v>
      </c>
      <c r="B196" t="s">
        <v>32</v>
      </c>
      <c r="C196" t="s">
        <v>33</v>
      </c>
      <c r="D196" t="s">
        <v>34</v>
      </c>
      <c r="E196" t="s">
        <v>35</v>
      </c>
      <c r="F196" t="s">
        <v>36</v>
      </c>
      <c r="G196">
        <v>1141685</v>
      </c>
      <c r="H196" t="s">
        <v>3065</v>
      </c>
      <c r="I196" t="s">
        <v>42</v>
      </c>
      <c r="J196" t="s">
        <v>3065</v>
      </c>
      <c r="K196" t="s">
        <v>3066</v>
      </c>
      <c r="L196" s="4">
        <v>46173</v>
      </c>
      <c r="M196" s="4">
        <v>46173</v>
      </c>
      <c r="N196">
        <v>1143.22</v>
      </c>
      <c r="O196" t="s">
        <v>59</v>
      </c>
      <c r="P196" t="s">
        <v>63</v>
      </c>
      <c r="Q196" t="s">
        <v>3876</v>
      </c>
      <c r="R196" t="s">
        <v>3877</v>
      </c>
      <c r="S196" t="s">
        <v>66</v>
      </c>
      <c r="T196" t="s">
        <v>3878</v>
      </c>
      <c r="U196" t="s">
        <v>3879</v>
      </c>
      <c r="V196">
        <v>7</v>
      </c>
      <c r="W196" s="2">
        <v>29016</v>
      </c>
    </row>
    <row r="197" spans="1:23" x14ac:dyDescent="0.25">
      <c r="A197" t="s">
        <v>31</v>
      </c>
      <c r="B197" t="s">
        <v>32</v>
      </c>
      <c r="C197" t="s">
        <v>33</v>
      </c>
      <c r="D197" t="s">
        <v>34</v>
      </c>
      <c r="E197" t="s">
        <v>35</v>
      </c>
      <c r="F197" t="s">
        <v>36</v>
      </c>
      <c r="G197">
        <v>1141685</v>
      </c>
      <c r="H197" t="s">
        <v>3065</v>
      </c>
      <c r="I197" t="s">
        <v>42</v>
      </c>
      <c r="J197" t="s">
        <v>3065</v>
      </c>
      <c r="K197" t="s">
        <v>3066</v>
      </c>
      <c r="L197" s="4">
        <v>46173</v>
      </c>
      <c r="M197" s="4">
        <v>46173</v>
      </c>
      <c r="N197">
        <v>1143.22</v>
      </c>
      <c r="O197" t="s">
        <v>59</v>
      </c>
      <c r="P197" t="s">
        <v>63</v>
      </c>
      <c r="Q197" t="s">
        <v>3876</v>
      </c>
      <c r="R197" t="s">
        <v>3877</v>
      </c>
      <c r="S197" t="s">
        <v>66</v>
      </c>
      <c r="T197" t="s">
        <v>3878</v>
      </c>
      <c r="U197" t="s">
        <v>3879</v>
      </c>
      <c r="V197">
        <v>7</v>
      </c>
      <c r="W197" s="2">
        <v>29016</v>
      </c>
    </row>
    <row r="198" spans="1:23" x14ac:dyDescent="0.25">
      <c r="A198" t="s">
        <v>31</v>
      </c>
      <c r="B198" t="s">
        <v>32</v>
      </c>
      <c r="C198" t="s">
        <v>33</v>
      </c>
      <c r="D198" t="s">
        <v>34</v>
      </c>
      <c r="E198" t="s">
        <v>35</v>
      </c>
      <c r="F198" t="s">
        <v>36</v>
      </c>
      <c r="G198">
        <v>1141685</v>
      </c>
      <c r="H198" t="s">
        <v>3065</v>
      </c>
      <c r="I198" t="s">
        <v>42</v>
      </c>
      <c r="J198" t="s">
        <v>3065</v>
      </c>
      <c r="K198" t="s">
        <v>3066</v>
      </c>
      <c r="L198" s="4">
        <v>46173</v>
      </c>
      <c r="M198" s="4">
        <v>46173</v>
      </c>
      <c r="N198">
        <v>1143.22</v>
      </c>
      <c r="O198" t="s">
        <v>59</v>
      </c>
      <c r="P198" t="s">
        <v>63</v>
      </c>
      <c r="Q198" t="s">
        <v>3876</v>
      </c>
      <c r="R198" t="s">
        <v>3877</v>
      </c>
      <c r="S198" t="s">
        <v>66</v>
      </c>
      <c r="T198" t="s">
        <v>3878</v>
      </c>
      <c r="U198" t="s">
        <v>3879</v>
      </c>
      <c r="V198">
        <v>7</v>
      </c>
      <c r="W198" s="2">
        <v>29016</v>
      </c>
    </row>
    <row r="199" spans="1:23" x14ac:dyDescent="0.25">
      <c r="A199" t="s">
        <v>31</v>
      </c>
      <c r="B199" t="s">
        <v>32</v>
      </c>
      <c r="C199" t="s">
        <v>33</v>
      </c>
      <c r="D199" t="s">
        <v>34</v>
      </c>
      <c r="E199" t="s">
        <v>35</v>
      </c>
      <c r="F199" t="s">
        <v>36</v>
      </c>
      <c r="G199">
        <v>1141685</v>
      </c>
      <c r="H199" t="s">
        <v>3065</v>
      </c>
      <c r="I199" t="s">
        <v>42</v>
      </c>
      <c r="J199" t="s">
        <v>3065</v>
      </c>
      <c r="K199" t="s">
        <v>3066</v>
      </c>
      <c r="L199" s="4">
        <v>46173</v>
      </c>
      <c r="M199" s="4">
        <v>46173</v>
      </c>
      <c r="N199">
        <v>1143.22</v>
      </c>
      <c r="O199" t="s">
        <v>59</v>
      </c>
      <c r="P199" t="s">
        <v>63</v>
      </c>
      <c r="Q199" t="s">
        <v>3876</v>
      </c>
      <c r="R199" t="s">
        <v>3877</v>
      </c>
      <c r="S199" t="s">
        <v>66</v>
      </c>
      <c r="T199" t="s">
        <v>3878</v>
      </c>
      <c r="U199" t="s">
        <v>3879</v>
      </c>
      <c r="V199">
        <v>7</v>
      </c>
      <c r="W199" s="2">
        <v>29016</v>
      </c>
    </row>
    <row r="200" spans="1:23" x14ac:dyDescent="0.25">
      <c r="A200" t="s">
        <v>31</v>
      </c>
      <c r="B200" t="s">
        <v>32</v>
      </c>
      <c r="C200" t="s">
        <v>33</v>
      </c>
      <c r="D200" t="s">
        <v>34</v>
      </c>
      <c r="E200" t="s">
        <v>35</v>
      </c>
      <c r="F200" t="s">
        <v>36</v>
      </c>
      <c r="G200">
        <v>1141685</v>
      </c>
      <c r="H200" t="s">
        <v>3065</v>
      </c>
      <c r="I200" t="s">
        <v>42</v>
      </c>
      <c r="J200" t="s">
        <v>3065</v>
      </c>
      <c r="K200" t="s">
        <v>3066</v>
      </c>
      <c r="L200" s="4">
        <v>46173</v>
      </c>
      <c r="M200" s="4">
        <v>46173</v>
      </c>
      <c r="N200">
        <v>1143.22</v>
      </c>
      <c r="O200" t="s">
        <v>59</v>
      </c>
      <c r="P200" t="s">
        <v>63</v>
      </c>
      <c r="Q200" t="s">
        <v>3876</v>
      </c>
      <c r="R200" t="s">
        <v>3877</v>
      </c>
      <c r="S200" t="s">
        <v>66</v>
      </c>
      <c r="T200" t="s">
        <v>3878</v>
      </c>
      <c r="U200" t="s">
        <v>3879</v>
      </c>
      <c r="V200">
        <v>7</v>
      </c>
      <c r="W200" s="2">
        <v>29016</v>
      </c>
    </row>
    <row r="201" spans="1:23" x14ac:dyDescent="0.25">
      <c r="A201" t="s">
        <v>31</v>
      </c>
      <c r="B201" t="s">
        <v>32</v>
      </c>
      <c r="C201" t="s">
        <v>33</v>
      </c>
      <c r="D201" t="s">
        <v>34</v>
      </c>
      <c r="E201" t="s">
        <v>35</v>
      </c>
      <c r="F201" t="s">
        <v>36</v>
      </c>
      <c r="G201">
        <v>1141685</v>
      </c>
      <c r="H201" t="s">
        <v>3065</v>
      </c>
      <c r="I201" t="s">
        <v>42</v>
      </c>
      <c r="J201" t="s">
        <v>3065</v>
      </c>
      <c r="K201" t="s">
        <v>3066</v>
      </c>
      <c r="L201" s="4">
        <v>46173</v>
      </c>
      <c r="M201" s="4">
        <v>46173</v>
      </c>
      <c r="N201">
        <v>1143.22</v>
      </c>
      <c r="O201" t="s">
        <v>59</v>
      </c>
      <c r="P201" t="s">
        <v>63</v>
      </c>
      <c r="Q201" t="s">
        <v>3876</v>
      </c>
      <c r="R201" t="s">
        <v>3877</v>
      </c>
      <c r="S201" t="s">
        <v>66</v>
      </c>
      <c r="T201" t="s">
        <v>3878</v>
      </c>
      <c r="U201" t="s">
        <v>3879</v>
      </c>
      <c r="V201">
        <v>7</v>
      </c>
      <c r="W201" s="2">
        <v>29016</v>
      </c>
    </row>
    <row r="202" spans="1:23" x14ac:dyDescent="0.25">
      <c r="A202" t="s">
        <v>31</v>
      </c>
      <c r="B202" t="s">
        <v>32</v>
      </c>
      <c r="C202" t="s">
        <v>33</v>
      </c>
      <c r="D202" t="s">
        <v>34</v>
      </c>
      <c r="E202" t="s">
        <v>35</v>
      </c>
      <c r="F202" t="s">
        <v>36</v>
      </c>
      <c r="G202">
        <v>1141685</v>
      </c>
      <c r="H202" t="s">
        <v>3065</v>
      </c>
      <c r="I202" t="s">
        <v>42</v>
      </c>
      <c r="J202" t="s">
        <v>3065</v>
      </c>
      <c r="K202" t="s">
        <v>3066</v>
      </c>
      <c r="L202" s="4">
        <v>46173</v>
      </c>
      <c r="M202" s="4">
        <v>46173</v>
      </c>
      <c r="N202">
        <v>1143.22</v>
      </c>
      <c r="O202" t="s">
        <v>59</v>
      </c>
      <c r="P202" t="s">
        <v>63</v>
      </c>
      <c r="Q202" t="s">
        <v>3876</v>
      </c>
      <c r="R202" t="s">
        <v>3877</v>
      </c>
      <c r="S202" t="s">
        <v>66</v>
      </c>
      <c r="T202" t="s">
        <v>3878</v>
      </c>
      <c r="U202" t="s">
        <v>3879</v>
      </c>
      <c r="V202">
        <v>7</v>
      </c>
      <c r="W202" s="2">
        <v>29016</v>
      </c>
    </row>
    <row r="203" spans="1:23" x14ac:dyDescent="0.25">
      <c r="A203" t="s">
        <v>31</v>
      </c>
      <c r="B203" t="s">
        <v>32</v>
      </c>
      <c r="C203" t="s">
        <v>33</v>
      </c>
      <c r="D203" t="s">
        <v>34</v>
      </c>
      <c r="E203" t="s">
        <v>35</v>
      </c>
      <c r="F203" t="s">
        <v>36</v>
      </c>
      <c r="G203">
        <v>1141685</v>
      </c>
      <c r="H203" t="s">
        <v>3065</v>
      </c>
      <c r="I203" t="s">
        <v>42</v>
      </c>
      <c r="J203" t="s">
        <v>3065</v>
      </c>
      <c r="K203" t="s">
        <v>3066</v>
      </c>
      <c r="L203" s="4">
        <v>46173</v>
      </c>
      <c r="M203" s="4">
        <v>46173</v>
      </c>
      <c r="N203">
        <v>1143.22</v>
      </c>
      <c r="O203" t="s">
        <v>59</v>
      </c>
      <c r="P203" t="s">
        <v>63</v>
      </c>
      <c r="Q203" t="s">
        <v>3876</v>
      </c>
      <c r="R203" t="s">
        <v>3877</v>
      </c>
      <c r="S203" t="s">
        <v>66</v>
      </c>
      <c r="T203" t="s">
        <v>3878</v>
      </c>
      <c r="U203" t="s">
        <v>3879</v>
      </c>
      <c r="V203">
        <v>7</v>
      </c>
      <c r="W203" s="2">
        <v>29016</v>
      </c>
    </row>
    <row r="204" spans="1:23" x14ac:dyDescent="0.25">
      <c r="A204" t="s">
        <v>31</v>
      </c>
      <c r="B204" t="s">
        <v>32</v>
      </c>
      <c r="C204" t="s">
        <v>33</v>
      </c>
      <c r="D204" t="s">
        <v>34</v>
      </c>
      <c r="E204" t="s">
        <v>35</v>
      </c>
      <c r="F204" t="s">
        <v>36</v>
      </c>
      <c r="G204">
        <v>1141685</v>
      </c>
      <c r="H204" t="s">
        <v>3065</v>
      </c>
      <c r="I204" t="s">
        <v>42</v>
      </c>
      <c r="J204" t="s">
        <v>3065</v>
      </c>
      <c r="K204" t="s">
        <v>3066</v>
      </c>
      <c r="L204" s="4">
        <v>46173</v>
      </c>
      <c r="M204" s="4">
        <v>46173</v>
      </c>
      <c r="N204">
        <v>1143.22</v>
      </c>
      <c r="O204" t="s">
        <v>59</v>
      </c>
      <c r="P204" t="s">
        <v>63</v>
      </c>
      <c r="Q204" t="s">
        <v>3876</v>
      </c>
      <c r="R204" t="s">
        <v>3877</v>
      </c>
      <c r="S204" t="s">
        <v>66</v>
      </c>
      <c r="T204" t="s">
        <v>3878</v>
      </c>
      <c r="U204" t="s">
        <v>3879</v>
      </c>
      <c r="V204">
        <v>7</v>
      </c>
      <c r="W204" s="2">
        <v>29016</v>
      </c>
    </row>
    <row r="205" spans="1:23" x14ac:dyDescent="0.25">
      <c r="A205" t="s">
        <v>31</v>
      </c>
      <c r="B205" t="s">
        <v>32</v>
      </c>
      <c r="C205" t="s">
        <v>33</v>
      </c>
      <c r="D205" t="s">
        <v>34</v>
      </c>
      <c r="E205" t="s">
        <v>35</v>
      </c>
      <c r="F205" t="s">
        <v>36</v>
      </c>
      <c r="G205">
        <v>1141685</v>
      </c>
      <c r="H205" t="s">
        <v>3065</v>
      </c>
      <c r="I205" t="s">
        <v>42</v>
      </c>
      <c r="J205" t="s">
        <v>3065</v>
      </c>
      <c r="K205" t="s">
        <v>3066</v>
      </c>
      <c r="L205" s="4">
        <v>46173</v>
      </c>
      <c r="M205" s="4">
        <v>46173</v>
      </c>
      <c r="N205">
        <v>1143.22</v>
      </c>
      <c r="O205" t="s">
        <v>59</v>
      </c>
      <c r="P205" t="s">
        <v>63</v>
      </c>
      <c r="Q205" t="s">
        <v>3876</v>
      </c>
      <c r="R205" t="s">
        <v>3877</v>
      </c>
      <c r="S205" t="s">
        <v>66</v>
      </c>
      <c r="T205" t="s">
        <v>3878</v>
      </c>
      <c r="U205" t="s">
        <v>3879</v>
      </c>
      <c r="V205">
        <v>7</v>
      </c>
      <c r="W205" s="2">
        <v>29016</v>
      </c>
    </row>
    <row r="206" spans="1:23" x14ac:dyDescent="0.25">
      <c r="A206" t="s">
        <v>31</v>
      </c>
      <c r="B206" t="s">
        <v>32</v>
      </c>
      <c r="C206" t="s">
        <v>33</v>
      </c>
      <c r="D206" t="s">
        <v>34</v>
      </c>
      <c r="E206" t="s">
        <v>35</v>
      </c>
      <c r="F206" t="s">
        <v>36</v>
      </c>
      <c r="G206">
        <v>1141685</v>
      </c>
      <c r="H206" t="s">
        <v>3065</v>
      </c>
      <c r="I206" t="s">
        <v>42</v>
      </c>
      <c r="J206" t="s">
        <v>3065</v>
      </c>
      <c r="K206" t="s">
        <v>3066</v>
      </c>
      <c r="L206" s="4">
        <v>46173</v>
      </c>
      <c r="M206" s="4">
        <v>46173</v>
      </c>
      <c r="N206">
        <v>1143.22</v>
      </c>
      <c r="O206" t="s">
        <v>59</v>
      </c>
      <c r="P206" t="s">
        <v>63</v>
      </c>
      <c r="Q206" t="s">
        <v>3876</v>
      </c>
      <c r="R206" t="s">
        <v>3877</v>
      </c>
      <c r="S206" t="s">
        <v>66</v>
      </c>
      <c r="T206" t="s">
        <v>3878</v>
      </c>
      <c r="U206" t="s">
        <v>3879</v>
      </c>
      <c r="V206">
        <v>7</v>
      </c>
      <c r="W206" s="2">
        <v>29016</v>
      </c>
    </row>
    <row r="207" spans="1:23" x14ac:dyDescent="0.25">
      <c r="A207" t="s">
        <v>31</v>
      </c>
      <c r="B207" t="s">
        <v>32</v>
      </c>
      <c r="C207" t="s">
        <v>33</v>
      </c>
      <c r="D207" t="s">
        <v>34</v>
      </c>
      <c r="E207" t="s">
        <v>35</v>
      </c>
      <c r="F207" t="s">
        <v>36</v>
      </c>
      <c r="G207">
        <v>1141685</v>
      </c>
      <c r="H207" t="s">
        <v>3065</v>
      </c>
      <c r="I207" t="s">
        <v>42</v>
      </c>
      <c r="J207" t="s">
        <v>3065</v>
      </c>
      <c r="K207" t="s">
        <v>3066</v>
      </c>
      <c r="L207" s="4">
        <v>46173</v>
      </c>
      <c r="M207" s="4">
        <v>46173</v>
      </c>
      <c r="N207">
        <v>1143.22</v>
      </c>
      <c r="O207" t="s">
        <v>59</v>
      </c>
      <c r="P207" t="s">
        <v>63</v>
      </c>
      <c r="Q207" t="s">
        <v>3876</v>
      </c>
      <c r="R207" t="s">
        <v>3877</v>
      </c>
      <c r="S207" t="s">
        <v>66</v>
      </c>
      <c r="T207" t="s">
        <v>3878</v>
      </c>
      <c r="U207" t="s">
        <v>3879</v>
      </c>
      <c r="V207">
        <v>7</v>
      </c>
      <c r="W207" s="2">
        <v>29016</v>
      </c>
    </row>
    <row r="208" spans="1:23" x14ac:dyDescent="0.25">
      <c r="A208" t="s">
        <v>31</v>
      </c>
      <c r="B208" t="s">
        <v>32</v>
      </c>
      <c r="C208" t="s">
        <v>33</v>
      </c>
      <c r="D208" t="s">
        <v>34</v>
      </c>
      <c r="E208" t="s">
        <v>35</v>
      </c>
      <c r="F208" t="s">
        <v>36</v>
      </c>
      <c r="G208">
        <v>1141685</v>
      </c>
      <c r="H208" t="s">
        <v>3065</v>
      </c>
      <c r="I208" t="s">
        <v>42</v>
      </c>
      <c r="J208" t="s">
        <v>3065</v>
      </c>
      <c r="K208" t="s">
        <v>3066</v>
      </c>
      <c r="L208" s="4">
        <v>46173</v>
      </c>
      <c r="M208" s="4">
        <v>46173</v>
      </c>
      <c r="N208">
        <v>1143.22</v>
      </c>
      <c r="O208" t="s">
        <v>59</v>
      </c>
      <c r="P208" t="s">
        <v>63</v>
      </c>
      <c r="Q208" t="s">
        <v>3876</v>
      </c>
      <c r="R208" t="s">
        <v>3877</v>
      </c>
      <c r="S208" t="s">
        <v>66</v>
      </c>
      <c r="T208" t="s">
        <v>3878</v>
      </c>
      <c r="U208" t="s">
        <v>3879</v>
      </c>
      <c r="V208">
        <v>7</v>
      </c>
      <c r="W208" s="2">
        <v>29016</v>
      </c>
    </row>
    <row r="209" spans="1:24" x14ac:dyDescent="0.25">
      <c r="A209" t="s">
        <v>31</v>
      </c>
      <c r="B209" t="s">
        <v>32</v>
      </c>
      <c r="C209" t="s">
        <v>33</v>
      </c>
      <c r="D209" t="s">
        <v>34</v>
      </c>
      <c r="E209" t="s">
        <v>35</v>
      </c>
      <c r="F209" t="s">
        <v>36</v>
      </c>
      <c r="G209">
        <v>1141685</v>
      </c>
      <c r="H209" t="s">
        <v>3065</v>
      </c>
      <c r="I209" t="s">
        <v>42</v>
      </c>
      <c r="J209" t="s">
        <v>3065</v>
      </c>
      <c r="K209" t="s">
        <v>3066</v>
      </c>
      <c r="L209" s="4">
        <v>46173</v>
      </c>
      <c r="M209" s="4">
        <v>46173</v>
      </c>
      <c r="N209">
        <v>1143.22</v>
      </c>
      <c r="O209" t="s">
        <v>59</v>
      </c>
      <c r="P209" t="s">
        <v>63</v>
      </c>
      <c r="Q209" t="s">
        <v>3876</v>
      </c>
      <c r="R209" t="s">
        <v>3877</v>
      </c>
      <c r="S209" t="s">
        <v>66</v>
      </c>
      <c r="T209" t="s">
        <v>3878</v>
      </c>
      <c r="U209" t="s">
        <v>3879</v>
      </c>
      <c r="V209">
        <v>7</v>
      </c>
      <c r="W209" s="2">
        <v>29016</v>
      </c>
    </row>
    <row r="210" spans="1:24" x14ac:dyDescent="0.25">
      <c r="A210" t="s">
        <v>31</v>
      </c>
      <c r="B210" t="s">
        <v>32</v>
      </c>
      <c r="C210" t="s">
        <v>33</v>
      </c>
      <c r="D210" t="s">
        <v>34</v>
      </c>
      <c r="E210" t="s">
        <v>35</v>
      </c>
      <c r="F210" t="s">
        <v>36</v>
      </c>
      <c r="G210">
        <v>1141685</v>
      </c>
      <c r="H210" t="s">
        <v>3065</v>
      </c>
      <c r="I210" t="s">
        <v>42</v>
      </c>
      <c r="J210" t="s">
        <v>3065</v>
      </c>
      <c r="K210" t="s">
        <v>3066</v>
      </c>
      <c r="L210" s="4">
        <v>46173</v>
      </c>
      <c r="M210" s="4">
        <v>46173</v>
      </c>
      <c r="N210">
        <v>1143.22</v>
      </c>
      <c r="O210" t="s">
        <v>59</v>
      </c>
      <c r="P210" t="s">
        <v>63</v>
      </c>
      <c r="Q210" t="s">
        <v>3876</v>
      </c>
      <c r="R210" t="s">
        <v>3877</v>
      </c>
      <c r="S210" t="s">
        <v>66</v>
      </c>
      <c r="T210" t="s">
        <v>3878</v>
      </c>
      <c r="U210" t="s">
        <v>3879</v>
      </c>
      <c r="V210">
        <v>7</v>
      </c>
      <c r="W210" s="2">
        <v>29016</v>
      </c>
    </row>
    <row r="211" spans="1:24" x14ac:dyDescent="0.25">
      <c r="A211" t="s">
        <v>31</v>
      </c>
      <c r="B211" t="s">
        <v>32</v>
      </c>
      <c r="C211" t="s">
        <v>33</v>
      </c>
      <c r="D211" t="s">
        <v>34</v>
      </c>
      <c r="E211" t="s">
        <v>35</v>
      </c>
      <c r="F211" t="s">
        <v>36</v>
      </c>
      <c r="G211">
        <v>1141685</v>
      </c>
      <c r="H211" t="s">
        <v>3065</v>
      </c>
      <c r="I211" t="s">
        <v>42</v>
      </c>
      <c r="J211" t="s">
        <v>3065</v>
      </c>
      <c r="K211" t="s">
        <v>3066</v>
      </c>
      <c r="L211" s="4">
        <v>46173</v>
      </c>
      <c r="M211" s="4">
        <v>46173</v>
      </c>
      <c r="N211">
        <v>1143.22</v>
      </c>
      <c r="O211" t="s">
        <v>59</v>
      </c>
      <c r="P211" t="s">
        <v>63</v>
      </c>
      <c r="Q211" t="s">
        <v>3876</v>
      </c>
      <c r="R211" t="s">
        <v>3877</v>
      </c>
      <c r="S211" t="s">
        <v>66</v>
      </c>
      <c r="T211" t="s">
        <v>3878</v>
      </c>
      <c r="U211" t="s">
        <v>3879</v>
      </c>
      <c r="V211">
        <v>7</v>
      </c>
      <c r="W211" s="2">
        <v>29016</v>
      </c>
    </row>
    <row r="212" spans="1:24" x14ac:dyDescent="0.25">
      <c r="A212" t="s">
        <v>31</v>
      </c>
      <c r="B212" t="s">
        <v>32</v>
      </c>
      <c r="C212" t="s">
        <v>33</v>
      </c>
      <c r="D212" t="s">
        <v>34</v>
      </c>
      <c r="E212" t="s">
        <v>35</v>
      </c>
      <c r="F212" t="s">
        <v>36</v>
      </c>
      <c r="G212">
        <v>1141685</v>
      </c>
      <c r="H212" t="s">
        <v>3065</v>
      </c>
      <c r="I212" t="s">
        <v>42</v>
      </c>
      <c r="J212" t="s">
        <v>3065</v>
      </c>
      <c r="K212" t="s">
        <v>3066</v>
      </c>
      <c r="L212" s="4">
        <v>46173</v>
      </c>
      <c r="M212" s="4">
        <v>46173</v>
      </c>
      <c r="N212">
        <v>1143.22</v>
      </c>
      <c r="O212" t="s">
        <v>59</v>
      </c>
      <c r="P212" t="s">
        <v>63</v>
      </c>
      <c r="Q212" t="s">
        <v>3876</v>
      </c>
      <c r="R212" t="s">
        <v>3877</v>
      </c>
      <c r="S212" t="s">
        <v>66</v>
      </c>
      <c r="T212" t="s">
        <v>3878</v>
      </c>
      <c r="U212" t="s">
        <v>3879</v>
      </c>
      <c r="V212">
        <v>7</v>
      </c>
      <c r="W212" s="2">
        <v>29016</v>
      </c>
    </row>
    <row r="213" spans="1:24" x14ac:dyDescent="0.25">
      <c r="A213" t="s">
        <v>31</v>
      </c>
      <c r="B213" t="s">
        <v>32</v>
      </c>
      <c r="C213" t="s">
        <v>33</v>
      </c>
      <c r="D213" t="s">
        <v>34</v>
      </c>
      <c r="E213" t="s">
        <v>35</v>
      </c>
      <c r="F213" t="s">
        <v>36</v>
      </c>
      <c r="G213">
        <v>1141685</v>
      </c>
      <c r="H213" t="s">
        <v>3065</v>
      </c>
      <c r="I213" t="s">
        <v>42</v>
      </c>
      <c r="J213" t="s">
        <v>3065</v>
      </c>
      <c r="K213" t="s">
        <v>3066</v>
      </c>
      <c r="L213" s="4">
        <v>46173</v>
      </c>
      <c r="M213" s="4">
        <v>46173</v>
      </c>
      <c r="N213">
        <v>1143.22</v>
      </c>
      <c r="O213" t="s">
        <v>59</v>
      </c>
      <c r="P213" t="s">
        <v>63</v>
      </c>
      <c r="Q213" t="s">
        <v>3876</v>
      </c>
      <c r="R213" t="s">
        <v>3877</v>
      </c>
      <c r="S213" t="s">
        <v>66</v>
      </c>
      <c r="T213" t="s">
        <v>3878</v>
      </c>
      <c r="U213" t="s">
        <v>3879</v>
      </c>
      <c r="V213">
        <v>7</v>
      </c>
      <c r="W213" s="2">
        <v>29016</v>
      </c>
    </row>
    <row r="214" spans="1:24" x14ac:dyDescent="0.25">
      <c r="A214" t="s">
        <v>31</v>
      </c>
      <c r="B214" t="s">
        <v>32</v>
      </c>
      <c r="C214" t="s">
        <v>33</v>
      </c>
      <c r="D214" t="s">
        <v>34</v>
      </c>
      <c r="E214" t="s">
        <v>35</v>
      </c>
      <c r="F214" t="s">
        <v>36</v>
      </c>
      <c r="G214">
        <v>1141685</v>
      </c>
      <c r="H214" t="s">
        <v>3065</v>
      </c>
      <c r="I214" t="s">
        <v>42</v>
      </c>
      <c r="J214" t="s">
        <v>3065</v>
      </c>
      <c r="K214" t="s">
        <v>3066</v>
      </c>
      <c r="L214" s="4">
        <v>46173</v>
      </c>
      <c r="M214" s="4">
        <v>46173</v>
      </c>
      <c r="N214">
        <v>1143.22</v>
      </c>
      <c r="O214" t="s">
        <v>59</v>
      </c>
      <c r="P214" t="s">
        <v>63</v>
      </c>
      <c r="Q214" t="s">
        <v>3876</v>
      </c>
      <c r="R214" t="s">
        <v>3877</v>
      </c>
      <c r="S214" t="s">
        <v>66</v>
      </c>
      <c r="T214" t="s">
        <v>3878</v>
      </c>
      <c r="U214" t="s">
        <v>3879</v>
      </c>
      <c r="V214">
        <v>7</v>
      </c>
      <c r="W214" s="2">
        <v>29016</v>
      </c>
    </row>
    <row r="215" spans="1:24" x14ac:dyDescent="0.25">
      <c r="A215" t="s">
        <v>31</v>
      </c>
      <c r="B215" t="s">
        <v>32</v>
      </c>
      <c r="C215" t="s">
        <v>33</v>
      </c>
      <c r="D215" t="s">
        <v>34</v>
      </c>
      <c r="E215" t="s">
        <v>35</v>
      </c>
      <c r="F215" t="s">
        <v>36</v>
      </c>
      <c r="G215">
        <v>1141685</v>
      </c>
      <c r="H215" t="s">
        <v>3065</v>
      </c>
      <c r="I215" t="s">
        <v>42</v>
      </c>
      <c r="J215" t="s">
        <v>3065</v>
      </c>
      <c r="K215" t="s">
        <v>3066</v>
      </c>
      <c r="L215" s="4">
        <v>46173</v>
      </c>
      <c r="M215" s="4">
        <v>46173</v>
      </c>
      <c r="N215">
        <v>1143.22</v>
      </c>
      <c r="O215" t="s">
        <v>59</v>
      </c>
      <c r="P215" t="s">
        <v>63</v>
      </c>
      <c r="Q215" t="s">
        <v>3876</v>
      </c>
      <c r="R215" t="s">
        <v>3877</v>
      </c>
      <c r="S215" t="s">
        <v>66</v>
      </c>
      <c r="T215" t="s">
        <v>3878</v>
      </c>
      <c r="U215" t="s">
        <v>3879</v>
      </c>
      <c r="V215">
        <v>7</v>
      </c>
      <c r="W215" s="2">
        <v>29016</v>
      </c>
    </row>
    <row r="216" spans="1:24" x14ac:dyDescent="0.25">
      <c r="A216" t="s">
        <v>31</v>
      </c>
      <c r="B216" s="5" t="s">
        <v>32</v>
      </c>
      <c r="C216" s="5" t="s">
        <v>33</v>
      </c>
      <c r="D216" s="5" t="s">
        <v>34</v>
      </c>
      <c r="E216" s="5" t="s">
        <v>35</v>
      </c>
      <c r="F216" s="5" t="s">
        <v>36</v>
      </c>
      <c r="G216" s="5">
        <v>1141685</v>
      </c>
      <c r="H216" s="5" t="s">
        <v>3880</v>
      </c>
      <c r="I216" s="5" t="str">
        <f t="shared" ref="I216:I218" si="0">IF(LEFT(K216,9)="Standard_","Reserved Instance Virtual Machine",IF(ISNUMBER(SEARCH("SQL Database Single/ElasticPool General Purpose - Compute Gen5",K216)),"Reserved Instance SQL Database",IF(ISNUMBER(SEARCH("SQL Database SingleDB/Elastic Pool Hyperscale - Compute Gen5",K216)),"Reserved Instance Hyperscale Serverless",IF(ISNUMBER(SEARCH("Azure Database for PostgreSQL Flexible Server General Purpose Ddsv4 Series Compute",K216)),"Reserved Instance PostgreSQL",IF(ISNUMBER(SEARCH("Azure Redis Cache Premium",K216)),"Reserved Instance Redis","Reserved Instance")))))</f>
        <v>Reserved Instance SQL Database</v>
      </c>
      <c r="J216" s="5" t="s">
        <v>3880</v>
      </c>
      <c r="K216" s="5" t="str">
        <f t="shared" ref="K216:K218" si="1">H216</f>
        <v>SQL Database Single/ElasticPool General Purpose - Compute Gen5</v>
      </c>
      <c r="L216" s="5" t="s">
        <v>3881</v>
      </c>
      <c r="M216" s="5" t="s">
        <v>3881</v>
      </c>
      <c r="N216" s="5">
        <f t="shared" ref="N216:N218" si="2">U216</f>
        <v>4</v>
      </c>
      <c r="O216" s="5" t="s">
        <v>3882</v>
      </c>
      <c r="P216" s="5" t="s">
        <v>63</v>
      </c>
      <c r="Q216" s="5" t="s">
        <v>3882</v>
      </c>
      <c r="R216" s="5" t="str">
        <f t="shared" ref="R216:R218" si="3">IF(LEFT(K216,9)="Standard_","Virtual Machine",IF(ISNUMBER(SEARCH("SQL Database Single/ElasticPool General Purpose - Compute Gen5",K216)),"SQL Database",IF(ISNUMBER(SEARCH("SQL Database SingleDB/Elastic Pool Hyperscale - Compute Gen5",K216)),"Hyperscale Serverless",IF(ISNUMBER(SEARCH("Azure Database for PostgreSQL Flexible Server General Purpose Ddsv4 Series Compute",K216)),"PostgreSQL",IF(ISNUMBER(SEARCH("Azure Redis Cache Premium",K216)),"Redis",K216)))))</f>
        <v>SQL Database</v>
      </c>
      <c r="S216" s="5" t="s">
        <v>67</v>
      </c>
      <c r="T216" s="5" t="s">
        <v>3882</v>
      </c>
      <c r="U216" s="5">
        <v>4</v>
      </c>
      <c r="V216" s="6">
        <v>1001385</v>
      </c>
      <c r="W216" s="6">
        <f>U216*V216</f>
        <v>4005540</v>
      </c>
      <c r="X216" t="s">
        <v>3889</v>
      </c>
    </row>
    <row r="217" spans="1:24" x14ac:dyDescent="0.25">
      <c r="A217" t="s">
        <v>31</v>
      </c>
      <c r="B217" s="5" t="s">
        <v>32</v>
      </c>
      <c r="C217" s="5" t="s">
        <v>33</v>
      </c>
      <c r="D217" s="5" t="s">
        <v>34</v>
      </c>
      <c r="E217" s="5" t="s">
        <v>3884</v>
      </c>
      <c r="F217" s="5" t="s">
        <v>36</v>
      </c>
      <c r="G217" s="5">
        <v>1141685</v>
      </c>
      <c r="H217" s="5" t="s">
        <v>3885</v>
      </c>
      <c r="I217" s="5" t="str">
        <f t="shared" si="0"/>
        <v>Reserved Instance Virtual Machine</v>
      </c>
      <c r="J217" s="5" t="s">
        <v>3885</v>
      </c>
      <c r="K217" s="5" t="str">
        <f t="shared" si="1"/>
        <v>Standard_D2s_v3</v>
      </c>
      <c r="L217" s="5" t="s">
        <v>3881</v>
      </c>
      <c r="M217" s="5" t="s">
        <v>3881</v>
      </c>
      <c r="N217" s="5">
        <f t="shared" si="2"/>
        <v>1</v>
      </c>
      <c r="O217" s="5" t="s">
        <v>3882</v>
      </c>
      <c r="P217" s="5" t="s">
        <v>63</v>
      </c>
      <c r="Q217" s="5" t="s">
        <v>3882</v>
      </c>
      <c r="R217" s="5" t="str">
        <f t="shared" si="3"/>
        <v>Virtual Machine</v>
      </c>
      <c r="S217" s="5" t="s">
        <v>67</v>
      </c>
      <c r="T217" s="5" t="s">
        <v>3882</v>
      </c>
      <c r="U217" s="5">
        <v>1</v>
      </c>
      <c r="V217" s="6">
        <v>565908.75</v>
      </c>
      <c r="W217" s="6">
        <f t="shared" ref="W217:W218" si="4">U217*V217</f>
        <v>565908.75</v>
      </c>
      <c r="X217" t="s">
        <v>3889</v>
      </c>
    </row>
    <row r="218" spans="1:24" x14ac:dyDescent="0.25">
      <c r="A218" t="s">
        <v>31</v>
      </c>
      <c r="B218" s="5" t="s">
        <v>32</v>
      </c>
      <c r="C218" s="5" t="s">
        <v>33</v>
      </c>
      <c r="D218" s="5" t="s">
        <v>34</v>
      </c>
      <c r="E218" s="5" t="s">
        <v>3886</v>
      </c>
      <c r="F218" s="5" t="s">
        <v>36</v>
      </c>
      <c r="G218" s="5">
        <v>1141685</v>
      </c>
      <c r="H218" s="5" t="s">
        <v>3887</v>
      </c>
      <c r="I218" s="5" t="str">
        <f t="shared" si="0"/>
        <v>Reserved Instance Virtual Machine</v>
      </c>
      <c r="J218" s="5" t="s">
        <v>3887</v>
      </c>
      <c r="K218" s="5" t="str">
        <f t="shared" si="1"/>
        <v>Standard_D4s_v3</v>
      </c>
      <c r="L218" s="5" t="s">
        <v>3881</v>
      </c>
      <c r="M218" s="5" t="s">
        <v>3881</v>
      </c>
      <c r="N218" s="5">
        <f t="shared" si="2"/>
        <v>3</v>
      </c>
      <c r="O218" s="5" t="s">
        <v>3882</v>
      </c>
      <c r="P218" s="5" t="s">
        <v>63</v>
      </c>
      <c r="Q218" s="5" t="s">
        <v>3882</v>
      </c>
      <c r="R218" s="5" t="str">
        <f t="shared" si="3"/>
        <v>Virtual Machine</v>
      </c>
      <c r="S218" s="5" t="s">
        <v>67</v>
      </c>
      <c r="T218" s="5" t="s">
        <v>3882</v>
      </c>
      <c r="U218" s="5">
        <v>3</v>
      </c>
      <c r="V218" s="6">
        <v>1131817.5</v>
      </c>
      <c r="W218" s="6">
        <f t="shared" si="4"/>
        <v>3395452.5</v>
      </c>
      <c r="X218" t="s">
        <v>3889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49"/>
  <sheetViews>
    <sheetView workbookViewId="0">
      <selection sqref="A1:W249"/>
    </sheetView>
  </sheetViews>
  <sheetFormatPr defaultRowHeight="15" x14ac:dyDescent="0.25"/>
  <cols>
    <col min="23" max="23" width="15.5703125" bestFit="1" customWidth="1"/>
  </cols>
  <sheetData>
    <row r="1" spans="1:2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9</v>
      </c>
      <c r="S1" t="s">
        <v>27</v>
      </c>
      <c r="T1" t="s">
        <v>28</v>
      </c>
      <c r="U1" t="s">
        <v>29</v>
      </c>
      <c r="V1" t="s">
        <v>30</v>
      </c>
      <c r="W1" t="s">
        <v>8</v>
      </c>
    </row>
    <row r="2" spans="1:23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1141685</v>
      </c>
      <c r="H2" t="s">
        <v>79</v>
      </c>
      <c r="I2" t="s">
        <v>94</v>
      </c>
      <c r="J2" t="s">
        <v>101</v>
      </c>
      <c r="K2" t="s">
        <v>114</v>
      </c>
      <c r="L2" s="1">
        <v>46143</v>
      </c>
      <c r="M2" s="1">
        <v>46173</v>
      </c>
      <c r="N2">
        <v>1.1211513E-3</v>
      </c>
      <c r="O2" t="s">
        <v>56</v>
      </c>
      <c r="P2" t="s">
        <v>63</v>
      </c>
      <c r="Q2" t="s">
        <v>1672</v>
      </c>
      <c r="R2" t="s">
        <v>1676</v>
      </c>
      <c r="S2" t="s">
        <v>67</v>
      </c>
      <c r="T2" t="s">
        <v>1699</v>
      </c>
      <c r="U2" t="s">
        <v>1857</v>
      </c>
      <c r="V2">
        <v>15</v>
      </c>
      <c r="W2" s="2">
        <v>1.5669961842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1141685</v>
      </c>
      <c r="H3" t="s">
        <v>75</v>
      </c>
      <c r="I3" t="s">
        <v>94</v>
      </c>
      <c r="J3" t="s">
        <v>98</v>
      </c>
      <c r="K3" t="s">
        <v>108</v>
      </c>
      <c r="L3" s="1">
        <v>46143</v>
      </c>
      <c r="M3" s="1">
        <v>46173</v>
      </c>
      <c r="N3">
        <v>7.0725381000000002E-3</v>
      </c>
      <c r="O3" t="s">
        <v>56</v>
      </c>
      <c r="P3" t="s">
        <v>63</v>
      </c>
      <c r="Q3" t="s">
        <v>1672</v>
      </c>
      <c r="R3" t="s">
        <v>1677</v>
      </c>
      <c r="S3" t="s">
        <v>67</v>
      </c>
      <c r="T3" t="s">
        <v>1700</v>
      </c>
      <c r="U3" t="s">
        <v>1858</v>
      </c>
      <c r="V3">
        <v>16</v>
      </c>
      <c r="W3" s="2">
        <v>13.525183312899999</v>
      </c>
    </row>
    <row r="4" spans="1:2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1141685</v>
      </c>
      <c r="H4" t="s">
        <v>75</v>
      </c>
      <c r="I4" t="s">
        <v>94</v>
      </c>
      <c r="J4" t="s">
        <v>98</v>
      </c>
      <c r="K4" t="s">
        <v>108</v>
      </c>
      <c r="L4" s="1">
        <v>46143</v>
      </c>
      <c r="M4" s="1">
        <v>46173</v>
      </c>
      <c r="N4">
        <v>8.1584965800000006E-2</v>
      </c>
      <c r="O4" t="s">
        <v>56</v>
      </c>
      <c r="P4" t="s">
        <v>63</v>
      </c>
      <c r="Q4" t="s">
        <v>1672</v>
      </c>
      <c r="R4" t="s">
        <v>1678</v>
      </c>
      <c r="S4" t="s">
        <v>67</v>
      </c>
      <c r="T4" t="s">
        <v>1701</v>
      </c>
      <c r="U4" t="s">
        <v>1859</v>
      </c>
      <c r="V4">
        <v>15</v>
      </c>
      <c r="W4" s="2">
        <v>160.74151665240001</v>
      </c>
    </row>
    <row r="5" spans="1:23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1141685</v>
      </c>
      <c r="H5" t="s">
        <v>76</v>
      </c>
      <c r="I5" t="s">
        <v>95</v>
      </c>
      <c r="J5" t="s">
        <v>99</v>
      </c>
      <c r="K5" t="s">
        <v>109</v>
      </c>
      <c r="L5" s="1">
        <v>46143</v>
      </c>
      <c r="M5" s="1">
        <v>46173</v>
      </c>
      <c r="N5">
        <v>1.966704</v>
      </c>
      <c r="O5" t="s">
        <v>58</v>
      </c>
      <c r="P5" t="s">
        <v>63</v>
      </c>
      <c r="Q5" t="s">
        <v>1673</v>
      </c>
      <c r="R5" t="s">
        <v>1676</v>
      </c>
      <c r="S5" t="s">
        <v>67</v>
      </c>
      <c r="T5" t="s">
        <v>1702</v>
      </c>
      <c r="U5" t="s">
        <v>1860</v>
      </c>
      <c r="V5">
        <v>16</v>
      </c>
      <c r="W5" s="2">
        <v>0</v>
      </c>
    </row>
    <row r="6" spans="1:23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1141685</v>
      </c>
      <c r="H6" t="s">
        <v>79</v>
      </c>
      <c r="I6" t="s">
        <v>94</v>
      </c>
      <c r="J6" t="s">
        <v>101</v>
      </c>
      <c r="K6" t="s">
        <v>116</v>
      </c>
      <c r="L6" s="1">
        <v>46143</v>
      </c>
      <c r="M6" s="1">
        <v>46173</v>
      </c>
      <c r="N6">
        <v>1.2571900000000001E-5</v>
      </c>
      <c r="O6" t="s">
        <v>56</v>
      </c>
      <c r="P6" t="s">
        <v>63</v>
      </c>
      <c r="Q6" t="s">
        <v>1672</v>
      </c>
      <c r="R6" t="s">
        <v>1678</v>
      </c>
      <c r="S6" t="s">
        <v>67</v>
      </c>
      <c r="T6" t="s">
        <v>1703</v>
      </c>
      <c r="U6" t="s">
        <v>1861</v>
      </c>
      <c r="V6">
        <v>16</v>
      </c>
      <c r="W6" s="2">
        <v>1.5440816200000001E-2</v>
      </c>
    </row>
    <row r="7" spans="1:23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1141685</v>
      </c>
      <c r="H7" t="s">
        <v>79</v>
      </c>
      <c r="I7" t="s">
        <v>94</v>
      </c>
      <c r="J7" t="s">
        <v>101</v>
      </c>
      <c r="K7" t="s">
        <v>116</v>
      </c>
      <c r="L7" s="1">
        <v>46143</v>
      </c>
      <c r="M7" s="1">
        <v>46173</v>
      </c>
      <c r="N7">
        <v>1.7705462649000001</v>
      </c>
      <c r="O7" t="s">
        <v>56</v>
      </c>
      <c r="P7" t="s">
        <v>63</v>
      </c>
      <c r="Q7" t="s">
        <v>1672</v>
      </c>
      <c r="R7" t="s">
        <v>1678</v>
      </c>
      <c r="S7" t="s">
        <v>67</v>
      </c>
      <c r="T7" t="s">
        <v>1704</v>
      </c>
      <c r="U7" t="s">
        <v>1862</v>
      </c>
      <c r="V7">
        <v>16</v>
      </c>
      <c r="W7" s="2">
        <v>2471.1120897309002</v>
      </c>
    </row>
    <row r="8" spans="1:23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1141685</v>
      </c>
      <c r="H8" t="s">
        <v>38</v>
      </c>
      <c r="I8" t="s">
        <v>38</v>
      </c>
      <c r="J8" t="s">
        <v>38</v>
      </c>
      <c r="K8" t="s">
        <v>50</v>
      </c>
      <c r="L8" s="1">
        <v>46143</v>
      </c>
      <c r="M8" s="1">
        <v>46173</v>
      </c>
      <c r="N8">
        <v>414</v>
      </c>
      <c r="O8" t="s">
        <v>61</v>
      </c>
      <c r="P8" t="s">
        <v>63</v>
      </c>
      <c r="Q8" t="s">
        <v>1674</v>
      </c>
      <c r="R8" t="s">
        <v>1679</v>
      </c>
      <c r="S8" t="s">
        <v>66</v>
      </c>
      <c r="T8" t="s">
        <v>1362</v>
      </c>
      <c r="U8" t="s">
        <v>1365</v>
      </c>
      <c r="V8">
        <v>6</v>
      </c>
      <c r="W8" s="2">
        <v>209.45187487999999</v>
      </c>
    </row>
    <row r="9" spans="1:23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1141685</v>
      </c>
      <c r="H9" t="s">
        <v>77</v>
      </c>
      <c r="I9" t="s">
        <v>96</v>
      </c>
      <c r="J9" t="s">
        <v>77</v>
      </c>
      <c r="K9" t="s">
        <v>110</v>
      </c>
      <c r="L9" s="1">
        <v>46143</v>
      </c>
      <c r="M9" s="1">
        <v>46173</v>
      </c>
      <c r="N9">
        <v>744</v>
      </c>
      <c r="O9" t="s">
        <v>58</v>
      </c>
      <c r="P9" t="s">
        <v>63</v>
      </c>
      <c r="Q9" t="s">
        <v>1675</v>
      </c>
      <c r="R9" t="s">
        <v>1680</v>
      </c>
      <c r="S9" t="s">
        <v>67</v>
      </c>
      <c r="T9" t="s">
        <v>1705</v>
      </c>
      <c r="U9" t="s">
        <v>1863</v>
      </c>
      <c r="V9">
        <v>7</v>
      </c>
      <c r="W9" s="2">
        <v>129798.2412</v>
      </c>
    </row>
    <row r="10" spans="1:23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1141685</v>
      </c>
      <c r="H10" t="s">
        <v>82</v>
      </c>
      <c r="I10" t="s">
        <v>82</v>
      </c>
      <c r="J10" t="s">
        <v>82</v>
      </c>
      <c r="K10" t="s">
        <v>118</v>
      </c>
      <c r="L10" s="1">
        <v>46143</v>
      </c>
      <c r="M10" s="1">
        <v>46173</v>
      </c>
      <c r="N10">
        <v>0.12872600000000001</v>
      </c>
      <c r="O10" t="s">
        <v>60</v>
      </c>
      <c r="P10" t="s">
        <v>63</v>
      </c>
      <c r="Q10" t="s">
        <v>1675</v>
      </c>
      <c r="R10" t="s">
        <v>149</v>
      </c>
      <c r="S10" t="s">
        <v>68</v>
      </c>
      <c r="T10" t="s">
        <v>1706</v>
      </c>
      <c r="U10" t="s">
        <v>1864</v>
      </c>
      <c r="V10">
        <v>7</v>
      </c>
      <c r="W10" s="2">
        <v>898.30533618639993</v>
      </c>
    </row>
    <row r="11" spans="1:23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1141685</v>
      </c>
      <c r="H11" t="s">
        <v>76</v>
      </c>
      <c r="I11" t="s">
        <v>95</v>
      </c>
      <c r="J11" t="s">
        <v>99</v>
      </c>
      <c r="K11" t="s">
        <v>109</v>
      </c>
      <c r="L11" s="1">
        <v>46143</v>
      </c>
      <c r="M11" s="1">
        <v>46173</v>
      </c>
      <c r="N11">
        <v>0.216671</v>
      </c>
      <c r="O11" t="s">
        <v>58</v>
      </c>
      <c r="P11" t="s">
        <v>63</v>
      </c>
      <c r="Q11" t="s">
        <v>1673</v>
      </c>
      <c r="R11" t="s">
        <v>1677</v>
      </c>
      <c r="S11" t="s">
        <v>67</v>
      </c>
      <c r="T11" t="s">
        <v>1707</v>
      </c>
      <c r="U11" t="s">
        <v>1865</v>
      </c>
      <c r="V11">
        <v>17</v>
      </c>
      <c r="W11" s="2">
        <v>0</v>
      </c>
    </row>
    <row r="12" spans="1:23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1141685</v>
      </c>
      <c r="H12" t="s">
        <v>76</v>
      </c>
      <c r="I12" t="s">
        <v>95</v>
      </c>
      <c r="J12" t="s">
        <v>99</v>
      </c>
      <c r="K12" t="s">
        <v>109</v>
      </c>
      <c r="L12" s="1">
        <v>46143</v>
      </c>
      <c r="M12" s="1">
        <v>46173</v>
      </c>
      <c r="N12">
        <v>62</v>
      </c>
      <c r="O12" t="s">
        <v>58</v>
      </c>
      <c r="P12" t="s">
        <v>63</v>
      </c>
      <c r="Q12" t="s">
        <v>1673</v>
      </c>
      <c r="R12" t="s">
        <v>1676</v>
      </c>
      <c r="S12" t="s">
        <v>67</v>
      </c>
      <c r="T12" t="s">
        <v>1702</v>
      </c>
      <c r="U12" t="s">
        <v>1860</v>
      </c>
      <c r="V12">
        <v>16</v>
      </c>
      <c r="W12" s="2">
        <v>0</v>
      </c>
    </row>
    <row r="13" spans="1:23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1141685</v>
      </c>
      <c r="H13" t="s">
        <v>77</v>
      </c>
      <c r="I13" t="s">
        <v>96</v>
      </c>
      <c r="J13" t="s">
        <v>77</v>
      </c>
      <c r="K13" t="s">
        <v>111</v>
      </c>
      <c r="L13" s="1">
        <v>46143</v>
      </c>
      <c r="M13" s="1">
        <v>46173</v>
      </c>
      <c r="N13">
        <v>2.7550496000000001E-3</v>
      </c>
      <c r="O13" t="s">
        <v>56</v>
      </c>
      <c r="P13" t="s">
        <v>63</v>
      </c>
      <c r="Q13" t="s">
        <v>1675</v>
      </c>
      <c r="R13" t="s">
        <v>1681</v>
      </c>
      <c r="S13" t="s">
        <v>67</v>
      </c>
      <c r="T13" t="s">
        <v>1708</v>
      </c>
      <c r="U13" t="s">
        <v>1866</v>
      </c>
      <c r="V13">
        <v>7</v>
      </c>
      <c r="W13" s="2">
        <v>0.48296844059999999</v>
      </c>
    </row>
    <row r="14" spans="1:23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1141685</v>
      </c>
      <c r="H14" t="s">
        <v>83</v>
      </c>
      <c r="I14" t="s">
        <v>97</v>
      </c>
      <c r="J14" t="s">
        <v>103</v>
      </c>
      <c r="K14" t="s">
        <v>119</v>
      </c>
      <c r="L14" s="1">
        <v>46143</v>
      </c>
      <c r="M14" s="1">
        <v>46173</v>
      </c>
      <c r="N14">
        <v>2108</v>
      </c>
      <c r="O14" t="s">
        <v>58</v>
      </c>
      <c r="P14" t="s">
        <v>63</v>
      </c>
      <c r="Q14" t="s">
        <v>1674</v>
      </c>
      <c r="R14" t="s">
        <v>1682</v>
      </c>
      <c r="S14" t="s">
        <v>67</v>
      </c>
      <c r="T14" t="s">
        <v>1709</v>
      </c>
      <c r="U14" t="s">
        <v>1867</v>
      </c>
      <c r="V14">
        <v>7</v>
      </c>
      <c r="W14" s="2">
        <v>3676366.4110534401</v>
      </c>
    </row>
    <row r="15" spans="1:23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1141685</v>
      </c>
      <c r="H15" t="s">
        <v>76</v>
      </c>
      <c r="I15" t="s">
        <v>95</v>
      </c>
      <c r="J15" t="s">
        <v>99</v>
      </c>
      <c r="K15" t="s">
        <v>109</v>
      </c>
      <c r="L15" s="1">
        <v>46143</v>
      </c>
      <c r="M15" s="1">
        <v>46173</v>
      </c>
      <c r="N15">
        <v>0.983352</v>
      </c>
      <c r="O15" t="s">
        <v>58</v>
      </c>
      <c r="P15" t="s">
        <v>63</v>
      </c>
      <c r="Q15" t="s">
        <v>1673</v>
      </c>
      <c r="R15" t="s">
        <v>1676</v>
      </c>
      <c r="S15" t="s">
        <v>67</v>
      </c>
      <c r="T15" t="s">
        <v>1702</v>
      </c>
      <c r="U15" t="s">
        <v>1860</v>
      </c>
      <c r="V15">
        <v>16</v>
      </c>
      <c r="W15" s="2">
        <v>0</v>
      </c>
    </row>
    <row r="16" spans="1:23" x14ac:dyDescent="0.25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1141685</v>
      </c>
      <c r="H16" t="s">
        <v>76</v>
      </c>
      <c r="I16" t="s">
        <v>95</v>
      </c>
      <c r="J16" t="s">
        <v>99</v>
      </c>
      <c r="K16" t="s">
        <v>109</v>
      </c>
      <c r="L16" s="1">
        <v>46143</v>
      </c>
      <c r="M16" s="1">
        <v>46173</v>
      </c>
      <c r="N16">
        <v>360</v>
      </c>
      <c r="O16" t="s">
        <v>58</v>
      </c>
      <c r="P16" t="s">
        <v>63</v>
      </c>
      <c r="Q16" t="s">
        <v>1673</v>
      </c>
      <c r="R16" t="s">
        <v>1676</v>
      </c>
      <c r="S16" t="s">
        <v>67</v>
      </c>
      <c r="T16" t="s">
        <v>1702</v>
      </c>
      <c r="U16" t="s">
        <v>1860</v>
      </c>
      <c r="V16">
        <v>16</v>
      </c>
      <c r="W16" s="2">
        <v>0</v>
      </c>
    </row>
    <row r="17" spans="1:23" x14ac:dyDescent="0.25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1141685</v>
      </c>
      <c r="H17" t="s">
        <v>77</v>
      </c>
      <c r="I17" t="s">
        <v>96</v>
      </c>
      <c r="J17" t="s">
        <v>77</v>
      </c>
      <c r="K17" t="s">
        <v>110</v>
      </c>
      <c r="L17" s="1">
        <v>46143</v>
      </c>
      <c r="M17" s="1">
        <v>46173</v>
      </c>
      <c r="N17">
        <v>744</v>
      </c>
      <c r="O17" t="s">
        <v>58</v>
      </c>
      <c r="P17" t="s">
        <v>63</v>
      </c>
      <c r="Q17" t="s">
        <v>1675</v>
      </c>
      <c r="R17" t="s">
        <v>1683</v>
      </c>
      <c r="S17" t="s">
        <v>67</v>
      </c>
      <c r="T17" t="s">
        <v>1710</v>
      </c>
      <c r="U17" t="s">
        <v>1868</v>
      </c>
      <c r="V17">
        <v>7</v>
      </c>
      <c r="W17" s="2">
        <v>129798.2412</v>
      </c>
    </row>
    <row r="18" spans="1:23" x14ac:dyDescent="0.2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1141685</v>
      </c>
      <c r="H18" t="s">
        <v>79</v>
      </c>
      <c r="I18" t="s">
        <v>94</v>
      </c>
      <c r="J18" t="s">
        <v>101</v>
      </c>
      <c r="K18" t="s">
        <v>114</v>
      </c>
      <c r="L18" s="1">
        <v>46143</v>
      </c>
      <c r="M18" s="1">
        <v>46173</v>
      </c>
      <c r="N18">
        <v>0.25168946009999998</v>
      </c>
      <c r="O18" t="s">
        <v>56</v>
      </c>
      <c r="P18" t="s">
        <v>63</v>
      </c>
      <c r="Q18" t="s">
        <v>1672</v>
      </c>
      <c r="R18" t="s">
        <v>1678</v>
      </c>
      <c r="S18" t="s">
        <v>67</v>
      </c>
      <c r="T18" t="s">
        <v>1711</v>
      </c>
      <c r="U18" t="s">
        <v>1869</v>
      </c>
      <c r="V18">
        <v>15</v>
      </c>
      <c r="W18" s="2">
        <v>351.27459222599998</v>
      </c>
    </row>
    <row r="19" spans="1:23" x14ac:dyDescent="0.2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1141685</v>
      </c>
      <c r="H19" t="s">
        <v>77</v>
      </c>
      <c r="I19" t="s">
        <v>96</v>
      </c>
      <c r="J19" t="s">
        <v>77</v>
      </c>
      <c r="K19" t="s">
        <v>113</v>
      </c>
      <c r="L19" s="1">
        <v>46143</v>
      </c>
      <c r="M19" s="1">
        <v>46173</v>
      </c>
      <c r="N19">
        <v>586.53646078889994</v>
      </c>
      <c r="O19" t="s">
        <v>56</v>
      </c>
      <c r="P19" t="s">
        <v>63</v>
      </c>
      <c r="Q19" t="s">
        <v>1672</v>
      </c>
      <c r="R19" t="s">
        <v>1678</v>
      </c>
      <c r="S19" t="s">
        <v>67</v>
      </c>
      <c r="T19" t="s">
        <v>1712</v>
      </c>
      <c r="U19" t="s">
        <v>1870</v>
      </c>
      <c r="V19">
        <v>16</v>
      </c>
      <c r="W19" s="2">
        <v>102327.1528353269</v>
      </c>
    </row>
    <row r="20" spans="1:23" x14ac:dyDescent="0.25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1141685</v>
      </c>
      <c r="H20" t="s">
        <v>77</v>
      </c>
      <c r="I20" t="s">
        <v>96</v>
      </c>
      <c r="J20" t="s">
        <v>77</v>
      </c>
      <c r="K20" t="s">
        <v>113</v>
      </c>
      <c r="L20" s="1">
        <v>46143</v>
      </c>
      <c r="M20" s="1">
        <v>46173</v>
      </c>
      <c r="N20">
        <v>3.6407551699999999E-2</v>
      </c>
      <c r="O20" t="s">
        <v>56</v>
      </c>
      <c r="P20" t="s">
        <v>63</v>
      </c>
      <c r="Q20" t="s">
        <v>1672</v>
      </c>
      <c r="R20" t="s">
        <v>1678</v>
      </c>
      <c r="S20" t="s">
        <v>67</v>
      </c>
      <c r="T20" t="s">
        <v>1713</v>
      </c>
      <c r="U20" t="s">
        <v>1871</v>
      </c>
      <c r="V20">
        <v>16</v>
      </c>
      <c r="W20" s="2">
        <v>6.3494620974</v>
      </c>
    </row>
    <row r="21" spans="1:23" x14ac:dyDescent="0.2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1141685</v>
      </c>
      <c r="H21" t="s">
        <v>87</v>
      </c>
      <c r="I21" t="s">
        <v>87</v>
      </c>
      <c r="J21" t="s">
        <v>87</v>
      </c>
      <c r="K21" t="s">
        <v>131</v>
      </c>
      <c r="L21" s="1">
        <v>46143</v>
      </c>
      <c r="M21" s="1">
        <v>46173</v>
      </c>
      <c r="N21">
        <v>84.512569465699997</v>
      </c>
      <c r="O21" t="s">
        <v>56</v>
      </c>
      <c r="P21" t="s">
        <v>63</v>
      </c>
      <c r="Q21" t="s">
        <v>1672</v>
      </c>
      <c r="R21" t="s">
        <v>158</v>
      </c>
      <c r="S21" t="s">
        <v>67</v>
      </c>
      <c r="T21" t="s">
        <v>1714</v>
      </c>
      <c r="U21" t="s">
        <v>1872</v>
      </c>
      <c r="V21">
        <v>12</v>
      </c>
      <c r="W21" s="2">
        <v>7372.0276623519003</v>
      </c>
    </row>
    <row r="22" spans="1:23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1141685</v>
      </c>
      <c r="H22" t="s">
        <v>77</v>
      </c>
      <c r="I22" t="s">
        <v>96</v>
      </c>
      <c r="J22" t="s">
        <v>77</v>
      </c>
      <c r="K22" t="s">
        <v>110</v>
      </c>
      <c r="L22" s="1">
        <v>46143</v>
      </c>
      <c r="M22" s="1">
        <v>46173</v>
      </c>
      <c r="N22">
        <v>744</v>
      </c>
      <c r="O22" t="s">
        <v>58</v>
      </c>
      <c r="P22" t="s">
        <v>63</v>
      </c>
      <c r="Q22" t="s">
        <v>1675</v>
      </c>
      <c r="R22" t="s">
        <v>1684</v>
      </c>
      <c r="S22" t="s">
        <v>67</v>
      </c>
      <c r="T22" t="s">
        <v>1715</v>
      </c>
      <c r="U22" t="s">
        <v>1873</v>
      </c>
      <c r="V22">
        <v>7</v>
      </c>
      <c r="W22" s="2">
        <v>129798.2412</v>
      </c>
    </row>
    <row r="23" spans="1:23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1141685</v>
      </c>
      <c r="H23" t="s">
        <v>76</v>
      </c>
      <c r="I23" t="s">
        <v>95</v>
      </c>
      <c r="J23" t="s">
        <v>99</v>
      </c>
      <c r="K23" t="s">
        <v>109</v>
      </c>
      <c r="L23" s="1">
        <v>46143</v>
      </c>
      <c r="M23" s="1">
        <v>46173</v>
      </c>
      <c r="N23">
        <v>0.13333600000000001</v>
      </c>
      <c r="O23" t="s">
        <v>58</v>
      </c>
      <c r="P23" t="s">
        <v>63</v>
      </c>
      <c r="Q23" t="s">
        <v>1673</v>
      </c>
      <c r="R23" t="s">
        <v>1678</v>
      </c>
      <c r="S23" t="s">
        <v>67</v>
      </c>
      <c r="T23" t="s">
        <v>1716</v>
      </c>
      <c r="U23" t="s">
        <v>1874</v>
      </c>
      <c r="V23">
        <v>16</v>
      </c>
      <c r="W23" s="2">
        <v>0</v>
      </c>
    </row>
    <row r="24" spans="1:23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1141685</v>
      </c>
      <c r="H24" t="s">
        <v>76</v>
      </c>
      <c r="I24" t="s">
        <v>95</v>
      </c>
      <c r="J24" t="s">
        <v>99</v>
      </c>
      <c r="K24" t="s">
        <v>109</v>
      </c>
      <c r="L24" s="1">
        <v>46143</v>
      </c>
      <c r="M24" s="1">
        <v>46173</v>
      </c>
      <c r="N24">
        <v>139</v>
      </c>
      <c r="O24" t="s">
        <v>58</v>
      </c>
      <c r="P24" t="s">
        <v>63</v>
      </c>
      <c r="Q24" t="s">
        <v>1673</v>
      </c>
      <c r="R24" t="s">
        <v>1677</v>
      </c>
      <c r="S24" t="s">
        <v>67</v>
      </c>
      <c r="T24" t="s">
        <v>1717</v>
      </c>
      <c r="U24" t="s">
        <v>1875</v>
      </c>
      <c r="V24">
        <v>16</v>
      </c>
      <c r="W24" s="2">
        <v>0</v>
      </c>
    </row>
    <row r="25" spans="1:23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1141685</v>
      </c>
      <c r="H25" t="s">
        <v>75</v>
      </c>
      <c r="I25" t="s">
        <v>94</v>
      </c>
      <c r="J25" t="s">
        <v>98</v>
      </c>
      <c r="K25" t="s">
        <v>108</v>
      </c>
      <c r="L25" s="1">
        <v>46143</v>
      </c>
      <c r="M25" s="1">
        <v>46173</v>
      </c>
      <c r="N25">
        <v>9.9247320000000008E-4</v>
      </c>
      <c r="O25" t="s">
        <v>56</v>
      </c>
      <c r="P25" t="s">
        <v>63</v>
      </c>
      <c r="Q25" t="s">
        <v>1672</v>
      </c>
      <c r="R25" t="s">
        <v>1676</v>
      </c>
      <c r="S25" t="s">
        <v>67</v>
      </c>
      <c r="T25" t="s">
        <v>1718</v>
      </c>
      <c r="U25" t="s">
        <v>1876</v>
      </c>
      <c r="V25">
        <v>15</v>
      </c>
      <c r="W25" s="2">
        <v>2.0784310217000002</v>
      </c>
    </row>
    <row r="26" spans="1:23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1141685</v>
      </c>
      <c r="H26" t="s">
        <v>80</v>
      </c>
      <c r="I26" t="s">
        <v>96</v>
      </c>
      <c r="J26" t="s">
        <v>80</v>
      </c>
      <c r="K26" t="s">
        <v>115</v>
      </c>
      <c r="L26" s="1">
        <v>46143</v>
      </c>
      <c r="M26" s="1">
        <v>46173</v>
      </c>
      <c r="N26">
        <v>3.3966154800000002E-2</v>
      </c>
      <c r="O26" t="s">
        <v>56</v>
      </c>
      <c r="P26" t="s">
        <v>63</v>
      </c>
      <c r="Q26" t="s">
        <v>1672</v>
      </c>
      <c r="R26" t="s">
        <v>1676</v>
      </c>
      <c r="S26" t="s">
        <v>67</v>
      </c>
      <c r="T26" t="s">
        <v>1719</v>
      </c>
      <c r="U26" t="s">
        <v>1877</v>
      </c>
      <c r="V26">
        <v>15</v>
      </c>
      <c r="W26" s="2">
        <v>5.9246471206000004</v>
      </c>
    </row>
    <row r="27" spans="1:23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1141685</v>
      </c>
      <c r="H27" t="s">
        <v>75</v>
      </c>
      <c r="I27" t="s">
        <v>94</v>
      </c>
      <c r="J27" t="s">
        <v>98</v>
      </c>
      <c r="K27" t="s">
        <v>108</v>
      </c>
      <c r="L27" s="1">
        <v>46143</v>
      </c>
      <c r="M27" s="1">
        <v>46173</v>
      </c>
      <c r="N27">
        <v>0.26304592469999999</v>
      </c>
      <c r="O27" t="s">
        <v>56</v>
      </c>
      <c r="P27" t="s">
        <v>63</v>
      </c>
      <c r="Q27" t="s">
        <v>1672</v>
      </c>
      <c r="R27" t="s">
        <v>1678</v>
      </c>
      <c r="S27" t="s">
        <v>67</v>
      </c>
      <c r="T27" t="s">
        <v>1720</v>
      </c>
      <c r="U27" t="s">
        <v>1878</v>
      </c>
      <c r="V27">
        <v>16</v>
      </c>
      <c r="W27" s="2">
        <v>550.68887579169996</v>
      </c>
    </row>
    <row r="28" spans="1:23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1141685</v>
      </c>
      <c r="H28" t="s">
        <v>75</v>
      </c>
      <c r="I28" t="s">
        <v>94</v>
      </c>
      <c r="J28" t="s">
        <v>98</v>
      </c>
      <c r="K28" t="s">
        <v>108</v>
      </c>
      <c r="L28" s="1">
        <v>46143</v>
      </c>
      <c r="M28" s="1">
        <v>46173</v>
      </c>
      <c r="N28">
        <v>1.549721E-4</v>
      </c>
      <c r="O28" t="s">
        <v>56</v>
      </c>
      <c r="P28" t="s">
        <v>63</v>
      </c>
      <c r="Q28" t="s">
        <v>1672</v>
      </c>
      <c r="R28" t="s">
        <v>1678</v>
      </c>
      <c r="S28" t="s">
        <v>67</v>
      </c>
      <c r="T28" t="s">
        <v>1721</v>
      </c>
      <c r="U28" t="s">
        <v>1879</v>
      </c>
      <c r="V28">
        <v>16</v>
      </c>
      <c r="W28" s="2">
        <v>0.32550468440000002</v>
      </c>
    </row>
    <row r="29" spans="1:23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1141685</v>
      </c>
      <c r="H29" t="s">
        <v>75</v>
      </c>
      <c r="I29" t="s">
        <v>94</v>
      </c>
      <c r="J29" t="s">
        <v>98</v>
      </c>
      <c r="K29" t="s">
        <v>108</v>
      </c>
      <c r="L29" s="1">
        <v>46143</v>
      </c>
      <c r="M29" s="1">
        <v>46173</v>
      </c>
      <c r="N29">
        <v>8.0713100000000005E-5</v>
      </c>
      <c r="O29" t="s">
        <v>56</v>
      </c>
      <c r="P29" t="s">
        <v>63</v>
      </c>
      <c r="Q29" t="s">
        <v>1672</v>
      </c>
      <c r="R29" t="s">
        <v>1678</v>
      </c>
      <c r="S29" t="s">
        <v>67</v>
      </c>
      <c r="T29" t="s">
        <v>1722</v>
      </c>
      <c r="U29" t="s">
        <v>1880</v>
      </c>
      <c r="V29">
        <v>16</v>
      </c>
      <c r="W29" s="2">
        <v>0.16869749680000001</v>
      </c>
    </row>
    <row r="30" spans="1:23" x14ac:dyDescent="0.25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1141685</v>
      </c>
      <c r="H30" t="s">
        <v>75</v>
      </c>
      <c r="I30" t="s">
        <v>94</v>
      </c>
      <c r="J30" t="s">
        <v>98</v>
      </c>
      <c r="K30" t="s">
        <v>108</v>
      </c>
      <c r="L30" s="1">
        <v>46143</v>
      </c>
      <c r="M30" s="1">
        <v>46173</v>
      </c>
      <c r="N30">
        <v>3.1958032400000003E-2</v>
      </c>
      <c r="O30" t="s">
        <v>56</v>
      </c>
      <c r="P30" t="s">
        <v>63</v>
      </c>
      <c r="Q30" t="s">
        <v>1672</v>
      </c>
      <c r="R30" t="s">
        <v>1676</v>
      </c>
      <c r="S30" t="s">
        <v>67</v>
      </c>
      <c r="T30" t="s">
        <v>1723</v>
      </c>
      <c r="U30" t="s">
        <v>1881</v>
      </c>
      <c r="V30">
        <v>16</v>
      </c>
      <c r="W30" s="2">
        <v>66.906206388499996</v>
      </c>
    </row>
    <row r="31" spans="1:23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1141685</v>
      </c>
      <c r="H31" t="s">
        <v>80</v>
      </c>
      <c r="I31" t="s">
        <v>96</v>
      </c>
      <c r="J31" t="s">
        <v>80</v>
      </c>
      <c r="K31" t="s">
        <v>115</v>
      </c>
      <c r="L31" s="1">
        <v>46143</v>
      </c>
      <c r="M31" s="1">
        <v>46173</v>
      </c>
      <c r="N31">
        <v>0.14686005469999999</v>
      </c>
      <c r="O31" t="s">
        <v>56</v>
      </c>
      <c r="P31" t="s">
        <v>63</v>
      </c>
      <c r="Q31" t="s">
        <v>1672</v>
      </c>
      <c r="R31" t="s">
        <v>1676</v>
      </c>
      <c r="S31" t="s">
        <v>67</v>
      </c>
      <c r="T31" t="s">
        <v>1724</v>
      </c>
      <c r="U31" t="s">
        <v>1882</v>
      </c>
      <c r="V31">
        <v>16</v>
      </c>
      <c r="W31" s="2">
        <v>25.6166605236</v>
      </c>
    </row>
    <row r="32" spans="1:23" x14ac:dyDescent="0.25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1141685</v>
      </c>
      <c r="H32" t="s">
        <v>80</v>
      </c>
      <c r="I32" t="s">
        <v>96</v>
      </c>
      <c r="J32" t="s">
        <v>80</v>
      </c>
      <c r="K32" t="s">
        <v>115</v>
      </c>
      <c r="L32" s="1">
        <v>46143</v>
      </c>
      <c r="M32" s="1">
        <v>46173</v>
      </c>
      <c r="N32">
        <v>3.1834190000000002E-4</v>
      </c>
      <c r="O32" t="s">
        <v>56</v>
      </c>
      <c r="P32" t="s">
        <v>63</v>
      </c>
      <c r="Q32" t="s">
        <v>1672</v>
      </c>
      <c r="R32" t="s">
        <v>1678</v>
      </c>
      <c r="S32" t="s">
        <v>67</v>
      </c>
      <c r="T32" t="s">
        <v>1725</v>
      </c>
      <c r="U32" t="s">
        <v>1883</v>
      </c>
      <c r="V32">
        <v>16</v>
      </c>
      <c r="W32" s="2">
        <v>5.8873374700000002E-2</v>
      </c>
    </row>
    <row r="33" spans="1:23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1141685</v>
      </c>
      <c r="H33" t="s">
        <v>80</v>
      </c>
      <c r="I33" t="s">
        <v>96</v>
      </c>
      <c r="J33" t="s">
        <v>80</v>
      </c>
      <c r="K33" t="s">
        <v>115</v>
      </c>
      <c r="L33" s="1">
        <v>46143</v>
      </c>
      <c r="M33" s="1">
        <v>46173</v>
      </c>
      <c r="N33">
        <v>3.8037283960999999</v>
      </c>
      <c r="O33" t="s">
        <v>56</v>
      </c>
      <c r="P33" t="s">
        <v>63</v>
      </c>
      <c r="Q33" t="s">
        <v>1672</v>
      </c>
      <c r="R33" t="s">
        <v>1678</v>
      </c>
      <c r="S33" t="s">
        <v>67</v>
      </c>
      <c r="T33" t="s">
        <v>1726</v>
      </c>
      <c r="U33" t="s">
        <v>1884</v>
      </c>
      <c r="V33">
        <v>16</v>
      </c>
      <c r="W33" s="2">
        <v>663.59664125910001</v>
      </c>
    </row>
    <row r="34" spans="1:23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>
        <v>1141685</v>
      </c>
      <c r="H34" t="s">
        <v>75</v>
      </c>
      <c r="I34" t="s">
        <v>94</v>
      </c>
      <c r="J34" t="s">
        <v>98</v>
      </c>
      <c r="K34" t="s">
        <v>108</v>
      </c>
      <c r="L34" s="1">
        <v>46143</v>
      </c>
      <c r="M34" s="1">
        <v>46173</v>
      </c>
      <c r="N34">
        <v>1.4412152000000001E-3</v>
      </c>
      <c r="O34" t="s">
        <v>56</v>
      </c>
      <c r="P34" t="s">
        <v>63</v>
      </c>
      <c r="Q34" t="s">
        <v>1672</v>
      </c>
      <c r="R34" t="s">
        <v>1677</v>
      </c>
      <c r="S34" t="s">
        <v>67</v>
      </c>
      <c r="T34" t="s">
        <v>1727</v>
      </c>
      <c r="U34" t="s">
        <v>1885</v>
      </c>
      <c r="V34">
        <v>17</v>
      </c>
      <c r="W34" s="2">
        <v>3.0151472394000001</v>
      </c>
    </row>
    <row r="35" spans="1:23" x14ac:dyDescent="0.25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>
        <v>1141685</v>
      </c>
      <c r="H35" t="s">
        <v>75</v>
      </c>
      <c r="I35" t="s">
        <v>94</v>
      </c>
      <c r="J35" t="s">
        <v>98</v>
      </c>
      <c r="K35" t="s">
        <v>108</v>
      </c>
      <c r="L35" s="1">
        <v>46143</v>
      </c>
      <c r="M35" s="1">
        <v>46173</v>
      </c>
      <c r="N35">
        <v>2.2552213826999998</v>
      </c>
      <c r="O35" t="s">
        <v>56</v>
      </c>
      <c r="P35" t="s">
        <v>63</v>
      </c>
      <c r="Q35" t="s">
        <v>1672</v>
      </c>
      <c r="R35" t="s">
        <v>1677</v>
      </c>
      <c r="S35" t="s">
        <v>67</v>
      </c>
      <c r="T35" t="s">
        <v>1728</v>
      </c>
      <c r="U35" t="s">
        <v>1886</v>
      </c>
      <c r="V35">
        <v>17</v>
      </c>
      <c r="W35" s="2">
        <v>4721.3489408418991</v>
      </c>
    </row>
    <row r="36" spans="1:23" x14ac:dyDescent="0.25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>
        <v>1141685</v>
      </c>
      <c r="H36" t="s">
        <v>75</v>
      </c>
      <c r="I36" t="s">
        <v>94</v>
      </c>
      <c r="J36" t="s">
        <v>98</v>
      </c>
      <c r="K36" t="s">
        <v>108</v>
      </c>
      <c r="L36" s="1">
        <v>46143</v>
      </c>
      <c r="M36" s="1">
        <v>46173</v>
      </c>
      <c r="N36">
        <v>0.4073169995</v>
      </c>
      <c r="O36" t="s">
        <v>56</v>
      </c>
      <c r="P36" t="s">
        <v>63</v>
      </c>
      <c r="Q36" t="s">
        <v>1672</v>
      </c>
      <c r="R36" t="s">
        <v>1678</v>
      </c>
      <c r="S36" t="s">
        <v>67</v>
      </c>
      <c r="T36" t="s">
        <v>1729</v>
      </c>
      <c r="U36" t="s">
        <v>1887</v>
      </c>
      <c r="V36">
        <v>16</v>
      </c>
      <c r="W36" s="2">
        <v>852.72913063390001</v>
      </c>
    </row>
    <row r="37" spans="1:23" x14ac:dyDescent="0.25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>
        <v>1141685</v>
      </c>
      <c r="H37" t="s">
        <v>82</v>
      </c>
      <c r="I37" t="s">
        <v>82</v>
      </c>
      <c r="J37" t="s">
        <v>82</v>
      </c>
      <c r="K37" t="s">
        <v>118</v>
      </c>
      <c r="L37" s="1">
        <v>46143</v>
      </c>
      <c r="M37" s="1">
        <v>46173</v>
      </c>
      <c r="N37">
        <v>0.14521100000000001</v>
      </c>
      <c r="O37" t="s">
        <v>60</v>
      </c>
      <c r="P37" t="s">
        <v>63</v>
      </c>
      <c r="Q37" t="s">
        <v>1675</v>
      </c>
      <c r="R37" t="s">
        <v>148</v>
      </c>
      <c r="S37" t="s">
        <v>68</v>
      </c>
      <c r="T37" t="s">
        <v>1730</v>
      </c>
      <c r="U37" t="s">
        <v>1888</v>
      </c>
      <c r="V37">
        <v>7</v>
      </c>
      <c r="W37" s="2">
        <v>1013.339589312</v>
      </c>
    </row>
    <row r="38" spans="1:23" x14ac:dyDescent="0.25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>
        <v>1141685</v>
      </c>
      <c r="H38" t="s">
        <v>80</v>
      </c>
      <c r="I38" t="s">
        <v>96</v>
      </c>
      <c r="J38" t="s">
        <v>80</v>
      </c>
      <c r="K38" t="s">
        <v>115</v>
      </c>
      <c r="L38" s="1">
        <v>46143</v>
      </c>
      <c r="M38" s="1">
        <v>46173</v>
      </c>
      <c r="N38">
        <v>8.9776329999999998E-4</v>
      </c>
      <c r="O38" t="s">
        <v>56</v>
      </c>
      <c r="P38" t="s">
        <v>63</v>
      </c>
      <c r="Q38" t="s">
        <v>1672</v>
      </c>
      <c r="R38" t="s">
        <v>1678</v>
      </c>
      <c r="S38" t="s">
        <v>67</v>
      </c>
      <c r="T38" t="s">
        <v>1731</v>
      </c>
      <c r="U38" t="s">
        <v>1889</v>
      </c>
      <c r="V38">
        <v>15</v>
      </c>
      <c r="W38" s="2">
        <v>0.15782893049999999</v>
      </c>
    </row>
    <row r="39" spans="1:23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>
        <v>1141685</v>
      </c>
      <c r="H39" t="s">
        <v>83</v>
      </c>
      <c r="I39" t="s">
        <v>97</v>
      </c>
      <c r="J39" t="s">
        <v>103</v>
      </c>
      <c r="K39" t="s">
        <v>119</v>
      </c>
      <c r="L39" s="1">
        <v>46143</v>
      </c>
      <c r="M39" s="1">
        <v>46173</v>
      </c>
      <c r="N39">
        <v>434</v>
      </c>
      <c r="O39" t="s">
        <v>58</v>
      </c>
      <c r="P39" t="s">
        <v>63</v>
      </c>
      <c r="Q39" t="s">
        <v>1674</v>
      </c>
      <c r="R39" t="s">
        <v>1682</v>
      </c>
      <c r="S39" t="s">
        <v>67</v>
      </c>
      <c r="T39" t="s">
        <v>1732</v>
      </c>
      <c r="U39" t="s">
        <v>1890</v>
      </c>
      <c r="V39">
        <v>7</v>
      </c>
      <c r="W39" s="2">
        <v>756898.97080511996</v>
      </c>
    </row>
    <row r="40" spans="1:23" x14ac:dyDescent="0.25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>
        <v>1141685</v>
      </c>
      <c r="H40" t="s">
        <v>81</v>
      </c>
      <c r="I40" t="s">
        <v>97</v>
      </c>
      <c r="J40" t="s">
        <v>102</v>
      </c>
      <c r="K40" t="s">
        <v>117</v>
      </c>
      <c r="L40" s="1">
        <v>46143</v>
      </c>
      <c r="M40" s="1">
        <v>46173</v>
      </c>
      <c r="N40">
        <v>392</v>
      </c>
      <c r="O40" t="s">
        <v>58</v>
      </c>
      <c r="P40" t="s">
        <v>63</v>
      </c>
      <c r="Q40" t="s">
        <v>1674</v>
      </c>
      <c r="R40" t="s">
        <v>1682</v>
      </c>
      <c r="S40" t="s">
        <v>67</v>
      </c>
      <c r="T40" t="s">
        <v>1733</v>
      </c>
      <c r="U40" t="s">
        <v>1891</v>
      </c>
      <c r="V40">
        <v>7</v>
      </c>
      <c r="W40" s="2">
        <v>0</v>
      </c>
    </row>
    <row r="41" spans="1:23" x14ac:dyDescent="0.25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>
        <v>1141685</v>
      </c>
      <c r="H41" t="s">
        <v>76</v>
      </c>
      <c r="I41" t="s">
        <v>95</v>
      </c>
      <c r="J41" t="s">
        <v>99</v>
      </c>
      <c r="K41" t="s">
        <v>109</v>
      </c>
      <c r="L41" s="1">
        <v>46143</v>
      </c>
      <c r="M41" s="1">
        <v>46173</v>
      </c>
      <c r="N41">
        <v>0.16666900000000001</v>
      </c>
      <c r="O41" t="s">
        <v>58</v>
      </c>
      <c r="P41" t="s">
        <v>63</v>
      </c>
      <c r="Q41" t="s">
        <v>1673</v>
      </c>
      <c r="R41" t="s">
        <v>1678</v>
      </c>
      <c r="S41" t="s">
        <v>67</v>
      </c>
      <c r="T41" t="s">
        <v>1716</v>
      </c>
      <c r="U41" t="s">
        <v>1874</v>
      </c>
      <c r="V41">
        <v>16</v>
      </c>
      <c r="W41" s="2">
        <v>0</v>
      </c>
    </row>
    <row r="42" spans="1:23" x14ac:dyDescent="0.25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>
        <v>1141685</v>
      </c>
      <c r="H42" t="s">
        <v>76</v>
      </c>
      <c r="I42" t="s">
        <v>95</v>
      </c>
      <c r="J42" t="s">
        <v>99</v>
      </c>
      <c r="K42" t="s">
        <v>109</v>
      </c>
      <c r="L42" s="1">
        <v>46143</v>
      </c>
      <c r="M42" s="1">
        <v>46173</v>
      </c>
      <c r="N42">
        <v>2.950056</v>
      </c>
      <c r="O42" t="s">
        <v>58</v>
      </c>
      <c r="P42" t="s">
        <v>63</v>
      </c>
      <c r="Q42" t="s">
        <v>1673</v>
      </c>
      <c r="R42" t="s">
        <v>1678</v>
      </c>
      <c r="S42" t="s">
        <v>67</v>
      </c>
      <c r="T42" t="s">
        <v>1716</v>
      </c>
      <c r="U42" t="s">
        <v>1874</v>
      </c>
      <c r="V42">
        <v>16</v>
      </c>
      <c r="W42" s="2">
        <v>0</v>
      </c>
    </row>
    <row r="43" spans="1:23" x14ac:dyDescent="0.2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>
        <v>1141685</v>
      </c>
      <c r="H43" t="s">
        <v>86</v>
      </c>
      <c r="I43" t="s">
        <v>42</v>
      </c>
      <c r="J43" t="s">
        <v>86</v>
      </c>
      <c r="K43" t="s">
        <v>132</v>
      </c>
      <c r="L43" s="1">
        <v>46143</v>
      </c>
      <c r="M43" s="1">
        <v>46173</v>
      </c>
      <c r="N43">
        <v>0.99993600000000005</v>
      </c>
      <c r="O43" t="s">
        <v>135</v>
      </c>
      <c r="P43" t="s">
        <v>63</v>
      </c>
      <c r="Q43" t="s">
        <v>1673</v>
      </c>
      <c r="R43" t="s">
        <v>1685</v>
      </c>
      <c r="S43" t="s">
        <v>67</v>
      </c>
      <c r="T43" t="s">
        <v>1734</v>
      </c>
      <c r="U43" t="s">
        <v>1892</v>
      </c>
      <c r="V43">
        <v>10</v>
      </c>
      <c r="W43" s="2">
        <v>178059.92438314491</v>
      </c>
    </row>
    <row r="44" spans="1:23" x14ac:dyDescent="0.25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>
        <v>1141685</v>
      </c>
      <c r="H44" t="s">
        <v>77</v>
      </c>
      <c r="I44" t="s">
        <v>96</v>
      </c>
      <c r="J44" t="s">
        <v>77</v>
      </c>
      <c r="K44" t="s">
        <v>110</v>
      </c>
      <c r="L44" s="1">
        <v>46143</v>
      </c>
      <c r="M44" s="1">
        <v>46173</v>
      </c>
      <c r="N44">
        <v>744</v>
      </c>
      <c r="O44" t="s">
        <v>58</v>
      </c>
      <c r="P44" t="s">
        <v>63</v>
      </c>
      <c r="Q44" t="s">
        <v>1675</v>
      </c>
      <c r="R44" t="s">
        <v>1686</v>
      </c>
      <c r="S44" t="s">
        <v>67</v>
      </c>
      <c r="T44" t="s">
        <v>1710</v>
      </c>
      <c r="U44" t="s">
        <v>1868</v>
      </c>
      <c r="V44">
        <v>7</v>
      </c>
      <c r="W44" s="2">
        <v>129798.2412</v>
      </c>
    </row>
    <row r="45" spans="1:23" x14ac:dyDescent="0.25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>
        <v>1141685</v>
      </c>
      <c r="H45" t="s">
        <v>77</v>
      </c>
      <c r="I45" t="s">
        <v>96</v>
      </c>
      <c r="J45" t="s">
        <v>77</v>
      </c>
      <c r="K45" t="s">
        <v>113</v>
      </c>
      <c r="L45" s="1">
        <v>46143</v>
      </c>
      <c r="M45" s="1">
        <v>46173</v>
      </c>
      <c r="N45">
        <v>203.00173925050001</v>
      </c>
      <c r="O45" t="s">
        <v>56</v>
      </c>
      <c r="P45" t="s">
        <v>63</v>
      </c>
      <c r="Q45" t="s">
        <v>1672</v>
      </c>
      <c r="R45" t="s">
        <v>1676</v>
      </c>
      <c r="S45" t="s">
        <v>67</v>
      </c>
      <c r="T45" t="s">
        <v>1735</v>
      </c>
      <c r="U45" t="s">
        <v>1893</v>
      </c>
      <c r="V45">
        <v>16</v>
      </c>
      <c r="W45" s="2">
        <v>35415.681418084598</v>
      </c>
    </row>
    <row r="46" spans="1:23" x14ac:dyDescent="0.25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>
        <v>1141685</v>
      </c>
      <c r="H46" t="s">
        <v>77</v>
      </c>
      <c r="I46" t="s">
        <v>96</v>
      </c>
      <c r="J46" t="s">
        <v>77</v>
      </c>
      <c r="K46" t="s">
        <v>113</v>
      </c>
      <c r="L46" s="1">
        <v>46143</v>
      </c>
      <c r="M46" s="1">
        <v>46173</v>
      </c>
      <c r="N46">
        <v>0.2402032493</v>
      </c>
      <c r="O46" t="s">
        <v>56</v>
      </c>
      <c r="P46" t="s">
        <v>63</v>
      </c>
      <c r="Q46" t="s">
        <v>1672</v>
      </c>
      <c r="R46" t="s">
        <v>1678</v>
      </c>
      <c r="S46" t="s">
        <v>67</v>
      </c>
      <c r="T46" t="s">
        <v>1736</v>
      </c>
      <c r="U46" t="s">
        <v>1894</v>
      </c>
      <c r="V46">
        <v>15</v>
      </c>
      <c r="W46" s="2">
        <v>41.907155803099997</v>
      </c>
    </row>
    <row r="47" spans="1:23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>
        <v>1141685</v>
      </c>
      <c r="H47" t="s">
        <v>77</v>
      </c>
      <c r="I47" t="s">
        <v>96</v>
      </c>
      <c r="J47" t="s">
        <v>77</v>
      </c>
      <c r="K47" t="s">
        <v>113</v>
      </c>
      <c r="L47" s="1">
        <v>46143</v>
      </c>
      <c r="M47" s="1">
        <v>46173</v>
      </c>
      <c r="N47">
        <v>99.246399980000007</v>
      </c>
      <c r="O47" t="s">
        <v>56</v>
      </c>
      <c r="P47" t="s">
        <v>63</v>
      </c>
      <c r="Q47" t="s">
        <v>1672</v>
      </c>
      <c r="R47" t="s">
        <v>1678</v>
      </c>
      <c r="S47" t="s">
        <v>67</v>
      </c>
      <c r="T47" t="s">
        <v>1737</v>
      </c>
      <c r="U47" t="s">
        <v>1895</v>
      </c>
      <c r="V47">
        <v>15</v>
      </c>
      <c r="W47" s="2">
        <v>17314.5237076554</v>
      </c>
    </row>
    <row r="48" spans="1:23" x14ac:dyDescent="0.25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>
        <v>1141685</v>
      </c>
      <c r="H48" t="s">
        <v>77</v>
      </c>
      <c r="I48" t="s">
        <v>96</v>
      </c>
      <c r="J48" t="s">
        <v>77</v>
      </c>
      <c r="K48" t="s">
        <v>113</v>
      </c>
      <c r="L48" s="1">
        <v>46143</v>
      </c>
      <c r="M48" s="1">
        <v>46173</v>
      </c>
      <c r="N48">
        <v>141.60109929550001</v>
      </c>
      <c r="O48" t="s">
        <v>56</v>
      </c>
      <c r="P48" t="s">
        <v>63</v>
      </c>
      <c r="Q48" t="s">
        <v>1672</v>
      </c>
      <c r="R48" t="s">
        <v>1678</v>
      </c>
      <c r="S48" t="s">
        <v>67</v>
      </c>
      <c r="T48" t="s">
        <v>1738</v>
      </c>
      <c r="U48" t="s">
        <v>1896</v>
      </c>
      <c r="V48">
        <v>15</v>
      </c>
      <c r="W48" s="2">
        <v>24703.730449128201</v>
      </c>
    </row>
    <row r="49" spans="1:23" x14ac:dyDescent="0.25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>
        <v>1141685</v>
      </c>
      <c r="H49" t="s">
        <v>86</v>
      </c>
      <c r="I49" t="s">
        <v>42</v>
      </c>
      <c r="J49" t="s">
        <v>86</v>
      </c>
      <c r="K49" t="s">
        <v>124</v>
      </c>
      <c r="L49" s="1">
        <v>46143</v>
      </c>
      <c r="M49" s="1">
        <v>46173</v>
      </c>
      <c r="N49">
        <v>1.47E-4</v>
      </c>
      <c r="O49" t="s">
        <v>135</v>
      </c>
      <c r="P49" t="s">
        <v>63</v>
      </c>
      <c r="Q49" t="s">
        <v>1673</v>
      </c>
      <c r="R49" t="s">
        <v>1687</v>
      </c>
      <c r="S49" t="s">
        <v>67</v>
      </c>
      <c r="T49" t="s">
        <v>1739</v>
      </c>
      <c r="U49" t="s">
        <v>1897</v>
      </c>
      <c r="V49">
        <v>17</v>
      </c>
      <c r="W49" s="2">
        <v>50.551814977600003</v>
      </c>
    </row>
    <row r="50" spans="1:23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>
        <v>1141685</v>
      </c>
      <c r="H50" t="s">
        <v>79</v>
      </c>
      <c r="I50" t="s">
        <v>94</v>
      </c>
      <c r="J50" t="s">
        <v>101</v>
      </c>
      <c r="K50" t="s">
        <v>116</v>
      </c>
      <c r="L50" s="1">
        <v>46143</v>
      </c>
      <c r="M50" s="1">
        <v>46173</v>
      </c>
      <c r="N50">
        <v>9.06987E-5</v>
      </c>
      <c r="O50" t="s">
        <v>56</v>
      </c>
      <c r="P50" t="s">
        <v>63</v>
      </c>
      <c r="Q50" t="s">
        <v>1672</v>
      </c>
      <c r="R50" t="s">
        <v>1677</v>
      </c>
      <c r="S50" t="s">
        <v>67</v>
      </c>
      <c r="T50" t="s">
        <v>1740</v>
      </c>
      <c r="U50" t="s">
        <v>1898</v>
      </c>
      <c r="V50">
        <v>17</v>
      </c>
      <c r="W50" s="2">
        <v>0.1313960123</v>
      </c>
    </row>
    <row r="51" spans="1:23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>
        <v>1141685</v>
      </c>
      <c r="H51" t="s">
        <v>77</v>
      </c>
      <c r="I51" t="s">
        <v>96</v>
      </c>
      <c r="J51" t="s">
        <v>77</v>
      </c>
      <c r="K51" t="s">
        <v>113</v>
      </c>
      <c r="L51" s="1">
        <v>46143</v>
      </c>
      <c r="M51" s="1">
        <v>46173</v>
      </c>
      <c r="N51">
        <v>2.4769656399999999E-2</v>
      </c>
      <c r="O51" t="s">
        <v>56</v>
      </c>
      <c r="P51" t="s">
        <v>63</v>
      </c>
      <c r="Q51" t="s">
        <v>1675</v>
      </c>
      <c r="R51" t="s">
        <v>1681</v>
      </c>
      <c r="S51" t="s">
        <v>67</v>
      </c>
      <c r="T51" t="s">
        <v>1741</v>
      </c>
      <c r="U51" t="s">
        <v>1899</v>
      </c>
      <c r="V51">
        <v>7</v>
      </c>
      <c r="W51" s="2">
        <v>4.3227565380000001</v>
      </c>
    </row>
    <row r="52" spans="1:23" x14ac:dyDescent="0.25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>
        <v>1141685</v>
      </c>
      <c r="H52" t="s">
        <v>79</v>
      </c>
      <c r="I52" t="s">
        <v>94</v>
      </c>
      <c r="J52" t="s">
        <v>101</v>
      </c>
      <c r="K52" t="s">
        <v>116</v>
      </c>
      <c r="L52" s="1">
        <v>46143</v>
      </c>
      <c r="M52" s="1">
        <v>46173</v>
      </c>
      <c r="N52">
        <v>8.7125572400000004E-2</v>
      </c>
      <c r="O52" t="s">
        <v>56</v>
      </c>
      <c r="P52" t="s">
        <v>63</v>
      </c>
      <c r="Q52" t="s">
        <v>1672</v>
      </c>
      <c r="R52" t="s">
        <v>1676</v>
      </c>
      <c r="S52" t="s">
        <v>67</v>
      </c>
      <c r="T52" t="s">
        <v>1742</v>
      </c>
      <c r="U52" t="s">
        <v>1900</v>
      </c>
      <c r="V52">
        <v>15</v>
      </c>
      <c r="W52" s="2">
        <v>101.4711782752</v>
      </c>
    </row>
    <row r="53" spans="1:23" x14ac:dyDescent="0.25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>
        <v>1141685</v>
      </c>
      <c r="H53" t="s">
        <v>90</v>
      </c>
      <c r="I53" t="s">
        <v>43</v>
      </c>
      <c r="J53" t="s">
        <v>105</v>
      </c>
      <c r="K53" t="s">
        <v>128</v>
      </c>
      <c r="L53" s="1">
        <v>46143</v>
      </c>
      <c r="M53" s="1">
        <v>46173</v>
      </c>
      <c r="N53">
        <v>0.99731182799999996</v>
      </c>
      <c r="O53" t="s">
        <v>135</v>
      </c>
      <c r="P53" t="s">
        <v>63</v>
      </c>
      <c r="Q53" t="s">
        <v>1674</v>
      </c>
      <c r="R53" t="s">
        <v>1688</v>
      </c>
      <c r="S53" t="s">
        <v>67</v>
      </c>
      <c r="T53" t="s">
        <v>616</v>
      </c>
      <c r="U53" t="s">
        <v>801</v>
      </c>
      <c r="V53">
        <v>7</v>
      </c>
      <c r="W53" s="2">
        <v>260986.5283870938</v>
      </c>
    </row>
    <row r="54" spans="1:23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>
        <v>1141685</v>
      </c>
      <c r="H54" t="s">
        <v>78</v>
      </c>
      <c r="I54" t="s">
        <v>96</v>
      </c>
      <c r="J54" t="s">
        <v>100</v>
      </c>
      <c r="K54" t="s">
        <v>112</v>
      </c>
      <c r="L54" s="1">
        <v>46143</v>
      </c>
      <c r="M54" s="1">
        <v>46173</v>
      </c>
      <c r="N54">
        <v>744</v>
      </c>
      <c r="O54" t="s">
        <v>58</v>
      </c>
      <c r="P54" t="s">
        <v>63</v>
      </c>
      <c r="Q54" t="s">
        <v>1672</v>
      </c>
      <c r="R54" t="s">
        <v>1689</v>
      </c>
      <c r="S54" t="s">
        <v>67</v>
      </c>
      <c r="T54" t="s">
        <v>1743</v>
      </c>
      <c r="U54" t="s">
        <v>1901</v>
      </c>
      <c r="V54">
        <v>14</v>
      </c>
      <c r="W54" s="2">
        <v>64899.115599999997</v>
      </c>
    </row>
    <row r="55" spans="1:23" x14ac:dyDescent="0.25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>
        <v>1141685</v>
      </c>
      <c r="H55" t="s">
        <v>79</v>
      </c>
      <c r="I55" t="s">
        <v>94</v>
      </c>
      <c r="J55" t="s">
        <v>101</v>
      </c>
      <c r="K55" t="s">
        <v>114</v>
      </c>
      <c r="L55" s="1">
        <v>46143</v>
      </c>
      <c r="M55" s="1">
        <v>46173</v>
      </c>
      <c r="N55">
        <v>1.118E-7</v>
      </c>
      <c r="O55" t="s">
        <v>56</v>
      </c>
      <c r="P55" t="s">
        <v>63</v>
      </c>
      <c r="Q55" t="s">
        <v>1672</v>
      </c>
      <c r="R55" t="s">
        <v>1678</v>
      </c>
      <c r="S55" t="s">
        <v>67</v>
      </c>
      <c r="T55" t="s">
        <v>1744</v>
      </c>
      <c r="U55" t="s">
        <v>1902</v>
      </c>
      <c r="V55">
        <v>15</v>
      </c>
      <c r="W55" s="2">
        <v>1.3726179999999999E-4</v>
      </c>
    </row>
    <row r="56" spans="1:23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>
        <v>1141685</v>
      </c>
      <c r="H56" t="s">
        <v>79</v>
      </c>
      <c r="I56" t="s">
        <v>94</v>
      </c>
      <c r="J56" t="s">
        <v>101</v>
      </c>
      <c r="K56" t="s">
        <v>114</v>
      </c>
      <c r="L56" s="1">
        <v>46143</v>
      </c>
      <c r="M56" s="1">
        <v>46173</v>
      </c>
      <c r="N56">
        <v>3.3529999999999999E-7</v>
      </c>
      <c r="O56" t="s">
        <v>56</v>
      </c>
      <c r="P56" t="s">
        <v>63</v>
      </c>
      <c r="Q56" t="s">
        <v>1672</v>
      </c>
      <c r="R56" t="s">
        <v>1678</v>
      </c>
      <c r="S56" t="s">
        <v>67</v>
      </c>
      <c r="T56" t="s">
        <v>1745</v>
      </c>
      <c r="U56" t="s">
        <v>1903</v>
      </c>
      <c r="V56">
        <v>16</v>
      </c>
      <c r="W56" s="2">
        <v>4.1178550000000002E-4</v>
      </c>
    </row>
    <row r="57" spans="1:23" x14ac:dyDescent="0.25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>
        <v>1141685</v>
      </c>
      <c r="H57" t="s">
        <v>79</v>
      </c>
      <c r="I57" t="s">
        <v>94</v>
      </c>
      <c r="J57" t="s">
        <v>101</v>
      </c>
      <c r="K57" t="s">
        <v>116</v>
      </c>
      <c r="L57" s="1">
        <v>46143</v>
      </c>
      <c r="M57" s="1">
        <v>46173</v>
      </c>
      <c r="N57">
        <v>1.24481E-5</v>
      </c>
      <c r="O57" t="s">
        <v>56</v>
      </c>
      <c r="P57" t="s">
        <v>63</v>
      </c>
      <c r="Q57" t="s">
        <v>1672</v>
      </c>
      <c r="R57" t="s">
        <v>1678</v>
      </c>
      <c r="S57" t="s">
        <v>67</v>
      </c>
      <c r="T57" t="s">
        <v>1746</v>
      </c>
      <c r="U57" t="s">
        <v>1904</v>
      </c>
      <c r="V57">
        <v>16</v>
      </c>
      <c r="W57" s="2">
        <v>1.5288684300000001E-2</v>
      </c>
    </row>
    <row r="58" spans="1:23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>
        <v>1141685</v>
      </c>
      <c r="H58" t="s">
        <v>79</v>
      </c>
      <c r="I58" t="s">
        <v>94</v>
      </c>
      <c r="J58" t="s">
        <v>101</v>
      </c>
      <c r="K58" t="s">
        <v>114</v>
      </c>
      <c r="L58" s="1">
        <v>46143</v>
      </c>
      <c r="M58" s="1">
        <v>46173</v>
      </c>
      <c r="N58">
        <v>5.5899999999999998E-8</v>
      </c>
      <c r="O58" t="s">
        <v>56</v>
      </c>
      <c r="P58" t="s">
        <v>63</v>
      </c>
      <c r="Q58" t="s">
        <v>1672</v>
      </c>
      <c r="R58" t="s">
        <v>1676</v>
      </c>
      <c r="S58" t="s">
        <v>67</v>
      </c>
      <c r="T58" t="s">
        <v>1747</v>
      </c>
      <c r="U58" t="s">
        <v>1905</v>
      </c>
      <c r="V58">
        <v>16</v>
      </c>
      <c r="W58" s="2">
        <v>6.86308E-5</v>
      </c>
    </row>
    <row r="59" spans="1:23" x14ac:dyDescent="0.25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>
        <v>1141685</v>
      </c>
      <c r="H59" t="s">
        <v>93</v>
      </c>
      <c r="I59" t="s">
        <v>93</v>
      </c>
      <c r="J59" t="s">
        <v>93</v>
      </c>
      <c r="K59" t="s">
        <v>133</v>
      </c>
      <c r="L59" s="1">
        <v>46143</v>
      </c>
      <c r="M59" s="1">
        <v>46173</v>
      </c>
      <c r="N59">
        <v>743.97283662919995</v>
      </c>
      <c r="O59" t="s">
        <v>58</v>
      </c>
      <c r="P59" t="s">
        <v>63</v>
      </c>
      <c r="Q59" t="s">
        <v>1674</v>
      </c>
      <c r="R59" t="s">
        <v>1690</v>
      </c>
      <c r="S59" t="s">
        <v>67</v>
      </c>
      <c r="T59" t="s">
        <v>1748</v>
      </c>
      <c r="U59" t="s">
        <v>1906</v>
      </c>
      <c r="V59">
        <v>10</v>
      </c>
      <c r="W59" s="2">
        <v>1297935.009489377</v>
      </c>
    </row>
    <row r="60" spans="1:23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>
        <v>1141685</v>
      </c>
      <c r="H60" t="s">
        <v>79</v>
      </c>
      <c r="I60" t="s">
        <v>94</v>
      </c>
      <c r="J60" t="s">
        <v>101</v>
      </c>
      <c r="K60" t="s">
        <v>116</v>
      </c>
      <c r="L60" s="1">
        <v>46143</v>
      </c>
      <c r="M60" s="1">
        <v>46173</v>
      </c>
      <c r="N60">
        <v>2.3768300000000001E-5</v>
      </c>
      <c r="O60" t="s">
        <v>56</v>
      </c>
      <c r="P60" t="s">
        <v>63</v>
      </c>
      <c r="Q60" t="s">
        <v>1672</v>
      </c>
      <c r="R60" t="s">
        <v>1678</v>
      </c>
      <c r="S60" t="s">
        <v>67</v>
      </c>
      <c r="T60" t="s">
        <v>1749</v>
      </c>
      <c r="U60" t="s">
        <v>1907</v>
      </c>
      <c r="V60">
        <v>16</v>
      </c>
      <c r="W60" s="2">
        <v>2.9192167599999999E-2</v>
      </c>
    </row>
    <row r="61" spans="1:23" x14ac:dyDescent="0.25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>
        <v>1141685</v>
      </c>
      <c r="H61" t="s">
        <v>79</v>
      </c>
      <c r="I61" t="s">
        <v>94</v>
      </c>
      <c r="J61" t="s">
        <v>101</v>
      </c>
      <c r="K61" t="s">
        <v>116</v>
      </c>
      <c r="L61" s="1">
        <v>46143</v>
      </c>
      <c r="M61" s="1">
        <v>46173</v>
      </c>
      <c r="N61">
        <v>1.4185500005</v>
      </c>
      <c r="O61" t="s">
        <v>56</v>
      </c>
      <c r="P61" t="s">
        <v>63</v>
      </c>
      <c r="Q61" t="s">
        <v>1672</v>
      </c>
      <c r="R61" t="s">
        <v>1678</v>
      </c>
      <c r="S61" t="s">
        <v>67</v>
      </c>
      <c r="T61" t="s">
        <v>1750</v>
      </c>
      <c r="U61" t="s">
        <v>1908</v>
      </c>
      <c r="V61">
        <v>16</v>
      </c>
      <c r="W61" s="2">
        <v>1979.8408409638</v>
      </c>
    </row>
    <row r="62" spans="1:23" x14ac:dyDescent="0.25">
      <c r="A62" t="s">
        <v>31</v>
      </c>
      <c r="B62" t="s">
        <v>32</v>
      </c>
      <c r="C62" t="s">
        <v>33</v>
      </c>
      <c r="D62" t="s">
        <v>34</v>
      </c>
      <c r="E62" t="s">
        <v>35</v>
      </c>
      <c r="F62" t="s">
        <v>36</v>
      </c>
      <c r="G62">
        <v>1141685</v>
      </c>
      <c r="H62" t="s">
        <v>77</v>
      </c>
      <c r="I62" t="s">
        <v>96</v>
      </c>
      <c r="J62" t="s">
        <v>77</v>
      </c>
      <c r="K62" t="s">
        <v>113</v>
      </c>
      <c r="L62" s="1">
        <v>46143</v>
      </c>
      <c r="M62" s="1">
        <v>46173</v>
      </c>
      <c r="N62">
        <v>3.791275E-4</v>
      </c>
      <c r="O62" t="s">
        <v>56</v>
      </c>
      <c r="P62" t="s">
        <v>63</v>
      </c>
      <c r="Q62" t="s">
        <v>1675</v>
      </c>
      <c r="R62" t="s">
        <v>1681</v>
      </c>
      <c r="S62" t="s">
        <v>67</v>
      </c>
      <c r="T62" t="s">
        <v>1751</v>
      </c>
      <c r="U62" t="s">
        <v>1909</v>
      </c>
      <c r="V62">
        <v>7</v>
      </c>
      <c r="W62" s="2">
        <v>6.8205465800000004E-2</v>
      </c>
    </row>
    <row r="63" spans="1:23" x14ac:dyDescent="0.25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>
        <v>1141685</v>
      </c>
      <c r="H63" t="s">
        <v>77</v>
      </c>
      <c r="I63" t="s">
        <v>96</v>
      </c>
      <c r="J63" t="s">
        <v>77</v>
      </c>
      <c r="K63" t="s">
        <v>113</v>
      </c>
      <c r="L63" s="1">
        <v>46143</v>
      </c>
      <c r="M63" s="1">
        <v>46173</v>
      </c>
      <c r="N63">
        <v>6.9912532299999997E-2</v>
      </c>
      <c r="O63" t="s">
        <v>56</v>
      </c>
      <c r="P63" t="s">
        <v>63</v>
      </c>
      <c r="Q63" t="s">
        <v>1675</v>
      </c>
      <c r="R63" t="s">
        <v>1681</v>
      </c>
      <c r="S63" t="s">
        <v>67</v>
      </c>
      <c r="T63" t="s">
        <v>1752</v>
      </c>
      <c r="U63" t="s">
        <v>1910</v>
      </c>
      <c r="V63">
        <v>7</v>
      </c>
      <c r="W63" s="2">
        <v>12.1933075441</v>
      </c>
    </row>
    <row r="64" spans="1:23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36</v>
      </c>
      <c r="G64">
        <v>1141685</v>
      </c>
      <c r="H64" t="s">
        <v>77</v>
      </c>
      <c r="I64" t="s">
        <v>96</v>
      </c>
      <c r="J64" t="s">
        <v>77</v>
      </c>
      <c r="K64" t="s">
        <v>110</v>
      </c>
      <c r="L64" s="1">
        <v>46143</v>
      </c>
      <c r="M64" s="1">
        <v>46173</v>
      </c>
      <c r="N64">
        <v>744</v>
      </c>
      <c r="O64" t="s">
        <v>58</v>
      </c>
      <c r="P64" t="s">
        <v>63</v>
      </c>
      <c r="Q64" t="s">
        <v>1675</v>
      </c>
      <c r="R64" t="s">
        <v>1691</v>
      </c>
      <c r="S64" t="s">
        <v>67</v>
      </c>
      <c r="T64" t="s">
        <v>172</v>
      </c>
      <c r="U64" t="s">
        <v>327</v>
      </c>
      <c r="V64">
        <v>7</v>
      </c>
      <c r="W64" s="2">
        <v>129798.2412</v>
      </c>
    </row>
    <row r="65" spans="1:23" x14ac:dyDescent="0.25">
      <c r="A65" t="s">
        <v>31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>
        <v>1141685</v>
      </c>
      <c r="H65" t="s">
        <v>77</v>
      </c>
      <c r="I65" t="s">
        <v>96</v>
      </c>
      <c r="J65" t="s">
        <v>77</v>
      </c>
      <c r="K65" t="s">
        <v>111</v>
      </c>
      <c r="L65" s="1">
        <v>46143</v>
      </c>
      <c r="M65" s="1">
        <v>46173</v>
      </c>
      <c r="N65">
        <v>14.6862685094</v>
      </c>
      <c r="O65" t="s">
        <v>56</v>
      </c>
      <c r="P65" t="s">
        <v>63</v>
      </c>
      <c r="Q65" t="s">
        <v>1672</v>
      </c>
      <c r="R65" t="s">
        <v>1678</v>
      </c>
      <c r="S65" t="s">
        <v>67</v>
      </c>
      <c r="T65" t="s">
        <v>1753</v>
      </c>
      <c r="U65" t="s">
        <v>1911</v>
      </c>
      <c r="V65">
        <v>15</v>
      </c>
      <c r="W65" s="2">
        <v>2562.1664356466999</v>
      </c>
    </row>
    <row r="66" spans="1:23" x14ac:dyDescent="0.25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s">
        <v>36</v>
      </c>
      <c r="G66">
        <v>1141685</v>
      </c>
      <c r="H66" t="s">
        <v>77</v>
      </c>
      <c r="I66" t="s">
        <v>96</v>
      </c>
      <c r="J66" t="s">
        <v>77</v>
      </c>
      <c r="K66" t="s">
        <v>111</v>
      </c>
      <c r="L66" s="1">
        <v>46143</v>
      </c>
      <c r="M66" s="1">
        <v>46173</v>
      </c>
      <c r="N66">
        <v>13.392873640199999</v>
      </c>
      <c r="O66" t="s">
        <v>56</v>
      </c>
      <c r="P66" t="s">
        <v>63</v>
      </c>
      <c r="Q66" t="s">
        <v>1672</v>
      </c>
      <c r="R66" t="s">
        <v>1678</v>
      </c>
      <c r="S66" t="s">
        <v>67</v>
      </c>
      <c r="T66" t="s">
        <v>1754</v>
      </c>
      <c r="U66" t="s">
        <v>1912</v>
      </c>
      <c r="V66">
        <v>15</v>
      </c>
      <c r="W66" s="2">
        <v>2336.5182470326999</v>
      </c>
    </row>
    <row r="67" spans="1:23" x14ac:dyDescent="0.25">
      <c r="A67" t="s">
        <v>31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>
        <v>1141685</v>
      </c>
      <c r="H67" t="s">
        <v>80</v>
      </c>
      <c r="I67" t="s">
        <v>96</v>
      </c>
      <c r="J67" t="s">
        <v>80</v>
      </c>
      <c r="K67" t="s">
        <v>122</v>
      </c>
      <c r="L67" s="1">
        <v>46143</v>
      </c>
      <c r="M67" s="1">
        <v>46173</v>
      </c>
      <c r="N67">
        <v>2.89376657E-2</v>
      </c>
      <c r="O67" t="s">
        <v>56</v>
      </c>
      <c r="P67" t="s">
        <v>63</v>
      </c>
      <c r="Q67" t="s">
        <v>1672</v>
      </c>
      <c r="R67" t="s">
        <v>1676</v>
      </c>
      <c r="S67" t="s">
        <v>67</v>
      </c>
      <c r="T67" t="s">
        <v>1755</v>
      </c>
      <c r="U67" t="s">
        <v>1913</v>
      </c>
      <c r="V67">
        <v>15</v>
      </c>
      <c r="W67" s="2">
        <v>5.0526493453999999</v>
      </c>
    </row>
    <row r="68" spans="1:23" x14ac:dyDescent="0.25">
      <c r="A68" t="s">
        <v>31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>
        <v>1141685</v>
      </c>
      <c r="H68" t="s">
        <v>80</v>
      </c>
      <c r="I68" t="s">
        <v>96</v>
      </c>
      <c r="J68" t="s">
        <v>80</v>
      </c>
      <c r="K68" t="s">
        <v>122</v>
      </c>
      <c r="L68" s="1">
        <v>46143</v>
      </c>
      <c r="M68" s="1">
        <v>46173</v>
      </c>
      <c r="N68">
        <v>1.2677340908000001</v>
      </c>
      <c r="O68" t="s">
        <v>56</v>
      </c>
      <c r="P68" t="s">
        <v>63</v>
      </c>
      <c r="Q68" t="s">
        <v>1672</v>
      </c>
      <c r="R68" t="s">
        <v>1678</v>
      </c>
      <c r="S68" t="s">
        <v>67</v>
      </c>
      <c r="T68" t="s">
        <v>1756</v>
      </c>
      <c r="U68" t="s">
        <v>1914</v>
      </c>
      <c r="V68">
        <v>16</v>
      </c>
      <c r="W68" s="2">
        <v>221.1686227406</v>
      </c>
    </row>
    <row r="69" spans="1:23" x14ac:dyDescent="0.25">
      <c r="A69" t="s">
        <v>31</v>
      </c>
      <c r="B69" t="s">
        <v>32</v>
      </c>
      <c r="C69" t="s">
        <v>33</v>
      </c>
      <c r="D69" t="s">
        <v>34</v>
      </c>
      <c r="E69" t="s">
        <v>35</v>
      </c>
      <c r="F69" t="s">
        <v>36</v>
      </c>
      <c r="G69">
        <v>1141685</v>
      </c>
      <c r="H69" t="s">
        <v>80</v>
      </c>
      <c r="I69" t="s">
        <v>96</v>
      </c>
      <c r="J69" t="s">
        <v>80</v>
      </c>
      <c r="K69" t="s">
        <v>115</v>
      </c>
      <c r="L69" s="1">
        <v>46143</v>
      </c>
      <c r="M69" s="1">
        <v>46173</v>
      </c>
      <c r="N69">
        <v>2.764862339</v>
      </c>
      <c r="O69" t="s">
        <v>56</v>
      </c>
      <c r="P69" t="s">
        <v>63</v>
      </c>
      <c r="Q69" t="s">
        <v>1672</v>
      </c>
      <c r="R69" t="s">
        <v>1678</v>
      </c>
      <c r="S69" t="s">
        <v>67</v>
      </c>
      <c r="T69" t="s">
        <v>1757</v>
      </c>
      <c r="U69" t="s">
        <v>1915</v>
      </c>
      <c r="V69">
        <v>16</v>
      </c>
      <c r="W69" s="2">
        <v>482.3549376222</v>
      </c>
    </row>
    <row r="70" spans="1:23" x14ac:dyDescent="0.25">
      <c r="A70" t="s">
        <v>31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>
        <v>1141685</v>
      </c>
      <c r="H70" t="s">
        <v>80</v>
      </c>
      <c r="I70" t="s">
        <v>96</v>
      </c>
      <c r="J70" t="s">
        <v>80</v>
      </c>
      <c r="K70" t="s">
        <v>115</v>
      </c>
      <c r="L70" s="1">
        <v>46143</v>
      </c>
      <c r="M70" s="1">
        <v>46173</v>
      </c>
      <c r="N70">
        <v>1.3870442994000001</v>
      </c>
      <c r="O70" t="s">
        <v>56</v>
      </c>
      <c r="P70" t="s">
        <v>63</v>
      </c>
      <c r="Q70" t="s">
        <v>1672</v>
      </c>
      <c r="R70" t="s">
        <v>1676</v>
      </c>
      <c r="S70" t="s">
        <v>67</v>
      </c>
      <c r="T70" t="s">
        <v>1758</v>
      </c>
      <c r="U70" t="s">
        <v>1916</v>
      </c>
      <c r="V70">
        <v>16</v>
      </c>
      <c r="W70" s="2">
        <v>241.98569865409999</v>
      </c>
    </row>
    <row r="71" spans="1:23" x14ac:dyDescent="0.25">
      <c r="A71" t="s">
        <v>31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>
        <v>1141685</v>
      </c>
      <c r="H71" t="s">
        <v>80</v>
      </c>
      <c r="I71" t="s">
        <v>96</v>
      </c>
      <c r="J71" t="s">
        <v>80</v>
      </c>
      <c r="K71" t="s">
        <v>115</v>
      </c>
      <c r="L71" s="1">
        <v>46143</v>
      </c>
      <c r="M71" s="1">
        <v>46173</v>
      </c>
      <c r="N71">
        <v>0.76850123240000001</v>
      </c>
      <c r="O71" t="s">
        <v>56</v>
      </c>
      <c r="P71" t="s">
        <v>63</v>
      </c>
      <c r="Q71" t="s">
        <v>1672</v>
      </c>
      <c r="R71" t="s">
        <v>1678</v>
      </c>
      <c r="S71" t="s">
        <v>67</v>
      </c>
      <c r="T71" t="s">
        <v>1759</v>
      </c>
      <c r="U71" t="s">
        <v>1917</v>
      </c>
      <c r="V71">
        <v>15</v>
      </c>
      <c r="W71" s="2">
        <v>134.07399799980001</v>
      </c>
    </row>
    <row r="72" spans="1:23" x14ac:dyDescent="0.2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>
        <v>1141685</v>
      </c>
      <c r="H72" t="s">
        <v>80</v>
      </c>
      <c r="I72" t="s">
        <v>96</v>
      </c>
      <c r="J72" t="s">
        <v>80</v>
      </c>
      <c r="K72" t="s">
        <v>115</v>
      </c>
      <c r="L72" s="1">
        <v>46143</v>
      </c>
      <c r="M72" s="1">
        <v>46173</v>
      </c>
      <c r="N72">
        <v>0.99134912809999998</v>
      </c>
      <c r="O72" t="s">
        <v>56</v>
      </c>
      <c r="P72" t="s">
        <v>63</v>
      </c>
      <c r="Q72" t="s">
        <v>1672</v>
      </c>
      <c r="R72" t="s">
        <v>1678</v>
      </c>
      <c r="S72" t="s">
        <v>67</v>
      </c>
      <c r="T72" t="s">
        <v>1760</v>
      </c>
      <c r="U72" t="s">
        <v>1918</v>
      </c>
      <c r="V72">
        <v>15</v>
      </c>
      <c r="W72" s="2">
        <v>172.94667661759999</v>
      </c>
    </row>
    <row r="73" spans="1:23" x14ac:dyDescent="0.25">
      <c r="A73" t="s">
        <v>31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>
        <v>1141685</v>
      </c>
      <c r="H73" t="s">
        <v>79</v>
      </c>
      <c r="I73" t="s">
        <v>94</v>
      </c>
      <c r="J73" t="s">
        <v>101</v>
      </c>
      <c r="K73" t="s">
        <v>116</v>
      </c>
      <c r="L73" s="1">
        <v>46143</v>
      </c>
      <c r="M73" s="1">
        <v>46173</v>
      </c>
      <c r="N73">
        <v>8.59469026E-2</v>
      </c>
      <c r="O73" t="s">
        <v>56</v>
      </c>
      <c r="P73" t="s">
        <v>63</v>
      </c>
      <c r="Q73" t="s">
        <v>1672</v>
      </c>
      <c r="R73" t="s">
        <v>1677</v>
      </c>
      <c r="S73" t="s">
        <v>67</v>
      </c>
      <c r="T73" t="s">
        <v>1761</v>
      </c>
      <c r="U73" t="s">
        <v>1919</v>
      </c>
      <c r="V73">
        <v>16</v>
      </c>
      <c r="W73" s="2">
        <v>99.329319215200002</v>
      </c>
    </row>
    <row r="74" spans="1:23" x14ac:dyDescent="0.25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>
        <v>1141685</v>
      </c>
      <c r="H74" t="s">
        <v>79</v>
      </c>
      <c r="I74" t="s">
        <v>94</v>
      </c>
      <c r="J74" t="s">
        <v>101</v>
      </c>
      <c r="K74" t="s">
        <v>116</v>
      </c>
      <c r="L74" s="1">
        <v>46143</v>
      </c>
      <c r="M74" s="1">
        <v>46173</v>
      </c>
      <c r="N74">
        <v>0.16211650890000001</v>
      </c>
      <c r="O74" t="s">
        <v>56</v>
      </c>
      <c r="P74" t="s">
        <v>63</v>
      </c>
      <c r="Q74" t="s">
        <v>1672</v>
      </c>
      <c r="R74" t="s">
        <v>1676</v>
      </c>
      <c r="S74" t="s">
        <v>67</v>
      </c>
      <c r="T74" t="s">
        <v>1762</v>
      </c>
      <c r="U74" t="s">
        <v>1920</v>
      </c>
      <c r="V74">
        <v>16</v>
      </c>
      <c r="W74" s="2">
        <v>226.26123688050001</v>
      </c>
    </row>
    <row r="75" spans="1:23" x14ac:dyDescent="0.25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>
        <v>1141685</v>
      </c>
      <c r="H75" t="s">
        <v>79</v>
      </c>
      <c r="I75" t="s">
        <v>94</v>
      </c>
      <c r="J75" t="s">
        <v>101</v>
      </c>
      <c r="K75" t="s">
        <v>114</v>
      </c>
      <c r="L75" s="1">
        <v>46143</v>
      </c>
      <c r="M75" s="1">
        <v>46173</v>
      </c>
      <c r="N75">
        <v>1.6759999999999999E-7</v>
      </c>
      <c r="O75" t="s">
        <v>56</v>
      </c>
      <c r="P75" t="s">
        <v>63</v>
      </c>
      <c r="Q75" t="s">
        <v>1672</v>
      </c>
      <c r="R75" t="s">
        <v>1678</v>
      </c>
      <c r="S75" t="s">
        <v>67</v>
      </c>
      <c r="T75" t="s">
        <v>1763</v>
      </c>
      <c r="U75" t="s">
        <v>1921</v>
      </c>
      <c r="V75">
        <v>16</v>
      </c>
      <c r="W75" s="2">
        <v>2.0589269999999999E-4</v>
      </c>
    </row>
    <row r="76" spans="1:23" x14ac:dyDescent="0.25">
      <c r="A76" t="s">
        <v>31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>
        <v>1141685</v>
      </c>
      <c r="H76" t="s">
        <v>79</v>
      </c>
      <c r="I76" t="s">
        <v>94</v>
      </c>
      <c r="J76" t="s">
        <v>101</v>
      </c>
      <c r="K76" t="s">
        <v>114</v>
      </c>
      <c r="L76" s="1">
        <v>46143</v>
      </c>
      <c r="M76" s="1">
        <v>46173</v>
      </c>
      <c r="N76">
        <v>1.118E-7</v>
      </c>
      <c r="O76" t="s">
        <v>56</v>
      </c>
      <c r="P76" t="s">
        <v>63</v>
      </c>
      <c r="Q76" t="s">
        <v>1672</v>
      </c>
      <c r="R76" t="s">
        <v>1678</v>
      </c>
      <c r="S76" t="s">
        <v>67</v>
      </c>
      <c r="T76" t="s">
        <v>1764</v>
      </c>
      <c r="U76" t="s">
        <v>1922</v>
      </c>
      <c r="V76">
        <v>16</v>
      </c>
      <c r="W76" s="2">
        <v>1.3726179999999999E-4</v>
      </c>
    </row>
    <row r="77" spans="1:23" x14ac:dyDescent="0.25">
      <c r="A77" t="s">
        <v>31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>
        <v>1141685</v>
      </c>
      <c r="H77" t="s">
        <v>79</v>
      </c>
      <c r="I77" t="s">
        <v>94</v>
      </c>
      <c r="J77" t="s">
        <v>101</v>
      </c>
      <c r="K77" t="s">
        <v>114</v>
      </c>
      <c r="L77" s="1">
        <v>46143</v>
      </c>
      <c r="M77" s="1">
        <v>46173</v>
      </c>
      <c r="N77">
        <v>5.1527153746999996</v>
      </c>
      <c r="O77" t="s">
        <v>56</v>
      </c>
      <c r="P77" t="s">
        <v>63</v>
      </c>
      <c r="Q77" t="s">
        <v>1672</v>
      </c>
      <c r="R77" t="s">
        <v>1678</v>
      </c>
      <c r="S77" t="s">
        <v>67</v>
      </c>
      <c r="T77" t="s">
        <v>1765</v>
      </c>
      <c r="U77" t="s">
        <v>1923</v>
      </c>
      <c r="V77">
        <v>16</v>
      </c>
      <c r="W77" s="2">
        <v>7191.5467788791002</v>
      </c>
    </row>
    <row r="78" spans="1:23" x14ac:dyDescent="0.25">
      <c r="A78" t="s">
        <v>31</v>
      </c>
      <c r="B78" t="s">
        <v>32</v>
      </c>
      <c r="C78" t="s">
        <v>33</v>
      </c>
      <c r="D78" t="s">
        <v>34</v>
      </c>
      <c r="E78" t="s">
        <v>35</v>
      </c>
      <c r="F78" t="s">
        <v>36</v>
      </c>
      <c r="G78">
        <v>1141685</v>
      </c>
      <c r="H78" t="s">
        <v>79</v>
      </c>
      <c r="I78" t="s">
        <v>94</v>
      </c>
      <c r="J78" t="s">
        <v>101</v>
      </c>
      <c r="K78" t="s">
        <v>114</v>
      </c>
      <c r="L78" s="1">
        <v>46143</v>
      </c>
      <c r="M78" s="1">
        <v>46173</v>
      </c>
      <c r="N78">
        <v>5.5879999999999995E-7</v>
      </c>
      <c r="O78" t="s">
        <v>56</v>
      </c>
      <c r="P78" t="s">
        <v>63</v>
      </c>
      <c r="Q78" t="s">
        <v>1672</v>
      </c>
      <c r="R78" t="s">
        <v>1678</v>
      </c>
      <c r="S78" t="s">
        <v>67</v>
      </c>
      <c r="T78" t="s">
        <v>1766</v>
      </c>
      <c r="U78" t="s">
        <v>1924</v>
      </c>
      <c r="V78">
        <v>16</v>
      </c>
      <c r="W78" s="2">
        <v>6.8630929999999996E-4</v>
      </c>
    </row>
    <row r="79" spans="1:23" x14ac:dyDescent="0.25">
      <c r="A79" t="s">
        <v>31</v>
      </c>
      <c r="B79" t="s">
        <v>32</v>
      </c>
      <c r="C79" t="s">
        <v>33</v>
      </c>
      <c r="D79" t="s">
        <v>34</v>
      </c>
      <c r="E79" t="s">
        <v>35</v>
      </c>
      <c r="F79" t="s">
        <v>36</v>
      </c>
      <c r="G79">
        <v>1141685</v>
      </c>
      <c r="H79" t="s">
        <v>79</v>
      </c>
      <c r="I79" t="s">
        <v>94</v>
      </c>
      <c r="J79" t="s">
        <v>101</v>
      </c>
      <c r="K79" t="s">
        <v>114</v>
      </c>
      <c r="L79" s="1">
        <v>46143</v>
      </c>
      <c r="M79" s="1">
        <v>46173</v>
      </c>
      <c r="N79">
        <v>1.1595000000000001E-6</v>
      </c>
      <c r="O79" t="s">
        <v>56</v>
      </c>
      <c r="P79" t="s">
        <v>63</v>
      </c>
      <c r="Q79" t="s">
        <v>1672</v>
      </c>
      <c r="R79" t="s">
        <v>1676</v>
      </c>
      <c r="S79" t="s">
        <v>67</v>
      </c>
      <c r="T79" t="s">
        <v>1767</v>
      </c>
      <c r="U79" t="s">
        <v>1925</v>
      </c>
      <c r="V79">
        <v>15</v>
      </c>
      <c r="W79" s="2">
        <v>1.4240917E-3</v>
      </c>
    </row>
    <row r="80" spans="1:23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>
        <v>1141685</v>
      </c>
      <c r="H80" t="s">
        <v>79</v>
      </c>
      <c r="I80" t="s">
        <v>94</v>
      </c>
      <c r="J80" t="s">
        <v>101</v>
      </c>
      <c r="K80" t="s">
        <v>114</v>
      </c>
      <c r="L80" s="1">
        <v>46143</v>
      </c>
      <c r="M80" s="1">
        <v>46173</v>
      </c>
      <c r="N80">
        <v>1.6759999999999999E-7</v>
      </c>
      <c r="O80" t="s">
        <v>56</v>
      </c>
      <c r="P80" t="s">
        <v>63</v>
      </c>
      <c r="Q80" t="s">
        <v>1672</v>
      </c>
      <c r="R80" t="s">
        <v>1677</v>
      </c>
      <c r="S80" t="s">
        <v>67</v>
      </c>
      <c r="T80" t="s">
        <v>1768</v>
      </c>
      <c r="U80" t="s">
        <v>1926</v>
      </c>
      <c r="V80">
        <v>17</v>
      </c>
      <c r="W80" s="2">
        <v>2.0589269999999999E-4</v>
      </c>
    </row>
    <row r="81" spans="1:23" x14ac:dyDescent="0.25">
      <c r="A81" t="s">
        <v>31</v>
      </c>
      <c r="B81" t="s">
        <v>32</v>
      </c>
      <c r="C81" t="s">
        <v>33</v>
      </c>
      <c r="D81" t="s">
        <v>34</v>
      </c>
      <c r="E81" t="s">
        <v>35</v>
      </c>
      <c r="F81" t="s">
        <v>36</v>
      </c>
      <c r="G81">
        <v>1141685</v>
      </c>
      <c r="H81" t="s">
        <v>79</v>
      </c>
      <c r="I81" t="s">
        <v>94</v>
      </c>
      <c r="J81" t="s">
        <v>101</v>
      </c>
      <c r="K81" t="s">
        <v>114</v>
      </c>
      <c r="L81" s="1">
        <v>46143</v>
      </c>
      <c r="M81" s="1">
        <v>46173</v>
      </c>
      <c r="N81">
        <v>5.5899999999999998E-8</v>
      </c>
      <c r="O81" t="s">
        <v>56</v>
      </c>
      <c r="P81" t="s">
        <v>63</v>
      </c>
      <c r="Q81" t="s">
        <v>1672</v>
      </c>
      <c r="R81" t="s">
        <v>1678</v>
      </c>
      <c r="S81" t="s">
        <v>67</v>
      </c>
      <c r="T81" t="s">
        <v>1769</v>
      </c>
      <c r="U81" t="s">
        <v>1927</v>
      </c>
      <c r="V81">
        <v>16</v>
      </c>
      <c r="W81" s="2">
        <v>6.86308E-5</v>
      </c>
    </row>
    <row r="82" spans="1:23" x14ac:dyDescent="0.25">
      <c r="A82" t="s">
        <v>31</v>
      </c>
      <c r="B82" t="s">
        <v>32</v>
      </c>
      <c r="C82" t="s">
        <v>33</v>
      </c>
      <c r="D82" t="s">
        <v>34</v>
      </c>
      <c r="E82" t="s">
        <v>35</v>
      </c>
      <c r="F82" t="s">
        <v>36</v>
      </c>
      <c r="G82">
        <v>1141685</v>
      </c>
      <c r="H82" t="s">
        <v>77</v>
      </c>
      <c r="I82" t="s">
        <v>96</v>
      </c>
      <c r="J82" t="s">
        <v>77</v>
      </c>
      <c r="K82" t="s">
        <v>111</v>
      </c>
      <c r="L82" s="1">
        <v>46143</v>
      </c>
      <c r="M82" s="1">
        <v>46173</v>
      </c>
      <c r="N82">
        <v>5.03E-8</v>
      </c>
      <c r="O82" t="s">
        <v>56</v>
      </c>
      <c r="P82" t="s">
        <v>63</v>
      </c>
      <c r="Q82" t="s">
        <v>1672</v>
      </c>
      <c r="R82" t="s">
        <v>1676</v>
      </c>
      <c r="S82" t="s">
        <v>67</v>
      </c>
      <c r="T82" t="s">
        <v>1770</v>
      </c>
      <c r="U82" t="s">
        <v>1928</v>
      </c>
      <c r="V82">
        <v>15</v>
      </c>
      <c r="W82" s="2">
        <v>7.7208999999999992E-6</v>
      </c>
    </row>
    <row r="83" spans="1:23" x14ac:dyDescent="0.25">
      <c r="A83" t="s">
        <v>31</v>
      </c>
      <c r="B83" t="s">
        <v>32</v>
      </c>
      <c r="C83" t="s">
        <v>33</v>
      </c>
      <c r="D83" t="s">
        <v>34</v>
      </c>
      <c r="E83" t="s">
        <v>35</v>
      </c>
      <c r="F83" t="s">
        <v>36</v>
      </c>
      <c r="G83">
        <v>1141685</v>
      </c>
      <c r="H83" t="s">
        <v>77</v>
      </c>
      <c r="I83" t="s">
        <v>96</v>
      </c>
      <c r="J83" t="s">
        <v>77</v>
      </c>
      <c r="K83" t="s">
        <v>111</v>
      </c>
      <c r="L83" s="1">
        <v>46143</v>
      </c>
      <c r="M83" s="1">
        <v>46173</v>
      </c>
      <c r="N83">
        <v>8.1477948000000001E-3</v>
      </c>
      <c r="O83" t="s">
        <v>56</v>
      </c>
      <c r="P83" t="s">
        <v>63</v>
      </c>
      <c r="Q83" t="s">
        <v>1672</v>
      </c>
      <c r="R83" t="s">
        <v>1678</v>
      </c>
      <c r="S83" t="s">
        <v>67</v>
      </c>
      <c r="T83" t="s">
        <v>1771</v>
      </c>
      <c r="U83" t="s">
        <v>1929</v>
      </c>
      <c r="V83">
        <v>16</v>
      </c>
      <c r="W83" s="2">
        <v>1.4208885599000001</v>
      </c>
    </row>
    <row r="84" spans="1:23" x14ac:dyDescent="0.25">
      <c r="A84" t="s">
        <v>31</v>
      </c>
      <c r="B84" t="s">
        <v>32</v>
      </c>
      <c r="C84" t="s">
        <v>33</v>
      </c>
      <c r="D84" t="s">
        <v>34</v>
      </c>
      <c r="E84" t="s">
        <v>35</v>
      </c>
      <c r="F84" t="s">
        <v>36</v>
      </c>
      <c r="G84">
        <v>1141685</v>
      </c>
      <c r="H84" t="s">
        <v>77</v>
      </c>
      <c r="I84" t="s">
        <v>96</v>
      </c>
      <c r="J84" t="s">
        <v>77</v>
      </c>
      <c r="K84" t="s">
        <v>113</v>
      </c>
      <c r="L84" s="1">
        <v>46143</v>
      </c>
      <c r="M84" s="1">
        <v>46173</v>
      </c>
      <c r="N84">
        <v>1.8040600000000001E-5</v>
      </c>
      <c r="O84" t="s">
        <v>56</v>
      </c>
      <c r="P84" t="s">
        <v>63</v>
      </c>
      <c r="Q84" t="s">
        <v>1672</v>
      </c>
      <c r="R84" t="s">
        <v>1678</v>
      </c>
      <c r="S84" t="s">
        <v>67</v>
      </c>
      <c r="T84" t="s">
        <v>1772</v>
      </c>
      <c r="U84" t="s">
        <v>1930</v>
      </c>
      <c r="V84">
        <v>16</v>
      </c>
      <c r="W84" s="2">
        <v>2.7696870999999999E-3</v>
      </c>
    </row>
    <row r="85" spans="1:23" x14ac:dyDescent="0.25">
      <c r="A85" t="s">
        <v>31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>
        <v>1141685</v>
      </c>
      <c r="H85" t="s">
        <v>76</v>
      </c>
      <c r="I85" t="s">
        <v>95</v>
      </c>
      <c r="J85" t="s">
        <v>99</v>
      </c>
      <c r="K85" t="s">
        <v>109</v>
      </c>
      <c r="L85" s="1">
        <v>46143</v>
      </c>
      <c r="M85" s="1">
        <v>46173</v>
      </c>
      <c r="N85">
        <v>361</v>
      </c>
      <c r="O85" t="s">
        <v>58</v>
      </c>
      <c r="P85" t="s">
        <v>63</v>
      </c>
      <c r="Q85" t="s">
        <v>1673</v>
      </c>
      <c r="R85" t="s">
        <v>1677</v>
      </c>
      <c r="S85" t="s">
        <v>67</v>
      </c>
      <c r="T85" t="s">
        <v>1707</v>
      </c>
      <c r="U85" t="s">
        <v>1865</v>
      </c>
      <c r="V85">
        <v>17</v>
      </c>
      <c r="W85" s="2">
        <v>0</v>
      </c>
    </row>
    <row r="86" spans="1:23" x14ac:dyDescent="0.25">
      <c r="A86" t="s">
        <v>31</v>
      </c>
      <c r="B86" t="s">
        <v>32</v>
      </c>
      <c r="C86" t="s">
        <v>33</v>
      </c>
      <c r="D86" t="s">
        <v>34</v>
      </c>
      <c r="E86" t="s">
        <v>35</v>
      </c>
      <c r="F86" t="s">
        <v>36</v>
      </c>
      <c r="G86">
        <v>1141685</v>
      </c>
      <c r="H86" t="s">
        <v>76</v>
      </c>
      <c r="I86" t="s">
        <v>95</v>
      </c>
      <c r="J86" t="s">
        <v>99</v>
      </c>
      <c r="K86" t="s">
        <v>109</v>
      </c>
      <c r="L86" s="1">
        <v>46143</v>
      </c>
      <c r="M86" s="1">
        <v>46173</v>
      </c>
      <c r="N86">
        <v>0.983352</v>
      </c>
      <c r="O86" t="s">
        <v>58</v>
      </c>
      <c r="P86" t="s">
        <v>63</v>
      </c>
      <c r="Q86" t="s">
        <v>1673</v>
      </c>
      <c r="R86" t="s">
        <v>1677</v>
      </c>
      <c r="S86" t="s">
        <v>67</v>
      </c>
      <c r="T86" t="s">
        <v>1707</v>
      </c>
      <c r="U86" t="s">
        <v>1865</v>
      </c>
      <c r="V86">
        <v>17</v>
      </c>
      <c r="W86" s="2">
        <v>0</v>
      </c>
    </row>
    <row r="87" spans="1:23" x14ac:dyDescent="0.25">
      <c r="A87" t="s">
        <v>31</v>
      </c>
      <c r="B87" t="s">
        <v>32</v>
      </c>
      <c r="C87" t="s">
        <v>33</v>
      </c>
      <c r="D87" t="s">
        <v>34</v>
      </c>
      <c r="E87" t="s">
        <v>35</v>
      </c>
      <c r="F87" t="s">
        <v>36</v>
      </c>
      <c r="G87">
        <v>1141685</v>
      </c>
      <c r="H87" t="s">
        <v>76</v>
      </c>
      <c r="I87" t="s">
        <v>95</v>
      </c>
      <c r="J87" t="s">
        <v>99</v>
      </c>
      <c r="K87" t="s">
        <v>109</v>
      </c>
      <c r="L87" s="1">
        <v>46143</v>
      </c>
      <c r="M87" s="1">
        <v>46173</v>
      </c>
      <c r="N87">
        <v>0.16667000000000001</v>
      </c>
      <c r="O87" t="s">
        <v>58</v>
      </c>
      <c r="P87" t="s">
        <v>63</v>
      </c>
      <c r="Q87" t="s">
        <v>1673</v>
      </c>
      <c r="R87" t="s">
        <v>1676</v>
      </c>
      <c r="S87" t="s">
        <v>67</v>
      </c>
      <c r="T87" t="s">
        <v>1702</v>
      </c>
      <c r="U87" t="s">
        <v>1860</v>
      </c>
      <c r="V87">
        <v>16</v>
      </c>
      <c r="W87" s="2">
        <v>0</v>
      </c>
    </row>
    <row r="88" spans="1:23" x14ac:dyDescent="0.25">
      <c r="A88" t="s">
        <v>31</v>
      </c>
      <c r="B88" t="s">
        <v>32</v>
      </c>
      <c r="C88" t="s">
        <v>33</v>
      </c>
      <c r="D88" t="s">
        <v>34</v>
      </c>
      <c r="E88" t="s">
        <v>35</v>
      </c>
      <c r="F88" t="s">
        <v>36</v>
      </c>
      <c r="G88">
        <v>1141685</v>
      </c>
      <c r="H88" t="s">
        <v>76</v>
      </c>
      <c r="I88" t="s">
        <v>95</v>
      </c>
      <c r="J88" t="s">
        <v>99</v>
      </c>
      <c r="K88" t="s">
        <v>109</v>
      </c>
      <c r="L88" s="1">
        <v>46143</v>
      </c>
      <c r="M88" s="1">
        <v>46173</v>
      </c>
      <c r="N88">
        <v>167</v>
      </c>
      <c r="O88" t="s">
        <v>58</v>
      </c>
      <c r="P88" t="s">
        <v>63</v>
      </c>
      <c r="Q88" t="s">
        <v>1673</v>
      </c>
      <c r="R88" t="s">
        <v>1676</v>
      </c>
      <c r="S88" t="s">
        <v>67</v>
      </c>
      <c r="T88" t="s">
        <v>1702</v>
      </c>
      <c r="U88" t="s">
        <v>1860</v>
      </c>
      <c r="V88">
        <v>16</v>
      </c>
      <c r="W88" s="2">
        <v>0</v>
      </c>
    </row>
    <row r="89" spans="1:23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36</v>
      </c>
      <c r="G89">
        <v>1141685</v>
      </c>
      <c r="H89" t="s">
        <v>76</v>
      </c>
      <c r="I89" t="s">
        <v>95</v>
      </c>
      <c r="J89" t="s">
        <v>99</v>
      </c>
      <c r="K89" t="s">
        <v>109</v>
      </c>
      <c r="L89" s="1">
        <v>46143</v>
      </c>
      <c r="M89" s="1">
        <v>46173</v>
      </c>
      <c r="N89">
        <v>0.23333799999999999</v>
      </c>
      <c r="O89" t="s">
        <v>58</v>
      </c>
      <c r="P89" t="s">
        <v>63</v>
      </c>
      <c r="Q89" t="s">
        <v>1673</v>
      </c>
      <c r="R89" t="s">
        <v>1678</v>
      </c>
      <c r="S89" t="s">
        <v>67</v>
      </c>
      <c r="T89" t="s">
        <v>1773</v>
      </c>
      <c r="U89" t="s">
        <v>1931</v>
      </c>
      <c r="V89">
        <v>15</v>
      </c>
      <c r="W89" s="2">
        <v>0</v>
      </c>
    </row>
    <row r="90" spans="1:23" x14ac:dyDescent="0.25">
      <c r="A90" t="s">
        <v>31</v>
      </c>
      <c r="B90" t="s">
        <v>32</v>
      </c>
      <c r="C90" t="s">
        <v>33</v>
      </c>
      <c r="D90" t="s">
        <v>34</v>
      </c>
      <c r="E90" t="s">
        <v>35</v>
      </c>
      <c r="F90" t="s">
        <v>36</v>
      </c>
      <c r="G90">
        <v>1141685</v>
      </c>
      <c r="H90" t="s">
        <v>76</v>
      </c>
      <c r="I90" t="s">
        <v>95</v>
      </c>
      <c r="J90" t="s">
        <v>99</v>
      </c>
      <c r="K90" t="s">
        <v>109</v>
      </c>
      <c r="L90" s="1">
        <v>46143</v>
      </c>
      <c r="M90" s="1">
        <v>46173</v>
      </c>
      <c r="N90">
        <v>3.3334000000000003E-2</v>
      </c>
      <c r="O90" t="s">
        <v>58</v>
      </c>
      <c r="P90" t="s">
        <v>63</v>
      </c>
      <c r="Q90" t="s">
        <v>1673</v>
      </c>
      <c r="R90" t="s">
        <v>1678</v>
      </c>
      <c r="S90" t="s">
        <v>67</v>
      </c>
      <c r="T90" t="s">
        <v>1716</v>
      </c>
      <c r="U90" t="s">
        <v>1874</v>
      </c>
      <c r="V90">
        <v>16</v>
      </c>
      <c r="W90" s="2">
        <v>0</v>
      </c>
    </row>
    <row r="91" spans="1:23" x14ac:dyDescent="0.25">
      <c r="A91" t="s">
        <v>31</v>
      </c>
      <c r="B91" t="s">
        <v>32</v>
      </c>
      <c r="C91" t="s">
        <v>33</v>
      </c>
      <c r="D91" t="s">
        <v>34</v>
      </c>
      <c r="E91" t="s">
        <v>35</v>
      </c>
      <c r="F91" t="s">
        <v>36</v>
      </c>
      <c r="G91">
        <v>1141685</v>
      </c>
      <c r="H91" t="s">
        <v>76</v>
      </c>
      <c r="I91" t="s">
        <v>95</v>
      </c>
      <c r="J91" t="s">
        <v>99</v>
      </c>
      <c r="K91" t="s">
        <v>109</v>
      </c>
      <c r="L91" s="1">
        <v>46143</v>
      </c>
      <c r="M91" s="1">
        <v>46173</v>
      </c>
      <c r="N91">
        <v>167</v>
      </c>
      <c r="O91" t="s">
        <v>58</v>
      </c>
      <c r="P91" t="s">
        <v>63</v>
      </c>
      <c r="Q91" t="s">
        <v>1673</v>
      </c>
      <c r="R91" t="s">
        <v>1678</v>
      </c>
      <c r="S91" t="s">
        <v>67</v>
      </c>
      <c r="T91" t="s">
        <v>1716</v>
      </c>
      <c r="U91" t="s">
        <v>1874</v>
      </c>
      <c r="V91">
        <v>16</v>
      </c>
      <c r="W91" s="2">
        <v>0</v>
      </c>
    </row>
    <row r="92" spans="1:23" x14ac:dyDescent="0.25">
      <c r="A92" t="s">
        <v>31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>
        <v>1141685</v>
      </c>
      <c r="H92" t="s">
        <v>76</v>
      </c>
      <c r="I92" t="s">
        <v>95</v>
      </c>
      <c r="J92" t="s">
        <v>99</v>
      </c>
      <c r="K92" t="s">
        <v>109</v>
      </c>
      <c r="L92" s="1">
        <v>46143</v>
      </c>
      <c r="M92" s="1">
        <v>46173</v>
      </c>
      <c r="N92">
        <v>76</v>
      </c>
      <c r="O92" t="s">
        <v>58</v>
      </c>
      <c r="P92" t="s">
        <v>63</v>
      </c>
      <c r="Q92" t="s">
        <v>1673</v>
      </c>
      <c r="R92" t="s">
        <v>1678</v>
      </c>
      <c r="S92" t="s">
        <v>67</v>
      </c>
      <c r="T92" t="s">
        <v>1716</v>
      </c>
      <c r="U92" t="s">
        <v>1874</v>
      </c>
      <c r="V92">
        <v>16</v>
      </c>
      <c r="W92" s="2">
        <v>0</v>
      </c>
    </row>
    <row r="93" spans="1:23" x14ac:dyDescent="0.25">
      <c r="A93" t="s">
        <v>31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>
        <v>1141685</v>
      </c>
      <c r="H93" t="s">
        <v>76</v>
      </c>
      <c r="I93" t="s">
        <v>95</v>
      </c>
      <c r="J93" t="s">
        <v>99</v>
      </c>
      <c r="K93" t="s">
        <v>109</v>
      </c>
      <c r="L93" s="1">
        <v>46143</v>
      </c>
      <c r="M93" s="1">
        <v>46173</v>
      </c>
      <c r="N93">
        <v>164</v>
      </c>
      <c r="O93" t="s">
        <v>58</v>
      </c>
      <c r="P93" t="s">
        <v>63</v>
      </c>
      <c r="Q93" t="s">
        <v>1673</v>
      </c>
      <c r="R93" t="s">
        <v>1678</v>
      </c>
      <c r="S93" t="s">
        <v>67</v>
      </c>
      <c r="T93" t="s">
        <v>1716</v>
      </c>
      <c r="U93" t="s">
        <v>1874</v>
      </c>
      <c r="V93">
        <v>16</v>
      </c>
      <c r="W93" s="2">
        <v>0</v>
      </c>
    </row>
    <row r="94" spans="1:23" x14ac:dyDescent="0.25">
      <c r="A94" t="s">
        <v>31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>
        <v>1141685</v>
      </c>
      <c r="H94" t="s">
        <v>79</v>
      </c>
      <c r="I94" t="s">
        <v>94</v>
      </c>
      <c r="J94" t="s">
        <v>101</v>
      </c>
      <c r="K94" t="s">
        <v>114</v>
      </c>
      <c r="L94" s="1">
        <v>46143</v>
      </c>
      <c r="M94" s="1">
        <v>46173</v>
      </c>
      <c r="N94">
        <v>4.4793235000000001E-3</v>
      </c>
      <c r="O94" t="s">
        <v>56</v>
      </c>
      <c r="P94" t="s">
        <v>63</v>
      </c>
      <c r="Q94" t="s">
        <v>1672</v>
      </c>
      <c r="R94" t="s">
        <v>1676</v>
      </c>
      <c r="S94" t="s">
        <v>67</v>
      </c>
      <c r="T94" t="s">
        <v>1774</v>
      </c>
      <c r="U94" t="s">
        <v>1932</v>
      </c>
      <c r="V94">
        <v>16</v>
      </c>
      <c r="W94" s="2">
        <v>6.2514979708</v>
      </c>
    </row>
    <row r="95" spans="1:23" x14ac:dyDescent="0.25">
      <c r="A95" t="s">
        <v>31</v>
      </c>
      <c r="B95" t="s">
        <v>32</v>
      </c>
      <c r="C95" t="s">
        <v>33</v>
      </c>
      <c r="D95" t="s">
        <v>34</v>
      </c>
      <c r="E95" t="s">
        <v>35</v>
      </c>
      <c r="F95" t="s">
        <v>36</v>
      </c>
      <c r="G95">
        <v>1141685</v>
      </c>
      <c r="H95" t="s">
        <v>79</v>
      </c>
      <c r="I95" t="s">
        <v>94</v>
      </c>
      <c r="J95" t="s">
        <v>101</v>
      </c>
      <c r="K95" t="s">
        <v>114</v>
      </c>
      <c r="L95" s="1">
        <v>46143</v>
      </c>
      <c r="M95" s="1">
        <v>46173</v>
      </c>
      <c r="N95">
        <v>5.0453568016999997</v>
      </c>
      <c r="O95" t="s">
        <v>56</v>
      </c>
      <c r="P95" t="s">
        <v>63</v>
      </c>
      <c r="Q95" t="s">
        <v>1672</v>
      </c>
      <c r="R95" t="s">
        <v>1678</v>
      </c>
      <c r="S95" t="s">
        <v>67</v>
      </c>
      <c r="T95" t="s">
        <v>1775</v>
      </c>
      <c r="U95" t="s">
        <v>1933</v>
      </c>
      <c r="V95">
        <v>16</v>
      </c>
      <c r="W95" s="2">
        <v>7041.6991512881004</v>
      </c>
    </row>
    <row r="96" spans="1:23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>
        <v>1141685</v>
      </c>
      <c r="H96" t="s">
        <v>79</v>
      </c>
      <c r="I96" t="s">
        <v>94</v>
      </c>
      <c r="J96" t="s">
        <v>101</v>
      </c>
      <c r="K96" t="s">
        <v>114</v>
      </c>
      <c r="L96" s="1">
        <v>46143</v>
      </c>
      <c r="M96" s="1">
        <v>46173</v>
      </c>
      <c r="N96">
        <v>3.8491065464999998</v>
      </c>
      <c r="O96" t="s">
        <v>56</v>
      </c>
      <c r="P96" t="s">
        <v>63</v>
      </c>
      <c r="Q96" t="s">
        <v>1672</v>
      </c>
      <c r="R96" t="s">
        <v>1678</v>
      </c>
      <c r="S96" t="s">
        <v>67</v>
      </c>
      <c r="T96" t="s">
        <v>1776</v>
      </c>
      <c r="U96" t="s">
        <v>1934</v>
      </c>
      <c r="V96">
        <v>16</v>
      </c>
      <c r="W96" s="2">
        <v>5372.1165018278998</v>
      </c>
    </row>
    <row r="97" spans="1:23" x14ac:dyDescent="0.25">
      <c r="A97" t="s">
        <v>31</v>
      </c>
      <c r="B97" t="s">
        <v>32</v>
      </c>
      <c r="C97" t="s">
        <v>33</v>
      </c>
      <c r="D97" t="s">
        <v>34</v>
      </c>
      <c r="E97" t="s">
        <v>35</v>
      </c>
      <c r="F97" t="s">
        <v>36</v>
      </c>
      <c r="G97">
        <v>1141685</v>
      </c>
      <c r="H97" t="s">
        <v>82</v>
      </c>
      <c r="I97" t="s">
        <v>82</v>
      </c>
      <c r="J97" t="s">
        <v>82</v>
      </c>
      <c r="K97" t="s">
        <v>118</v>
      </c>
      <c r="L97" s="1">
        <v>46143</v>
      </c>
      <c r="M97" s="1">
        <v>46173</v>
      </c>
      <c r="N97">
        <v>0.36784699999999998</v>
      </c>
      <c r="O97" t="s">
        <v>60</v>
      </c>
      <c r="P97" t="s">
        <v>63</v>
      </c>
      <c r="Q97" t="s">
        <v>1675</v>
      </c>
      <c r="R97" t="s">
        <v>147</v>
      </c>
      <c r="S97" t="s">
        <v>68</v>
      </c>
      <c r="T97" t="s">
        <v>1777</v>
      </c>
      <c r="U97" t="s">
        <v>1935</v>
      </c>
      <c r="V97">
        <v>7</v>
      </c>
      <c r="W97" s="2">
        <v>2566.9854842240002</v>
      </c>
    </row>
    <row r="98" spans="1:23" x14ac:dyDescent="0.25">
      <c r="A98" t="s">
        <v>31</v>
      </c>
      <c r="B98" t="s">
        <v>32</v>
      </c>
      <c r="C98" t="s">
        <v>33</v>
      </c>
      <c r="D98" t="s">
        <v>34</v>
      </c>
      <c r="E98" t="s">
        <v>35</v>
      </c>
      <c r="F98" t="s">
        <v>36</v>
      </c>
      <c r="G98">
        <v>1141685</v>
      </c>
      <c r="H98" t="s">
        <v>88</v>
      </c>
      <c r="I98" t="s">
        <v>88</v>
      </c>
      <c r="J98" t="s">
        <v>88</v>
      </c>
      <c r="K98" t="s">
        <v>126</v>
      </c>
      <c r="L98" s="1">
        <v>46143</v>
      </c>
      <c r="M98" s="1">
        <v>46173</v>
      </c>
      <c r="N98">
        <v>744</v>
      </c>
      <c r="O98" t="s">
        <v>58</v>
      </c>
      <c r="P98" t="s">
        <v>63</v>
      </c>
      <c r="Q98" t="s">
        <v>1674</v>
      </c>
      <c r="R98" t="s">
        <v>1692</v>
      </c>
      <c r="S98" t="s">
        <v>67</v>
      </c>
      <c r="T98" t="s">
        <v>1778</v>
      </c>
      <c r="U98" t="s">
        <v>1936</v>
      </c>
      <c r="V98">
        <v>8</v>
      </c>
      <c r="W98" s="2">
        <v>389394.72360000003</v>
      </c>
    </row>
    <row r="99" spans="1:23" x14ac:dyDescent="0.25">
      <c r="A99" t="s">
        <v>31</v>
      </c>
      <c r="B99" t="s">
        <v>32</v>
      </c>
      <c r="C99" t="s">
        <v>33</v>
      </c>
      <c r="D99" t="s">
        <v>34</v>
      </c>
      <c r="E99" t="s">
        <v>35</v>
      </c>
      <c r="F99" t="s">
        <v>36</v>
      </c>
      <c r="G99">
        <v>1141685</v>
      </c>
      <c r="H99" t="s">
        <v>92</v>
      </c>
      <c r="I99" t="s">
        <v>97</v>
      </c>
      <c r="J99" t="s">
        <v>107</v>
      </c>
      <c r="K99" t="s">
        <v>130</v>
      </c>
      <c r="L99" s="1">
        <v>46143</v>
      </c>
      <c r="M99" s="1">
        <v>46173</v>
      </c>
      <c r="N99">
        <v>41.6</v>
      </c>
      <c r="O99" t="s">
        <v>57</v>
      </c>
      <c r="P99" t="s">
        <v>63</v>
      </c>
      <c r="Q99" t="s">
        <v>1674</v>
      </c>
      <c r="R99" t="s">
        <v>1682</v>
      </c>
      <c r="S99" t="s">
        <v>67</v>
      </c>
      <c r="T99" t="s">
        <v>1779</v>
      </c>
      <c r="U99" t="s">
        <v>1937</v>
      </c>
      <c r="V99">
        <v>7</v>
      </c>
      <c r="W99" s="2">
        <v>100153.9971839958</v>
      </c>
    </row>
    <row r="100" spans="1:23" x14ac:dyDescent="0.25">
      <c r="A100" t="s">
        <v>31</v>
      </c>
      <c r="B100" t="s">
        <v>32</v>
      </c>
      <c r="C100" t="s">
        <v>33</v>
      </c>
      <c r="D100" t="s">
        <v>34</v>
      </c>
      <c r="E100" t="s">
        <v>35</v>
      </c>
      <c r="F100" t="s">
        <v>36</v>
      </c>
      <c r="G100">
        <v>1141685</v>
      </c>
      <c r="H100" t="s">
        <v>38</v>
      </c>
      <c r="I100" t="s">
        <v>38</v>
      </c>
      <c r="J100" t="s">
        <v>38</v>
      </c>
      <c r="K100" t="s">
        <v>55</v>
      </c>
      <c r="L100" s="1">
        <v>46143</v>
      </c>
      <c r="M100" s="1">
        <v>46173</v>
      </c>
      <c r="N100">
        <v>2484</v>
      </c>
      <c r="O100" t="s">
        <v>61</v>
      </c>
      <c r="P100" t="s">
        <v>63</v>
      </c>
      <c r="Q100" t="s">
        <v>1674</v>
      </c>
      <c r="R100" t="s">
        <v>1679</v>
      </c>
      <c r="S100" t="s">
        <v>66</v>
      </c>
      <c r="T100" t="s">
        <v>1780</v>
      </c>
      <c r="U100" t="s">
        <v>1938</v>
      </c>
      <c r="V100">
        <v>6</v>
      </c>
      <c r="W100" s="2">
        <v>6327.0318067199996</v>
      </c>
    </row>
    <row r="101" spans="1:23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>
        <v>1141685</v>
      </c>
      <c r="H101" t="s">
        <v>81</v>
      </c>
      <c r="I101" t="s">
        <v>97</v>
      </c>
      <c r="J101" t="s">
        <v>102</v>
      </c>
      <c r="K101" t="s">
        <v>117</v>
      </c>
      <c r="L101" s="1">
        <v>46143</v>
      </c>
      <c r="M101" s="1">
        <v>46173</v>
      </c>
      <c r="N101">
        <v>1928</v>
      </c>
      <c r="O101" t="s">
        <v>58</v>
      </c>
      <c r="P101" t="s">
        <v>63</v>
      </c>
      <c r="Q101" t="s">
        <v>1674</v>
      </c>
      <c r="R101" t="s">
        <v>1682</v>
      </c>
      <c r="S101" t="s">
        <v>67</v>
      </c>
      <c r="T101" t="s">
        <v>1733</v>
      </c>
      <c r="U101" t="s">
        <v>1891</v>
      </c>
      <c r="V101">
        <v>7</v>
      </c>
      <c r="W101" s="2">
        <v>0</v>
      </c>
    </row>
    <row r="102" spans="1:23" x14ac:dyDescent="0.25">
      <c r="A102" t="s">
        <v>31</v>
      </c>
      <c r="B102" t="s">
        <v>32</v>
      </c>
      <c r="C102" t="s">
        <v>33</v>
      </c>
      <c r="D102" t="s">
        <v>34</v>
      </c>
      <c r="E102" t="s">
        <v>35</v>
      </c>
      <c r="F102" t="s">
        <v>36</v>
      </c>
      <c r="G102">
        <v>1141685</v>
      </c>
      <c r="H102" t="s">
        <v>80</v>
      </c>
      <c r="I102" t="s">
        <v>96</v>
      </c>
      <c r="J102" t="s">
        <v>80</v>
      </c>
      <c r="K102" t="s">
        <v>115</v>
      </c>
      <c r="L102" s="1">
        <v>46143</v>
      </c>
      <c r="M102" s="1">
        <v>46173</v>
      </c>
      <c r="N102">
        <v>3.1482316814</v>
      </c>
      <c r="O102" t="s">
        <v>56</v>
      </c>
      <c r="P102" t="s">
        <v>63</v>
      </c>
      <c r="Q102" t="s">
        <v>1672</v>
      </c>
      <c r="R102" t="s">
        <v>1678</v>
      </c>
      <c r="S102" t="s">
        <v>67</v>
      </c>
      <c r="T102" t="s">
        <v>1781</v>
      </c>
      <c r="U102" t="s">
        <v>1939</v>
      </c>
      <c r="V102">
        <v>16</v>
      </c>
      <c r="W102" s="2">
        <v>549.241639244</v>
      </c>
    </row>
    <row r="103" spans="1:23" x14ac:dyDescent="0.25">
      <c r="A103" t="s">
        <v>31</v>
      </c>
      <c r="B103" t="s">
        <v>32</v>
      </c>
      <c r="C103" t="s">
        <v>33</v>
      </c>
      <c r="D103" t="s">
        <v>34</v>
      </c>
      <c r="E103" t="s">
        <v>35</v>
      </c>
      <c r="F103" t="s">
        <v>36</v>
      </c>
      <c r="G103">
        <v>1141685</v>
      </c>
      <c r="H103" t="s">
        <v>76</v>
      </c>
      <c r="I103" t="s">
        <v>95</v>
      </c>
      <c r="J103" t="s">
        <v>99</v>
      </c>
      <c r="K103" t="s">
        <v>109</v>
      </c>
      <c r="L103" s="1">
        <v>46143</v>
      </c>
      <c r="M103" s="1">
        <v>46173</v>
      </c>
      <c r="N103">
        <v>77</v>
      </c>
      <c r="O103" t="s">
        <v>58</v>
      </c>
      <c r="P103" t="s">
        <v>63</v>
      </c>
      <c r="Q103" t="s">
        <v>1673</v>
      </c>
      <c r="R103" t="s">
        <v>1678</v>
      </c>
      <c r="S103" t="s">
        <v>67</v>
      </c>
      <c r="T103" t="s">
        <v>1716</v>
      </c>
      <c r="U103" t="s">
        <v>1874</v>
      </c>
      <c r="V103">
        <v>16</v>
      </c>
      <c r="W103" s="2">
        <v>0</v>
      </c>
    </row>
    <row r="104" spans="1:23" x14ac:dyDescent="0.25">
      <c r="A104" t="s">
        <v>31</v>
      </c>
      <c r="B104" t="s">
        <v>32</v>
      </c>
      <c r="C104" t="s">
        <v>33</v>
      </c>
      <c r="D104" t="s">
        <v>34</v>
      </c>
      <c r="E104" t="s">
        <v>35</v>
      </c>
      <c r="F104" t="s">
        <v>36</v>
      </c>
      <c r="G104">
        <v>1141685</v>
      </c>
      <c r="H104" t="s">
        <v>76</v>
      </c>
      <c r="I104" t="s">
        <v>95</v>
      </c>
      <c r="J104" t="s">
        <v>99</v>
      </c>
      <c r="K104" t="s">
        <v>109</v>
      </c>
      <c r="L104" s="1">
        <v>46143</v>
      </c>
      <c r="M104" s="1">
        <v>46173</v>
      </c>
      <c r="N104">
        <v>166</v>
      </c>
      <c r="O104" t="s">
        <v>58</v>
      </c>
      <c r="P104" t="s">
        <v>63</v>
      </c>
      <c r="Q104" t="s">
        <v>1673</v>
      </c>
      <c r="R104" t="s">
        <v>1678</v>
      </c>
      <c r="S104" t="s">
        <v>67</v>
      </c>
      <c r="T104" t="s">
        <v>1716</v>
      </c>
      <c r="U104" t="s">
        <v>1874</v>
      </c>
      <c r="V104">
        <v>16</v>
      </c>
      <c r="W104" s="2">
        <v>0</v>
      </c>
    </row>
    <row r="105" spans="1:23" x14ac:dyDescent="0.25">
      <c r="A105" t="s">
        <v>31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>
        <v>1141685</v>
      </c>
      <c r="H105" t="s">
        <v>76</v>
      </c>
      <c r="I105" t="s">
        <v>95</v>
      </c>
      <c r="J105" t="s">
        <v>99</v>
      </c>
      <c r="K105" t="s">
        <v>109</v>
      </c>
      <c r="L105" s="1">
        <v>46143</v>
      </c>
      <c r="M105" s="1">
        <v>46173</v>
      </c>
      <c r="N105">
        <v>3.933408</v>
      </c>
      <c r="O105" t="s">
        <v>58</v>
      </c>
      <c r="P105" t="s">
        <v>63</v>
      </c>
      <c r="Q105" t="s">
        <v>1673</v>
      </c>
      <c r="R105" t="s">
        <v>1678</v>
      </c>
      <c r="S105" t="s">
        <v>67</v>
      </c>
      <c r="T105" t="s">
        <v>1716</v>
      </c>
      <c r="U105" t="s">
        <v>1874</v>
      </c>
      <c r="V105">
        <v>16</v>
      </c>
      <c r="W105" s="2">
        <v>0</v>
      </c>
    </row>
    <row r="106" spans="1:23" x14ac:dyDescent="0.25">
      <c r="A106" t="s">
        <v>31</v>
      </c>
      <c r="B106" t="s">
        <v>32</v>
      </c>
      <c r="C106" t="s">
        <v>33</v>
      </c>
      <c r="D106" t="s">
        <v>34</v>
      </c>
      <c r="E106" t="s">
        <v>35</v>
      </c>
      <c r="F106" t="s">
        <v>36</v>
      </c>
      <c r="G106">
        <v>1141685</v>
      </c>
      <c r="H106" t="s">
        <v>80</v>
      </c>
      <c r="I106" t="s">
        <v>96</v>
      </c>
      <c r="J106" t="s">
        <v>80</v>
      </c>
      <c r="K106" t="s">
        <v>115</v>
      </c>
      <c r="L106" s="1">
        <v>46143</v>
      </c>
      <c r="M106" s="1">
        <v>46173</v>
      </c>
      <c r="N106">
        <v>0.86591417709999996</v>
      </c>
      <c r="O106" t="s">
        <v>56</v>
      </c>
      <c r="P106" t="s">
        <v>63</v>
      </c>
      <c r="Q106" t="s">
        <v>1672</v>
      </c>
      <c r="R106" t="s">
        <v>1678</v>
      </c>
      <c r="S106" t="s">
        <v>67</v>
      </c>
      <c r="T106" t="s">
        <v>1782</v>
      </c>
      <c r="U106" t="s">
        <v>1940</v>
      </c>
      <c r="V106">
        <v>15</v>
      </c>
      <c r="W106" s="2">
        <v>151.06930086369999</v>
      </c>
    </row>
    <row r="107" spans="1:23" x14ac:dyDescent="0.25">
      <c r="A107" t="s">
        <v>31</v>
      </c>
      <c r="B107" t="s">
        <v>32</v>
      </c>
      <c r="C107" t="s">
        <v>33</v>
      </c>
      <c r="D107" t="s">
        <v>34</v>
      </c>
      <c r="E107" t="s">
        <v>35</v>
      </c>
      <c r="F107" t="s">
        <v>36</v>
      </c>
      <c r="G107">
        <v>1141685</v>
      </c>
      <c r="H107" t="s">
        <v>76</v>
      </c>
      <c r="I107" t="s">
        <v>95</v>
      </c>
      <c r="J107" t="s">
        <v>99</v>
      </c>
      <c r="K107" t="s">
        <v>109</v>
      </c>
      <c r="L107" s="1">
        <v>46143</v>
      </c>
      <c r="M107" s="1">
        <v>46173</v>
      </c>
      <c r="N107">
        <v>272</v>
      </c>
      <c r="O107" t="s">
        <v>58</v>
      </c>
      <c r="P107" t="s">
        <v>63</v>
      </c>
      <c r="Q107" t="s">
        <v>1673</v>
      </c>
      <c r="R107" t="s">
        <v>1676</v>
      </c>
      <c r="S107" t="s">
        <v>67</v>
      </c>
      <c r="T107" t="s">
        <v>1702</v>
      </c>
      <c r="U107" t="s">
        <v>1860</v>
      </c>
      <c r="V107">
        <v>16</v>
      </c>
      <c r="W107" s="2">
        <v>0</v>
      </c>
    </row>
    <row r="108" spans="1:23" x14ac:dyDescent="0.25">
      <c r="A108" t="s">
        <v>31</v>
      </c>
      <c r="B108" t="s">
        <v>32</v>
      </c>
      <c r="C108" t="s">
        <v>33</v>
      </c>
      <c r="D108" t="s">
        <v>34</v>
      </c>
      <c r="E108" t="s">
        <v>35</v>
      </c>
      <c r="F108" t="s">
        <v>36</v>
      </c>
      <c r="G108">
        <v>1141685</v>
      </c>
      <c r="H108" t="s">
        <v>76</v>
      </c>
      <c r="I108" t="s">
        <v>95</v>
      </c>
      <c r="J108" t="s">
        <v>99</v>
      </c>
      <c r="K108" t="s">
        <v>109</v>
      </c>
      <c r="L108" s="1">
        <v>46143</v>
      </c>
      <c r="M108" s="1">
        <v>46173</v>
      </c>
      <c r="N108">
        <v>139</v>
      </c>
      <c r="O108" t="s">
        <v>58</v>
      </c>
      <c r="P108" t="s">
        <v>63</v>
      </c>
      <c r="Q108" t="s">
        <v>1673</v>
      </c>
      <c r="R108" t="s">
        <v>1678</v>
      </c>
      <c r="S108" t="s">
        <v>67</v>
      </c>
      <c r="T108" t="s">
        <v>1773</v>
      </c>
      <c r="U108" t="s">
        <v>1931</v>
      </c>
      <c r="V108">
        <v>15</v>
      </c>
      <c r="W108" s="2">
        <v>0</v>
      </c>
    </row>
    <row r="109" spans="1:23" x14ac:dyDescent="0.25">
      <c r="A109" t="s">
        <v>31</v>
      </c>
      <c r="B109" t="s">
        <v>32</v>
      </c>
      <c r="C109" t="s">
        <v>33</v>
      </c>
      <c r="D109" t="s">
        <v>34</v>
      </c>
      <c r="E109" t="s">
        <v>35</v>
      </c>
      <c r="F109" t="s">
        <v>36</v>
      </c>
      <c r="G109">
        <v>1141685</v>
      </c>
      <c r="H109" t="s">
        <v>76</v>
      </c>
      <c r="I109" t="s">
        <v>95</v>
      </c>
      <c r="J109" t="s">
        <v>99</v>
      </c>
      <c r="K109" t="s">
        <v>109</v>
      </c>
      <c r="L109" s="1">
        <v>46143</v>
      </c>
      <c r="M109" s="1">
        <v>46173</v>
      </c>
      <c r="N109">
        <v>139</v>
      </c>
      <c r="O109" t="s">
        <v>58</v>
      </c>
      <c r="P109" t="s">
        <v>63</v>
      </c>
      <c r="Q109" t="s">
        <v>1673</v>
      </c>
      <c r="R109" t="s">
        <v>1678</v>
      </c>
      <c r="S109" t="s">
        <v>67</v>
      </c>
      <c r="T109" t="s">
        <v>1773</v>
      </c>
      <c r="U109" t="s">
        <v>1931</v>
      </c>
      <c r="V109">
        <v>15</v>
      </c>
      <c r="W109" s="2">
        <v>0</v>
      </c>
    </row>
    <row r="110" spans="1:23" x14ac:dyDescent="0.25">
      <c r="A110" t="s">
        <v>31</v>
      </c>
      <c r="B110" t="s">
        <v>32</v>
      </c>
      <c r="C110" t="s">
        <v>33</v>
      </c>
      <c r="D110" t="s">
        <v>34</v>
      </c>
      <c r="E110" t="s">
        <v>35</v>
      </c>
      <c r="F110" t="s">
        <v>36</v>
      </c>
      <c r="G110">
        <v>1141685</v>
      </c>
      <c r="H110" t="s">
        <v>76</v>
      </c>
      <c r="I110" t="s">
        <v>95</v>
      </c>
      <c r="J110" t="s">
        <v>99</v>
      </c>
      <c r="K110" t="s">
        <v>109</v>
      </c>
      <c r="L110" s="1">
        <v>46143</v>
      </c>
      <c r="M110" s="1">
        <v>46173</v>
      </c>
      <c r="N110">
        <v>0.21667</v>
      </c>
      <c r="O110" t="s">
        <v>58</v>
      </c>
      <c r="P110" t="s">
        <v>63</v>
      </c>
      <c r="Q110" t="s">
        <v>1673</v>
      </c>
      <c r="R110" t="s">
        <v>1678</v>
      </c>
      <c r="S110" t="s">
        <v>67</v>
      </c>
      <c r="T110" t="s">
        <v>1716</v>
      </c>
      <c r="U110" t="s">
        <v>1874</v>
      </c>
      <c r="V110">
        <v>16</v>
      </c>
      <c r="W110" s="2">
        <v>0</v>
      </c>
    </row>
    <row r="111" spans="1:23" x14ac:dyDescent="0.25">
      <c r="A111" t="s">
        <v>31</v>
      </c>
      <c r="B111" t="s">
        <v>32</v>
      </c>
      <c r="C111" t="s">
        <v>33</v>
      </c>
      <c r="D111" t="s">
        <v>34</v>
      </c>
      <c r="E111" t="s">
        <v>35</v>
      </c>
      <c r="F111" t="s">
        <v>36</v>
      </c>
      <c r="G111">
        <v>1141685</v>
      </c>
      <c r="H111" t="s">
        <v>86</v>
      </c>
      <c r="I111" t="s">
        <v>42</v>
      </c>
      <c r="J111" t="s">
        <v>86</v>
      </c>
      <c r="K111" t="s">
        <v>124</v>
      </c>
      <c r="L111" s="1">
        <v>46143</v>
      </c>
      <c r="M111" s="1">
        <v>46173</v>
      </c>
      <c r="N111">
        <v>0.18815999999999999</v>
      </c>
      <c r="O111" t="s">
        <v>135</v>
      </c>
      <c r="P111" t="s">
        <v>63</v>
      </c>
      <c r="Q111" t="s">
        <v>1673</v>
      </c>
      <c r="R111" t="s">
        <v>1693</v>
      </c>
      <c r="S111" t="s">
        <v>67</v>
      </c>
      <c r="T111" t="s">
        <v>1783</v>
      </c>
      <c r="U111" t="s">
        <v>1941</v>
      </c>
      <c r="V111">
        <v>16</v>
      </c>
      <c r="W111" s="2">
        <v>64700.823171327997</v>
      </c>
    </row>
    <row r="112" spans="1:23" x14ac:dyDescent="0.25">
      <c r="A112" t="s">
        <v>31</v>
      </c>
      <c r="B112" t="s">
        <v>32</v>
      </c>
      <c r="C112" t="s">
        <v>33</v>
      </c>
      <c r="D112" t="s">
        <v>34</v>
      </c>
      <c r="E112" t="s">
        <v>35</v>
      </c>
      <c r="F112" t="s">
        <v>36</v>
      </c>
      <c r="G112">
        <v>1141685</v>
      </c>
      <c r="H112" t="s">
        <v>86</v>
      </c>
      <c r="I112" t="s">
        <v>42</v>
      </c>
      <c r="J112" t="s">
        <v>86</v>
      </c>
      <c r="K112" t="s">
        <v>124</v>
      </c>
      <c r="L112" s="1">
        <v>46143</v>
      </c>
      <c r="M112" s="1">
        <v>46173</v>
      </c>
      <c r="N112">
        <v>1.1249999999999999E-3</v>
      </c>
      <c r="O112" t="s">
        <v>135</v>
      </c>
      <c r="P112" t="s">
        <v>63</v>
      </c>
      <c r="Q112" t="s">
        <v>1673</v>
      </c>
      <c r="R112" t="s">
        <v>1694</v>
      </c>
      <c r="S112" t="s">
        <v>67</v>
      </c>
      <c r="T112" t="s">
        <v>1784</v>
      </c>
      <c r="U112" t="s">
        <v>1942</v>
      </c>
      <c r="V112">
        <v>17</v>
      </c>
      <c r="W112" s="2">
        <v>386.8420534</v>
      </c>
    </row>
    <row r="113" spans="1:23" x14ac:dyDescent="0.25">
      <c r="A113" t="s">
        <v>31</v>
      </c>
      <c r="B113" t="s">
        <v>32</v>
      </c>
      <c r="C113" t="s">
        <v>33</v>
      </c>
      <c r="D113" t="s">
        <v>34</v>
      </c>
      <c r="E113" t="s">
        <v>35</v>
      </c>
      <c r="F113" t="s">
        <v>36</v>
      </c>
      <c r="G113">
        <v>1141685</v>
      </c>
      <c r="H113" t="s">
        <v>76</v>
      </c>
      <c r="I113" t="s">
        <v>95</v>
      </c>
      <c r="J113" t="s">
        <v>99</v>
      </c>
      <c r="K113" t="s">
        <v>109</v>
      </c>
      <c r="L113" s="1">
        <v>46143</v>
      </c>
      <c r="M113" s="1">
        <v>46173</v>
      </c>
      <c r="N113">
        <v>167</v>
      </c>
      <c r="O113" t="s">
        <v>58</v>
      </c>
      <c r="P113" t="s">
        <v>63</v>
      </c>
      <c r="Q113" t="s">
        <v>1673</v>
      </c>
      <c r="R113" t="s">
        <v>1677</v>
      </c>
      <c r="S113" t="s">
        <v>67</v>
      </c>
      <c r="T113" t="s">
        <v>1707</v>
      </c>
      <c r="U113" t="s">
        <v>1865</v>
      </c>
      <c r="V113">
        <v>17</v>
      </c>
      <c r="W113" s="2">
        <v>0</v>
      </c>
    </row>
    <row r="114" spans="1:23" x14ac:dyDescent="0.25">
      <c r="A114" t="s">
        <v>31</v>
      </c>
      <c r="B114" t="s">
        <v>32</v>
      </c>
      <c r="C114" t="s">
        <v>33</v>
      </c>
      <c r="D114" t="s">
        <v>34</v>
      </c>
      <c r="E114" t="s">
        <v>35</v>
      </c>
      <c r="F114" t="s">
        <v>36</v>
      </c>
      <c r="G114">
        <v>1141685</v>
      </c>
      <c r="H114" t="s">
        <v>76</v>
      </c>
      <c r="I114" t="s">
        <v>95</v>
      </c>
      <c r="J114" t="s">
        <v>99</v>
      </c>
      <c r="K114" t="s">
        <v>109</v>
      </c>
      <c r="L114" s="1">
        <v>46143</v>
      </c>
      <c r="M114" s="1">
        <v>46173</v>
      </c>
      <c r="N114">
        <v>139</v>
      </c>
      <c r="O114" t="s">
        <v>58</v>
      </c>
      <c r="P114" t="s">
        <v>63</v>
      </c>
      <c r="Q114" t="s">
        <v>1673</v>
      </c>
      <c r="R114" t="s">
        <v>1676</v>
      </c>
      <c r="S114" t="s">
        <v>67</v>
      </c>
      <c r="T114" t="s">
        <v>1785</v>
      </c>
      <c r="U114" t="s">
        <v>1943</v>
      </c>
      <c r="V114">
        <v>15</v>
      </c>
      <c r="W114" s="2">
        <v>0</v>
      </c>
    </row>
    <row r="115" spans="1:23" x14ac:dyDescent="0.25">
      <c r="A115" t="s">
        <v>31</v>
      </c>
      <c r="B115" t="s">
        <v>32</v>
      </c>
      <c r="C115" t="s">
        <v>33</v>
      </c>
      <c r="D115" t="s">
        <v>34</v>
      </c>
      <c r="E115" t="s">
        <v>35</v>
      </c>
      <c r="F115" t="s">
        <v>36</v>
      </c>
      <c r="G115">
        <v>1141685</v>
      </c>
      <c r="H115" t="s">
        <v>76</v>
      </c>
      <c r="I115" t="s">
        <v>95</v>
      </c>
      <c r="J115" t="s">
        <v>99</v>
      </c>
      <c r="K115" t="s">
        <v>109</v>
      </c>
      <c r="L115" s="1">
        <v>46143</v>
      </c>
      <c r="M115" s="1">
        <v>46173</v>
      </c>
      <c r="N115">
        <v>5.0000999999999997E-2</v>
      </c>
      <c r="O115" t="s">
        <v>58</v>
      </c>
      <c r="P115" t="s">
        <v>63</v>
      </c>
      <c r="Q115" t="s">
        <v>1673</v>
      </c>
      <c r="R115" t="s">
        <v>1676</v>
      </c>
      <c r="S115" t="s">
        <v>67</v>
      </c>
      <c r="T115" t="s">
        <v>1702</v>
      </c>
      <c r="U115" t="s">
        <v>1860</v>
      </c>
      <c r="V115">
        <v>16</v>
      </c>
      <c r="W115" s="2">
        <v>0</v>
      </c>
    </row>
    <row r="116" spans="1:23" x14ac:dyDescent="0.25">
      <c r="A116" t="s">
        <v>31</v>
      </c>
      <c r="B116" t="s">
        <v>32</v>
      </c>
      <c r="C116" t="s">
        <v>33</v>
      </c>
      <c r="D116" t="s">
        <v>34</v>
      </c>
      <c r="E116" t="s">
        <v>35</v>
      </c>
      <c r="F116" t="s">
        <v>36</v>
      </c>
      <c r="G116">
        <v>1141685</v>
      </c>
      <c r="H116" t="s">
        <v>76</v>
      </c>
      <c r="I116" t="s">
        <v>95</v>
      </c>
      <c r="J116" t="s">
        <v>99</v>
      </c>
      <c r="K116" t="s">
        <v>109</v>
      </c>
      <c r="L116" s="1">
        <v>46143</v>
      </c>
      <c r="M116" s="1">
        <v>46173</v>
      </c>
      <c r="N116">
        <v>0.30000599999999999</v>
      </c>
      <c r="O116" t="s">
        <v>58</v>
      </c>
      <c r="P116" t="s">
        <v>63</v>
      </c>
      <c r="Q116" t="s">
        <v>1673</v>
      </c>
      <c r="R116" t="s">
        <v>1678</v>
      </c>
      <c r="S116" t="s">
        <v>67</v>
      </c>
      <c r="T116" t="s">
        <v>1716</v>
      </c>
      <c r="U116" t="s">
        <v>1874</v>
      </c>
      <c r="V116">
        <v>16</v>
      </c>
      <c r="W116" s="2">
        <v>0</v>
      </c>
    </row>
    <row r="117" spans="1:23" x14ac:dyDescent="0.25">
      <c r="A117" t="s">
        <v>31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>
        <v>1141685</v>
      </c>
      <c r="H117" t="s">
        <v>76</v>
      </c>
      <c r="I117" t="s">
        <v>95</v>
      </c>
      <c r="J117" t="s">
        <v>99</v>
      </c>
      <c r="K117" t="s">
        <v>109</v>
      </c>
      <c r="L117" s="1">
        <v>46143</v>
      </c>
      <c r="M117" s="1">
        <v>46173</v>
      </c>
      <c r="N117">
        <v>139</v>
      </c>
      <c r="O117" t="s">
        <v>58</v>
      </c>
      <c r="P117" t="s">
        <v>63</v>
      </c>
      <c r="Q117" t="s">
        <v>1673</v>
      </c>
      <c r="R117" t="s">
        <v>1678</v>
      </c>
      <c r="S117" t="s">
        <v>67</v>
      </c>
      <c r="T117" t="s">
        <v>1773</v>
      </c>
      <c r="U117" t="s">
        <v>1931</v>
      </c>
      <c r="V117">
        <v>15</v>
      </c>
      <c r="W117" s="2">
        <v>0</v>
      </c>
    </row>
    <row r="118" spans="1:23" x14ac:dyDescent="0.25">
      <c r="A118" t="s">
        <v>31</v>
      </c>
      <c r="B118" t="s">
        <v>32</v>
      </c>
      <c r="C118" t="s">
        <v>33</v>
      </c>
      <c r="D118" t="s">
        <v>34</v>
      </c>
      <c r="E118" t="s">
        <v>35</v>
      </c>
      <c r="F118" t="s">
        <v>36</v>
      </c>
      <c r="G118">
        <v>1141685</v>
      </c>
      <c r="H118" t="s">
        <v>76</v>
      </c>
      <c r="I118" t="s">
        <v>95</v>
      </c>
      <c r="J118" t="s">
        <v>99</v>
      </c>
      <c r="K118" t="s">
        <v>109</v>
      </c>
      <c r="L118" s="1">
        <v>46143</v>
      </c>
      <c r="M118" s="1">
        <v>46173</v>
      </c>
      <c r="N118">
        <v>0.20000299999999999</v>
      </c>
      <c r="O118" t="s">
        <v>58</v>
      </c>
      <c r="P118" t="s">
        <v>63</v>
      </c>
      <c r="Q118" t="s">
        <v>1673</v>
      </c>
      <c r="R118" t="s">
        <v>1678</v>
      </c>
      <c r="S118" t="s">
        <v>67</v>
      </c>
      <c r="T118" t="s">
        <v>1716</v>
      </c>
      <c r="U118" t="s">
        <v>1874</v>
      </c>
      <c r="V118">
        <v>16</v>
      </c>
      <c r="W118" s="2">
        <v>0</v>
      </c>
    </row>
    <row r="119" spans="1:23" x14ac:dyDescent="0.25">
      <c r="A119" t="s">
        <v>31</v>
      </c>
      <c r="B119" t="s">
        <v>32</v>
      </c>
      <c r="C119" t="s">
        <v>33</v>
      </c>
      <c r="D119" t="s">
        <v>34</v>
      </c>
      <c r="E119" t="s">
        <v>35</v>
      </c>
      <c r="F119" t="s">
        <v>36</v>
      </c>
      <c r="G119">
        <v>1141685</v>
      </c>
      <c r="H119" t="s">
        <v>76</v>
      </c>
      <c r="I119" t="s">
        <v>95</v>
      </c>
      <c r="J119" t="s">
        <v>99</v>
      </c>
      <c r="K119" t="s">
        <v>109</v>
      </c>
      <c r="L119" s="1">
        <v>46143</v>
      </c>
      <c r="M119" s="1">
        <v>46173</v>
      </c>
      <c r="N119">
        <v>0.20000299999999999</v>
      </c>
      <c r="O119" t="s">
        <v>58</v>
      </c>
      <c r="P119" t="s">
        <v>63</v>
      </c>
      <c r="Q119" t="s">
        <v>1673</v>
      </c>
      <c r="R119" t="s">
        <v>1678</v>
      </c>
      <c r="S119" t="s">
        <v>67</v>
      </c>
      <c r="T119" t="s">
        <v>1716</v>
      </c>
      <c r="U119" t="s">
        <v>1874</v>
      </c>
      <c r="V119">
        <v>16</v>
      </c>
      <c r="W119" s="2">
        <v>0</v>
      </c>
    </row>
    <row r="120" spans="1:23" x14ac:dyDescent="0.25">
      <c r="A120" t="s">
        <v>31</v>
      </c>
      <c r="B120" t="s">
        <v>32</v>
      </c>
      <c r="C120" t="s">
        <v>33</v>
      </c>
      <c r="D120" t="s">
        <v>34</v>
      </c>
      <c r="E120" t="s">
        <v>35</v>
      </c>
      <c r="F120" t="s">
        <v>36</v>
      </c>
      <c r="G120">
        <v>1141685</v>
      </c>
      <c r="H120" t="s">
        <v>76</v>
      </c>
      <c r="I120" t="s">
        <v>95</v>
      </c>
      <c r="J120" t="s">
        <v>99</v>
      </c>
      <c r="K120" t="s">
        <v>109</v>
      </c>
      <c r="L120" s="1">
        <v>46143</v>
      </c>
      <c r="M120" s="1">
        <v>46173</v>
      </c>
      <c r="N120">
        <v>0.21667</v>
      </c>
      <c r="O120" t="s">
        <v>58</v>
      </c>
      <c r="P120" t="s">
        <v>63</v>
      </c>
      <c r="Q120" t="s">
        <v>1673</v>
      </c>
      <c r="R120" t="s">
        <v>1678</v>
      </c>
      <c r="S120" t="s">
        <v>67</v>
      </c>
      <c r="T120" t="s">
        <v>1716</v>
      </c>
      <c r="U120" t="s">
        <v>1874</v>
      </c>
      <c r="V120">
        <v>16</v>
      </c>
      <c r="W120" s="2">
        <v>0</v>
      </c>
    </row>
    <row r="121" spans="1:23" x14ac:dyDescent="0.25">
      <c r="A121" t="s">
        <v>31</v>
      </c>
      <c r="B121" t="s">
        <v>32</v>
      </c>
      <c r="C121" t="s">
        <v>33</v>
      </c>
      <c r="D121" t="s">
        <v>34</v>
      </c>
      <c r="E121" t="s">
        <v>35</v>
      </c>
      <c r="F121" t="s">
        <v>36</v>
      </c>
      <c r="G121">
        <v>1141685</v>
      </c>
      <c r="H121" t="s">
        <v>76</v>
      </c>
      <c r="I121" t="s">
        <v>95</v>
      </c>
      <c r="J121" t="s">
        <v>99</v>
      </c>
      <c r="K121" t="s">
        <v>109</v>
      </c>
      <c r="L121" s="1">
        <v>46143</v>
      </c>
      <c r="M121" s="1">
        <v>46173</v>
      </c>
      <c r="N121">
        <v>360</v>
      </c>
      <c r="O121" t="s">
        <v>58</v>
      </c>
      <c r="P121" t="s">
        <v>63</v>
      </c>
      <c r="Q121" t="s">
        <v>1673</v>
      </c>
      <c r="R121" t="s">
        <v>1678</v>
      </c>
      <c r="S121" t="s">
        <v>67</v>
      </c>
      <c r="T121" t="s">
        <v>1716</v>
      </c>
      <c r="U121" t="s">
        <v>1874</v>
      </c>
      <c r="V121">
        <v>16</v>
      </c>
      <c r="W121" s="2">
        <v>0</v>
      </c>
    </row>
    <row r="122" spans="1:23" x14ac:dyDescent="0.25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36</v>
      </c>
      <c r="G122">
        <v>1141685</v>
      </c>
      <c r="H122" t="s">
        <v>76</v>
      </c>
      <c r="I122" t="s">
        <v>95</v>
      </c>
      <c r="J122" t="s">
        <v>99</v>
      </c>
      <c r="K122" t="s">
        <v>109</v>
      </c>
      <c r="L122" s="1">
        <v>46143</v>
      </c>
      <c r="M122" s="1">
        <v>46173</v>
      </c>
      <c r="N122">
        <v>358</v>
      </c>
      <c r="O122" t="s">
        <v>58</v>
      </c>
      <c r="P122" t="s">
        <v>63</v>
      </c>
      <c r="Q122" t="s">
        <v>1673</v>
      </c>
      <c r="R122" t="s">
        <v>1678</v>
      </c>
      <c r="S122" t="s">
        <v>67</v>
      </c>
      <c r="T122" t="s">
        <v>1716</v>
      </c>
      <c r="U122" t="s">
        <v>1874</v>
      </c>
      <c r="V122">
        <v>16</v>
      </c>
      <c r="W122" s="2">
        <v>0</v>
      </c>
    </row>
    <row r="123" spans="1:23" x14ac:dyDescent="0.25">
      <c r="A123" t="s">
        <v>31</v>
      </c>
      <c r="B123" t="s">
        <v>32</v>
      </c>
      <c r="C123" t="s">
        <v>33</v>
      </c>
      <c r="D123" t="s">
        <v>34</v>
      </c>
      <c r="E123" t="s">
        <v>35</v>
      </c>
      <c r="F123" t="s">
        <v>36</v>
      </c>
      <c r="G123">
        <v>1141685</v>
      </c>
      <c r="H123" t="s">
        <v>77</v>
      </c>
      <c r="I123" t="s">
        <v>96</v>
      </c>
      <c r="J123" t="s">
        <v>77</v>
      </c>
      <c r="K123" t="s">
        <v>111</v>
      </c>
      <c r="L123" s="1">
        <v>46143</v>
      </c>
      <c r="M123" s="1">
        <v>46173</v>
      </c>
      <c r="N123">
        <v>0.85984955360000004</v>
      </c>
      <c r="O123" t="s">
        <v>56</v>
      </c>
      <c r="P123" t="s">
        <v>63</v>
      </c>
      <c r="Q123" t="s">
        <v>1672</v>
      </c>
      <c r="R123" t="s">
        <v>1676</v>
      </c>
      <c r="S123" t="s">
        <v>67</v>
      </c>
      <c r="T123" t="s">
        <v>1786</v>
      </c>
      <c r="U123" t="s">
        <v>1944</v>
      </c>
      <c r="V123">
        <v>15</v>
      </c>
      <c r="W123" s="2">
        <v>150.00823073909999</v>
      </c>
    </row>
    <row r="124" spans="1:23" x14ac:dyDescent="0.25">
      <c r="A124" t="s">
        <v>31</v>
      </c>
      <c r="B124" t="s">
        <v>32</v>
      </c>
      <c r="C124" t="s">
        <v>33</v>
      </c>
      <c r="D124" t="s">
        <v>34</v>
      </c>
      <c r="E124" t="s">
        <v>35</v>
      </c>
      <c r="F124" t="s">
        <v>36</v>
      </c>
      <c r="G124">
        <v>1141685</v>
      </c>
      <c r="H124" t="s">
        <v>77</v>
      </c>
      <c r="I124" t="s">
        <v>96</v>
      </c>
      <c r="J124" t="s">
        <v>77</v>
      </c>
      <c r="K124" t="s">
        <v>111</v>
      </c>
      <c r="L124" s="1">
        <v>46143</v>
      </c>
      <c r="M124" s="1">
        <v>46173</v>
      </c>
      <c r="N124">
        <v>1.9168408599999999E-2</v>
      </c>
      <c r="O124" t="s">
        <v>56</v>
      </c>
      <c r="P124" t="s">
        <v>63</v>
      </c>
      <c r="Q124" t="s">
        <v>1672</v>
      </c>
      <c r="R124" t="s">
        <v>1678</v>
      </c>
      <c r="S124" t="s">
        <v>67</v>
      </c>
      <c r="T124" t="s">
        <v>1787</v>
      </c>
      <c r="U124" t="s">
        <v>1945</v>
      </c>
      <c r="V124">
        <v>15</v>
      </c>
      <c r="W124" s="2">
        <v>3.3428260945999999</v>
      </c>
    </row>
    <row r="125" spans="1:23" x14ac:dyDescent="0.25">
      <c r="A125" t="s">
        <v>31</v>
      </c>
      <c r="B125" t="s">
        <v>32</v>
      </c>
      <c r="C125" t="s">
        <v>33</v>
      </c>
      <c r="D125" t="s">
        <v>34</v>
      </c>
      <c r="E125" t="s">
        <v>35</v>
      </c>
      <c r="F125" t="s">
        <v>36</v>
      </c>
      <c r="G125">
        <v>1141685</v>
      </c>
      <c r="H125" t="s">
        <v>77</v>
      </c>
      <c r="I125" t="s">
        <v>96</v>
      </c>
      <c r="J125" t="s">
        <v>77</v>
      </c>
      <c r="K125" t="s">
        <v>111</v>
      </c>
      <c r="L125" s="1">
        <v>46143</v>
      </c>
      <c r="M125" s="1">
        <v>46173</v>
      </c>
      <c r="N125">
        <v>4.7953999999999999E-6</v>
      </c>
      <c r="O125" t="s">
        <v>56</v>
      </c>
      <c r="P125" t="s">
        <v>63</v>
      </c>
      <c r="Q125" t="s">
        <v>1672</v>
      </c>
      <c r="R125" t="s">
        <v>1678</v>
      </c>
      <c r="S125" t="s">
        <v>67</v>
      </c>
      <c r="T125" t="s">
        <v>1788</v>
      </c>
      <c r="U125" t="s">
        <v>1946</v>
      </c>
      <c r="V125">
        <v>16</v>
      </c>
      <c r="W125" s="2">
        <v>7.3620960000000003E-4</v>
      </c>
    </row>
    <row r="126" spans="1:23" x14ac:dyDescent="0.25">
      <c r="A126" t="s">
        <v>31</v>
      </c>
      <c r="B126" t="s">
        <v>32</v>
      </c>
      <c r="C126" t="s">
        <v>33</v>
      </c>
      <c r="D126" t="s">
        <v>34</v>
      </c>
      <c r="E126" t="s">
        <v>35</v>
      </c>
      <c r="F126" t="s">
        <v>36</v>
      </c>
      <c r="G126">
        <v>1141685</v>
      </c>
      <c r="H126" t="s">
        <v>77</v>
      </c>
      <c r="I126" t="s">
        <v>96</v>
      </c>
      <c r="J126" t="s">
        <v>77</v>
      </c>
      <c r="K126" t="s">
        <v>111</v>
      </c>
      <c r="L126" s="1">
        <v>46143</v>
      </c>
      <c r="M126" s="1">
        <v>46173</v>
      </c>
      <c r="N126">
        <v>1.006E-7</v>
      </c>
      <c r="O126" t="s">
        <v>56</v>
      </c>
      <c r="P126" t="s">
        <v>63</v>
      </c>
      <c r="Q126" t="s">
        <v>1672</v>
      </c>
      <c r="R126" t="s">
        <v>1678</v>
      </c>
      <c r="S126" t="s">
        <v>67</v>
      </c>
      <c r="T126" t="s">
        <v>1789</v>
      </c>
      <c r="U126" t="s">
        <v>1947</v>
      </c>
      <c r="V126">
        <v>16</v>
      </c>
      <c r="W126" s="2">
        <v>1.5441899999999999E-5</v>
      </c>
    </row>
    <row r="127" spans="1:23" x14ac:dyDescent="0.25">
      <c r="A127" t="s">
        <v>31</v>
      </c>
      <c r="B127" t="s">
        <v>32</v>
      </c>
      <c r="C127" t="s">
        <v>33</v>
      </c>
      <c r="D127" t="s">
        <v>34</v>
      </c>
      <c r="E127" t="s">
        <v>35</v>
      </c>
      <c r="F127" t="s">
        <v>36</v>
      </c>
      <c r="G127">
        <v>1141685</v>
      </c>
      <c r="H127" t="s">
        <v>77</v>
      </c>
      <c r="I127" t="s">
        <v>96</v>
      </c>
      <c r="J127" t="s">
        <v>77</v>
      </c>
      <c r="K127" t="s">
        <v>113</v>
      </c>
      <c r="L127" s="1">
        <v>46143</v>
      </c>
      <c r="M127" s="1">
        <v>46173</v>
      </c>
      <c r="N127">
        <v>146.93931806180001</v>
      </c>
      <c r="O127" t="s">
        <v>56</v>
      </c>
      <c r="P127" t="s">
        <v>63</v>
      </c>
      <c r="Q127" t="s">
        <v>1672</v>
      </c>
      <c r="R127" t="s">
        <v>1678</v>
      </c>
      <c r="S127" t="s">
        <v>67</v>
      </c>
      <c r="T127" t="s">
        <v>1790</v>
      </c>
      <c r="U127" t="s">
        <v>1948</v>
      </c>
      <c r="V127">
        <v>15</v>
      </c>
      <c r="W127" s="2">
        <v>25635.029417575199</v>
      </c>
    </row>
    <row r="128" spans="1:23" x14ac:dyDescent="0.25">
      <c r="A128" t="s">
        <v>31</v>
      </c>
      <c r="B128" t="s">
        <v>32</v>
      </c>
      <c r="C128" t="s">
        <v>33</v>
      </c>
      <c r="D128" t="s">
        <v>34</v>
      </c>
      <c r="E128" t="s">
        <v>35</v>
      </c>
      <c r="F128" t="s">
        <v>36</v>
      </c>
      <c r="G128">
        <v>1141685</v>
      </c>
      <c r="H128" t="s">
        <v>79</v>
      </c>
      <c r="I128" t="s">
        <v>94</v>
      </c>
      <c r="J128" t="s">
        <v>101</v>
      </c>
      <c r="K128" t="s">
        <v>114</v>
      </c>
      <c r="L128" s="1">
        <v>46143</v>
      </c>
      <c r="M128" s="1">
        <v>46173</v>
      </c>
      <c r="N128">
        <v>2.2350000000000001E-7</v>
      </c>
      <c r="O128" t="s">
        <v>56</v>
      </c>
      <c r="P128" t="s">
        <v>63</v>
      </c>
      <c r="Q128" t="s">
        <v>1672</v>
      </c>
      <c r="R128" t="s">
        <v>1678</v>
      </c>
      <c r="S128" t="s">
        <v>67</v>
      </c>
      <c r="T128" t="s">
        <v>1791</v>
      </c>
      <c r="U128" t="s">
        <v>1949</v>
      </c>
      <c r="V128">
        <v>16</v>
      </c>
      <c r="W128" s="2">
        <v>2.7452370000000001E-4</v>
      </c>
    </row>
    <row r="129" spans="1:23" x14ac:dyDescent="0.25">
      <c r="A129" t="s">
        <v>31</v>
      </c>
      <c r="B129" t="s">
        <v>32</v>
      </c>
      <c r="C129" t="s">
        <v>33</v>
      </c>
      <c r="D129" t="s">
        <v>34</v>
      </c>
      <c r="E129" t="s">
        <v>35</v>
      </c>
      <c r="F129" t="s">
        <v>36</v>
      </c>
      <c r="G129">
        <v>1141685</v>
      </c>
      <c r="H129" t="s">
        <v>79</v>
      </c>
      <c r="I129" t="s">
        <v>94</v>
      </c>
      <c r="J129" t="s">
        <v>101</v>
      </c>
      <c r="K129" t="s">
        <v>114</v>
      </c>
      <c r="L129" s="1">
        <v>46143</v>
      </c>
      <c r="M129" s="1">
        <v>46173</v>
      </c>
      <c r="N129">
        <v>2.5481991000000002E-3</v>
      </c>
      <c r="O129" t="s">
        <v>56</v>
      </c>
      <c r="P129" t="s">
        <v>63</v>
      </c>
      <c r="Q129" t="s">
        <v>1672</v>
      </c>
      <c r="R129" t="s">
        <v>1677</v>
      </c>
      <c r="S129" t="s">
        <v>67</v>
      </c>
      <c r="T129" t="s">
        <v>1792</v>
      </c>
      <c r="U129" t="s">
        <v>1950</v>
      </c>
      <c r="V129">
        <v>17</v>
      </c>
      <c r="W129" s="2">
        <v>3.5596941130999999</v>
      </c>
    </row>
    <row r="130" spans="1:23" x14ac:dyDescent="0.25">
      <c r="A130" t="s">
        <v>31</v>
      </c>
      <c r="B130" t="s">
        <v>32</v>
      </c>
      <c r="C130" t="s">
        <v>33</v>
      </c>
      <c r="D130" t="s">
        <v>34</v>
      </c>
      <c r="E130" t="s">
        <v>35</v>
      </c>
      <c r="F130" t="s">
        <v>36</v>
      </c>
      <c r="G130">
        <v>1141685</v>
      </c>
      <c r="H130" t="s">
        <v>79</v>
      </c>
      <c r="I130" t="s">
        <v>94</v>
      </c>
      <c r="J130" t="s">
        <v>101</v>
      </c>
      <c r="K130" t="s">
        <v>114</v>
      </c>
      <c r="L130" s="1">
        <v>46143</v>
      </c>
      <c r="M130" s="1">
        <v>46173</v>
      </c>
      <c r="N130">
        <v>1.118E-7</v>
      </c>
      <c r="O130" t="s">
        <v>56</v>
      </c>
      <c r="P130" t="s">
        <v>63</v>
      </c>
      <c r="Q130" t="s">
        <v>1672</v>
      </c>
      <c r="R130" t="s">
        <v>1678</v>
      </c>
      <c r="S130" t="s">
        <v>67</v>
      </c>
      <c r="T130" t="s">
        <v>1764</v>
      </c>
      <c r="U130" t="s">
        <v>1922</v>
      </c>
      <c r="V130">
        <v>16</v>
      </c>
      <c r="W130" s="2">
        <v>1.3726179999999999E-4</v>
      </c>
    </row>
    <row r="131" spans="1:23" x14ac:dyDescent="0.25">
      <c r="A131" t="s">
        <v>31</v>
      </c>
      <c r="B131" t="s">
        <v>32</v>
      </c>
      <c r="C131" t="s">
        <v>33</v>
      </c>
      <c r="D131" t="s">
        <v>34</v>
      </c>
      <c r="E131" t="s">
        <v>35</v>
      </c>
      <c r="F131" t="s">
        <v>36</v>
      </c>
      <c r="G131">
        <v>1141685</v>
      </c>
      <c r="H131" t="s">
        <v>77</v>
      </c>
      <c r="I131" t="s">
        <v>96</v>
      </c>
      <c r="J131" t="s">
        <v>77</v>
      </c>
      <c r="K131" t="s">
        <v>113</v>
      </c>
      <c r="L131" s="1">
        <v>46143</v>
      </c>
      <c r="M131" s="1">
        <v>46173</v>
      </c>
      <c r="N131">
        <v>579.61340257339998</v>
      </c>
      <c r="O131" t="s">
        <v>56</v>
      </c>
      <c r="P131" t="s">
        <v>63</v>
      </c>
      <c r="Q131" t="s">
        <v>1672</v>
      </c>
      <c r="R131" t="s">
        <v>1678</v>
      </c>
      <c r="S131" t="s">
        <v>67</v>
      </c>
      <c r="T131" t="s">
        <v>1793</v>
      </c>
      <c r="U131" t="s">
        <v>1951</v>
      </c>
      <c r="V131">
        <v>16</v>
      </c>
      <c r="W131" s="2">
        <v>101119.3517073995</v>
      </c>
    </row>
    <row r="132" spans="1:23" x14ac:dyDescent="0.25">
      <c r="A132" t="s">
        <v>31</v>
      </c>
      <c r="B132" t="s">
        <v>32</v>
      </c>
      <c r="C132" t="s">
        <v>33</v>
      </c>
      <c r="D132" t="s">
        <v>34</v>
      </c>
      <c r="E132" t="s">
        <v>35</v>
      </c>
      <c r="F132" t="s">
        <v>36</v>
      </c>
      <c r="G132">
        <v>1141685</v>
      </c>
      <c r="H132" t="s">
        <v>77</v>
      </c>
      <c r="I132" t="s">
        <v>96</v>
      </c>
      <c r="J132" t="s">
        <v>77</v>
      </c>
      <c r="K132" t="s">
        <v>113</v>
      </c>
      <c r="L132" s="1">
        <v>46143</v>
      </c>
      <c r="M132" s="1">
        <v>46173</v>
      </c>
      <c r="N132">
        <v>18.827624249300001</v>
      </c>
      <c r="O132" t="s">
        <v>56</v>
      </c>
      <c r="P132" t="s">
        <v>63</v>
      </c>
      <c r="Q132" t="s">
        <v>1672</v>
      </c>
      <c r="R132" t="s">
        <v>1676</v>
      </c>
      <c r="S132" t="s">
        <v>67</v>
      </c>
      <c r="T132" t="s">
        <v>1794</v>
      </c>
      <c r="U132" t="s">
        <v>1952</v>
      </c>
      <c r="V132">
        <v>16</v>
      </c>
      <c r="W132" s="2">
        <v>3284.6672473427998</v>
      </c>
    </row>
    <row r="133" spans="1:23" x14ac:dyDescent="0.25">
      <c r="A133" t="s">
        <v>31</v>
      </c>
      <c r="B133" t="s">
        <v>32</v>
      </c>
      <c r="C133" t="s">
        <v>33</v>
      </c>
      <c r="D133" t="s">
        <v>34</v>
      </c>
      <c r="E133" t="s">
        <v>35</v>
      </c>
      <c r="F133" t="s">
        <v>36</v>
      </c>
      <c r="G133">
        <v>1141685</v>
      </c>
      <c r="H133" t="s">
        <v>79</v>
      </c>
      <c r="I133" t="s">
        <v>94</v>
      </c>
      <c r="J133" t="s">
        <v>101</v>
      </c>
      <c r="K133" t="s">
        <v>116</v>
      </c>
      <c r="L133" s="1">
        <v>46143</v>
      </c>
      <c r="M133" s="1">
        <v>46173</v>
      </c>
      <c r="N133">
        <v>0.36398358269999997</v>
      </c>
      <c r="O133" t="s">
        <v>56</v>
      </c>
      <c r="P133" t="s">
        <v>63</v>
      </c>
      <c r="Q133" t="s">
        <v>1672</v>
      </c>
      <c r="R133" t="s">
        <v>1678</v>
      </c>
      <c r="S133" t="s">
        <v>67</v>
      </c>
      <c r="T133" t="s">
        <v>1795</v>
      </c>
      <c r="U133" t="s">
        <v>1953</v>
      </c>
      <c r="V133">
        <v>15</v>
      </c>
      <c r="W133" s="2">
        <v>422.82287390480002</v>
      </c>
    </row>
    <row r="134" spans="1:23" x14ac:dyDescent="0.25">
      <c r="A134" t="s">
        <v>31</v>
      </c>
      <c r="B134" t="s">
        <v>32</v>
      </c>
      <c r="C134" t="s">
        <v>33</v>
      </c>
      <c r="D134" t="s">
        <v>34</v>
      </c>
      <c r="E134" t="s">
        <v>35</v>
      </c>
      <c r="F134" t="s">
        <v>36</v>
      </c>
      <c r="G134">
        <v>1141685</v>
      </c>
      <c r="H134" t="s">
        <v>87</v>
      </c>
      <c r="I134" t="s">
        <v>87</v>
      </c>
      <c r="J134" t="s">
        <v>87</v>
      </c>
      <c r="K134" t="s">
        <v>125</v>
      </c>
      <c r="L134" s="1">
        <v>46143</v>
      </c>
      <c r="M134" s="1">
        <v>46173</v>
      </c>
      <c r="N134">
        <v>744</v>
      </c>
      <c r="O134" t="s">
        <v>58</v>
      </c>
      <c r="P134" t="s">
        <v>63</v>
      </c>
      <c r="Q134" t="s">
        <v>1672</v>
      </c>
      <c r="R134" t="s">
        <v>164</v>
      </c>
      <c r="S134" t="s">
        <v>67</v>
      </c>
      <c r="T134" t="s">
        <v>1796</v>
      </c>
      <c r="U134" t="s">
        <v>1954</v>
      </c>
      <c r="V134">
        <v>12</v>
      </c>
      <c r="W134" s="2">
        <v>324495.598</v>
      </c>
    </row>
    <row r="135" spans="1:23" x14ac:dyDescent="0.25">
      <c r="A135" t="s">
        <v>31</v>
      </c>
      <c r="B135" t="s">
        <v>32</v>
      </c>
      <c r="C135" t="s">
        <v>33</v>
      </c>
      <c r="D135" t="s">
        <v>34</v>
      </c>
      <c r="E135" t="s">
        <v>35</v>
      </c>
      <c r="F135" t="s">
        <v>36</v>
      </c>
      <c r="G135">
        <v>1141685</v>
      </c>
      <c r="H135" t="s">
        <v>75</v>
      </c>
      <c r="I135" t="s">
        <v>94</v>
      </c>
      <c r="J135" t="s">
        <v>98</v>
      </c>
      <c r="K135" t="s">
        <v>108</v>
      </c>
      <c r="L135" s="1">
        <v>46143</v>
      </c>
      <c r="M135" s="1">
        <v>46173</v>
      </c>
      <c r="N135">
        <v>0.58065319709999996</v>
      </c>
      <c r="O135" t="s">
        <v>56</v>
      </c>
      <c r="P135" t="s">
        <v>63</v>
      </c>
      <c r="Q135" t="s">
        <v>1672</v>
      </c>
      <c r="R135" t="s">
        <v>1676</v>
      </c>
      <c r="S135" t="s">
        <v>67</v>
      </c>
      <c r="T135" t="s">
        <v>1797</v>
      </c>
      <c r="U135" t="s">
        <v>1955</v>
      </c>
      <c r="V135">
        <v>15</v>
      </c>
      <c r="W135" s="2">
        <v>1119.3149686469001</v>
      </c>
    </row>
    <row r="136" spans="1:23" x14ac:dyDescent="0.25">
      <c r="A136" t="s">
        <v>31</v>
      </c>
      <c r="B136" t="s">
        <v>32</v>
      </c>
      <c r="C136" t="s">
        <v>33</v>
      </c>
      <c r="D136" t="s">
        <v>34</v>
      </c>
      <c r="E136" t="s">
        <v>35</v>
      </c>
      <c r="F136" t="s">
        <v>36</v>
      </c>
      <c r="G136">
        <v>1141685</v>
      </c>
      <c r="H136" t="s">
        <v>75</v>
      </c>
      <c r="I136" t="s">
        <v>94</v>
      </c>
      <c r="J136" t="s">
        <v>98</v>
      </c>
      <c r="K136" t="s">
        <v>108</v>
      </c>
      <c r="L136" s="1">
        <v>46143</v>
      </c>
      <c r="M136" s="1">
        <v>46173</v>
      </c>
      <c r="N136">
        <v>7.1218000000000002E-6</v>
      </c>
      <c r="O136" t="s">
        <v>56</v>
      </c>
      <c r="P136" t="s">
        <v>63</v>
      </c>
      <c r="Q136" t="s">
        <v>1672</v>
      </c>
      <c r="R136" t="s">
        <v>1678</v>
      </c>
      <c r="S136" t="s">
        <v>67</v>
      </c>
      <c r="T136" t="s">
        <v>1798</v>
      </c>
      <c r="U136" t="s">
        <v>1956</v>
      </c>
      <c r="V136">
        <v>16</v>
      </c>
      <c r="W136" s="2">
        <v>1.31205188E-2</v>
      </c>
    </row>
    <row r="137" spans="1:23" x14ac:dyDescent="0.25">
      <c r="A137" t="s">
        <v>31</v>
      </c>
      <c r="B137" t="s">
        <v>32</v>
      </c>
      <c r="C137" t="s">
        <v>33</v>
      </c>
      <c r="D137" t="s">
        <v>34</v>
      </c>
      <c r="E137" t="s">
        <v>35</v>
      </c>
      <c r="F137" t="s">
        <v>36</v>
      </c>
      <c r="G137">
        <v>1141685</v>
      </c>
      <c r="H137" t="s">
        <v>87</v>
      </c>
      <c r="I137" t="s">
        <v>87</v>
      </c>
      <c r="J137" t="s">
        <v>87</v>
      </c>
      <c r="K137" t="s">
        <v>125</v>
      </c>
      <c r="L137" s="1">
        <v>46143</v>
      </c>
      <c r="M137" s="1">
        <v>46173</v>
      </c>
      <c r="N137">
        <v>744</v>
      </c>
      <c r="O137" t="s">
        <v>58</v>
      </c>
      <c r="P137" t="s">
        <v>63</v>
      </c>
      <c r="Q137" t="s">
        <v>1672</v>
      </c>
      <c r="R137" t="s">
        <v>158</v>
      </c>
      <c r="S137" t="s">
        <v>67</v>
      </c>
      <c r="T137" t="s">
        <v>1799</v>
      </c>
      <c r="U137" t="s">
        <v>1957</v>
      </c>
      <c r="V137">
        <v>12</v>
      </c>
      <c r="W137" s="2">
        <v>324495.598</v>
      </c>
    </row>
    <row r="138" spans="1:23" x14ac:dyDescent="0.25">
      <c r="A138" t="s">
        <v>31</v>
      </c>
      <c r="B138" t="s">
        <v>32</v>
      </c>
      <c r="C138" t="s">
        <v>33</v>
      </c>
      <c r="D138" t="s">
        <v>34</v>
      </c>
      <c r="E138" t="s">
        <v>35</v>
      </c>
      <c r="F138" t="s">
        <v>36</v>
      </c>
      <c r="G138">
        <v>1141685</v>
      </c>
      <c r="H138" t="s">
        <v>87</v>
      </c>
      <c r="I138" t="s">
        <v>87</v>
      </c>
      <c r="J138" t="s">
        <v>87</v>
      </c>
      <c r="K138" t="s">
        <v>131</v>
      </c>
      <c r="L138" s="1">
        <v>46143</v>
      </c>
      <c r="M138" s="1">
        <v>46173</v>
      </c>
      <c r="N138">
        <v>2800.7392996261001</v>
      </c>
      <c r="O138" t="s">
        <v>56</v>
      </c>
      <c r="P138" t="s">
        <v>63</v>
      </c>
      <c r="Q138" t="s">
        <v>1672</v>
      </c>
      <c r="R138" t="s">
        <v>164</v>
      </c>
      <c r="S138" t="s">
        <v>67</v>
      </c>
      <c r="T138" t="s">
        <v>1800</v>
      </c>
      <c r="U138" t="s">
        <v>1958</v>
      </c>
      <c r="V138">
        <v>12</v>
      </c>
      <c r="W138" s="2">
        <v>244308.49041361769</v>
      </c>
    </row>
    <row r="139" spans="1:23" x14ac:dyDescent="0.25">
      <c r="A139" t="s">
        <v>31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>
        <v>1141685</v>
      </c>
      <c r="H139" t="s">
        <v>75</v>
      </c>
      <c r="I139" t="s">
        <v>94</v>
      </c>
      <c r="J139" t="s">
        <v>98</v>
      </c>
      <c r="K139" t="s">
        <v>108</v>
      </c>
      <c r="L139" s="1">
        <v>46143</v>
      </c>
      <c r="M139" s="1">
        <v>46173</v>
      </c>
      <c r="N139">
        <v>1.3870019E-3</v>
      </c>
      <c r="O139" t="s">
        <v>56</v>
      </c>
      <c r="P139" t="s">
        <v>63</v>
      </c>
      <c r="Q139" t="s">
        <v>1672</v>
      </c>
      <c r="R139" t="s">
        <v>1678</v>
      </c>
      <c r="S139" t="s">
        <v>67</v>
      </c>
      <c r="T139" t="s">
        <v>1801</v>
      </c>
      <c r="U139" t="s">
        <v>1959</v>
      </c>
      <c r="V139">
        <v>16</v>
      </c>
      <c r="W139" s="2">
        <v>2.9052703572</v>
      </c>
    </row>
    <row r="140" spans="1:23" x14ac:dyDescent="0.25">
      <c r="A140" t="s">
        <v>31</v>
      </c>
      <c r="B140" t="s">
        <v>32</v>
      </c>
      <c r="C140" t="s">
        <v>33</v>
      </c>
      <c r="D140" t="s">
        <v>34</v>
      </c>
      <c r="E140" t="s">
        <v>35</v>
      </c>
      <c r="F140" t="s">
        <v>36</v>
      </c>
      <c r="G140">
        <v>1141685</v>
      </c>
      <c r="H140" t="s">
        <v>75</v>
      </c>
      <c r="I140" t="s">
        <v>94</v>
      </c>
      <c r="J140" t="s">
        <v>98</v>
      </c>
      <c r="K140" t="s">
        <v>108</v>
      </c>
      <c r="L140" s="1">
        <v>46143</v>
      </c>
      <c r="M140" s="1">
        <v>46173</v>
      </c>
      <c r="N140">
        <v>0.1233672844</v>
      </c>
      <c r="O140" t="s">
        <v>56</v>
      </c>
      <c r="P140" t="s">
        <v>63</v>
      </c>
      <c r="Q140" t="s">
        <v>1672</v>
      </c>
      <c r="R140" t="s">
        <v>1676</v>
      </c>
      <c r="S140" t="s">
        <v>67</v>
      </c>
      <c r="T140" t="s">
        <v>1802</v>
      </c>
      <c r="U140" t="s">
        <v>1960</v>
      </c>
      <c r="V140">
        <v>16</v>
      </c>
      <c r="W140" s="2">
        <v>258.26925201220001</v>
      </c>
    </row>
    <row r="141" spans="1:23" x14ac:dyDescent="0.25">
      <c r="A141" t="s">
        <v>31</v>
      </c>
      <c r="B141" t="s">
        <v>32</v>
      </c>
      <c r="C141" t="s">
        <v>33</v>
      </c>
      <c r="D141" t="s">
        <v>34</v>
      </c>
      <c r="E141" t="s">
        <v>35</v>
      </c>
      <c r="F141" t="s">
        <v>36</v>
      </c>
      <c r="G141">
        <v>1141685</v>
      </c>
      <c r="H141" t="s">
        <v>75</v>
      </c>
      <c r="I141" t="s">
        <v>94</v>
      </c>
      <c r="J141" t="s">
        <v>98</v>
      </c>
      <c r="K141" t="s">
        <v>108</v>
      </c>
      <c r="L141" s="1">
        <v>46143</v>
      </c>
      <c r="M141" s="1">
        <v>46173</v>
      </c>
      <c r="N141">
        <v>6.3164829300000003E-2</v>
      </c>
      <c r="O141" t="s">
        <v>56</v>
      </c>
      <c r="P141" t="s">
        <v>63</v>
      </c>
      <c r="Q141" t="s">
        <v>1672</v>
      </c>
      <c r="R141" t="s">
        <v>1678</v>
      </c>
      <c r="S141" t="s">
        <v>67</v>
      </c>
      <c r="T141" t="s">
        <v>1803</v>
      </c>
      <c r="U141" t="s">
        <v>1961</v>
      </c>
      <c r="V141">
        <v>15</v>
      </c>
      <c r="W141" s="2">
        <v>120.71380225270001</v>
      </c>
    </row>
    <row r="142" spans="1:23" x14ac:dyDescent="0.25">
      <c r="A142" t="s">
        <v>31</v>
      </c>
      <c r="B142" t="s">
        <v>32</v>
      </c>
      <c r="C142" t="s">
        <v>33</v>
      </c>
      <c r="D142" t="s">
        <v>34</v>
      </c>
      <c r="E142" t="s">
        <v>35</v>
      </c>
      <c r="F142" t="s">
        <v>36</v>
      </c>
      <c r="G142">
        <v>1141685</v>
      </c>
      <c r="H142" t="s">
        <v>78</v>
      </c>
      <c r="I142" t="s">
        <v>96</v>
      </c>
      <c r="J142" t="s">
        <v>100</v>
      </c>
      <c r="K142" t="s">
        <v>112</v>
      </c>
      <c r="L142" s="1">
        <v>46143</v>
      </c>
      <c r="M142" s="1">
        <v>46173</v>
      </c>
      <c r="N142">
        <v>744</v>
      </c>
      <c r="O142" t="s">
        <v>58</v>
      </c>
      <c r="P142" t="s">
        <v>63</v>
      </c>
      <c r="Q142" t="s">
        <v>1672</v>
      </c>
      <c r="R142" t="s">
        <v>1695</v>
      </c>
      <c r="S142" t="s">
        <v>67</v>
      </c>
      <c r="T142" t="s">
        <v>1804</v>
      </c>
      <c r="U142" t="s">
        <v>1962</v>
      </c>
      <c r="V142">
        <v>13</v>
      </c>
      <c r="W142" s="2">
        <v>64899.115599999997</v>
      </c>
    </row>
    <row r="143" spans="1:23" x14ac:dyDescent="0.25">
      <c r="A143" t="s">
        <v>31</v>
      </c>
      <c r="B143" t="s">
        <v>32</v>
      </c>
      <c r="C143" t="s">
        <v>33</v>
      </c>
      <c r="D143" t="s">
        <v>34</v>
      </c>
      <c r="E143" t="s">
        <v>35</v>
      </c>
      <c r="F143" t="s">
        <v>36</v>
      </c>
      <c r="G143">
        <v>1141685</v>
      </c>
      <c r="H143" t="s">
        <v>81</v>
      </c>
      <c r="I143" t="s">
        <v>97</v>
      </c>
      <c r="J143" t="s">
        <v>102</v>
      </c>
      <c r="K143" t="s">
        <v>117</v>
      </c>
      <c r="L143" s="1">
        <v>46143</v>
      </c>
      <c r="M143" s="1">
        <v>46173</v>
      </c>
      <c r="N143">
        <v>42</v>
      </c>
      <c r="O143" t="s">
        <v>58</v>
      </c>
      <c r="P143" t="s">
        <v>63</v>
      </c>
      <c r="Q143" t="s">
        <v>1674</v>
      </c>
      <c r="R143" t="s">
        <v>1682</v>
      </c>
      <c r="S143" t="s">
        <v>67</v>
      </c>
      <c r="T143" t="s">
        <v>1733</v>
      </c>
      <c r="U143" t="s">
        <v>1891</v>
      </c>
      <c r="V143">
        <v>7</v>
      </c>
      <c r="W143" s="2">
        <v>0</v>
      </c>
    </row>
    <row r="144" spans="1:23" x14ac:dyDescent="0.25">
      <c r="A144" t="s">
        <v>31</v>
      </c>
      <c r="B144" t="s">
        <v>32</v>
      </c>
      <c r="C144" t="s">
        <v>33</v>
      </c>
      <c r="D144" t="s">
        <v>34</v>
      </c>
      <c r="E144" t="s">
        <v>35</v>
      </c>
      <c r="F144" t="s">
        <v>36</v>
      </c>
      <c r="G144">
        <v>1141685</v>
      </c>
      <c r="H144" t="s">
        <v>81</v>
      </c>
      <c r="I144" t="s">
        <v>97</v>
      </c>
      <c r="J144" t="s">
        <v>102</v>
      </c>
      <c r="K144" t="s">
        <v>117</v>
      </c>
      <c r="L144" s="1">
        <v>46143</v>
      </c>
      <c r="M144" s="1">
        <v>46173</v>
      </c>
      <c r="N144">
        <v>180</v>
      </c>
      <c r="O144" t="s">
        <v>58</v>
      </c>
      <c r="P144" t="s">
        <v>63</v>
      </c>
      <c r="Q144" t="s">
        <v>1674</v>
      </c>
      <c r="R144" t="s">
        <v>1682</v>
      </c>
      <c r="S144" t="s">
        <v>67</v>
      </c>
      <c r="T144" t="s">
        <v>1733</v>
      </c>
      <c r="U144" t="s">
        <v>1891</v>
      </c>
      <c r="V144">
        <v>7</v>
      </c>
      <c r="W144" s="2">
        <v>0</v>
      </c>
    </row>
    <row r="145" spans="1:23" x14ac:dyDescent="0.25">
      <c r="A145" t="s">
        <v>31</v>
      </c>
      <c r="B145" t="s">
        <v>32</v>
      </c>
      <c r="C145" t="s">
        <v>33</v>
      </c>
      <c r="D145" t="s">
        <v>34</v>
      </c>
      <c r="E145" t="s">
        <v>35</v>
      </c>
      <c r="F145" t="s">
        <v>36</v>
      </c>
      <c r="G145">
        <v>1141685</v>
      </c>
      <c r="H145" t="s">
        <v>84</v>
      </c>
      <c r="I145" t="s">
        <v>97</v>
      </c>
      <c r="J145" t="s">
        <v>104</v>
      </c>
      <c r="K145" t="s">
        <v>1671</v>
      </c>
      <c r="L145" s="1">
        <v>46143</v>
      </c>
      <c r="M145" s="1">
        <v>46173</v>
      </c>
      <c r="N145">
        <v>83.839128391700001</v>
      </c>
      <c r="O145" t="s">
        <v>57</v>
      </c>
      <c r="P145" t="s">
        <v>63</v>
      </c>
      <c r="Q145" t="s">
        <v>1674</v>
      </c>
      <c r="R145" t="s">
        <v>1682</v>
      </c>
      <c r="S145" t="s">
        <v>67</v>
      </c>
      <c r="T145" t="s">
        <v>1805</v>
      </c>
      <c r="U145" t="s">
        <v>1963</v>
      </c>
      <c r="V145">
        <v>7</v>
      </c>
      <c r="W145" s="2">
        <v>175518.8950221522</v>
      </c>
    </row>
    <row r="146" spans="1:23" x14ac:dyDescent="0.25">
      <c r="A146" t="s">
        <v>31</v>
      </c>
      <c r="B146" t="s">
        <v>32</v>
      </c>
      <c r="C146" t="s">
        <v>33</v>
      </c>
      <c r="D146" t="s">
        <v>34</v>
      </c>
      <c r="E146" t="s">
        <v>35</v>
      </c>
      <c r="F146" t="s">
        <v>36</v>
      </c>
      <c r="G146">
        <v>1141685</v>
      </c>
      <c r="H146" t="s">
        <v>82</v>
      </c>
      <c r="I146" t="s">
        <v>82</v>
      </c>
      <c r="J146" t="s">
        <v>82</v>
      </c>
      <c r="K146" t="s">
        <v>120</v>
      </c>
      <c r="L146" s="1">
        <v>46143</v>
      </c>
      <c r="M146" s="1">
        <v>46173</v>
      </c>
      <c r="N146">
        <v>1</v>
      </c>
      <c r="O146" t="s">
        <v>61</v>
      </c>
      <c r="P146" t="s">
        <v>63</v>
      </c>
      <c r="Q146" t="s">
        <v>1675</v>
      </c>
      <c r="R146" t="s">
        <v>148</v>
      </c>
      <c r="S146" t="s">
        <v>68</v>
      </c>
      <c r="T146" t="s">
        <v>1806</v>
      </c>
      <c r="U146" t="s">
        <v>1964</v>
      </c>
      <c r="V146">
        <v>7</v>
      </c>
      <c r="W146" s="2">
        <v>2691.9341720419998</v>
      </c>
    </row>
    <row r="147" spans="1:23" x14ac:dyDescent="0.25">
      <c r="A147" t="s">
        <v>31</v>
      </c>
      <c r="B147" t="s">
        <v>32</v>
      </c>
      <c r="C147" t="s">
        <v>33</v>
      </c>
      <c r="D147" t="s">
        <v>34</v>
      </c>
      <c r="E147" t="s">
        <v>35</v>
      </c>
      <c r="F147" t="s">
        <v>36</v>
      </c>
      <c r="G147">
        <v>1141685</v>
      </c>
      <c r="H147" t="s">
        <v>82</v>
      </c>
      <c r="I147" t="s">
        <v>82</v>
      </c>
      <c r="J147" t="s">
        <v>82</v>
      </c>
      <c r="K147" t="s">
        <v>120</v>
      </c>
      <c r="L147" s="1">
        <v>46143</v>
      </c>
      <c r="M147" s="1">
        <v>46173</v>
      </c>
      <c r="N147">
        <v>1</v>
      </c>
      <c r="O147" t="s">
        <v>61</v>
      </c>
      <c r="P147" t="s">
        <v>63</v>
      </c>
      <c r="Q147" t="s">
        <v>1675</v>
      </c>
      <c r="R147" t="s">
        <v>149</v>
      </c>
      <c r="S147" t="s">
        <v>68</v>
      </c>
      <c r="T147" t="s">
        <v>1807</v>
      </c>
      <c r="U147" t="s">
        <v>1965</v>
      </c>
      <c r="V147">
        <v>7</v>
      </c>
      <c r="W147" s="2">
        <v>2691.9341720419998</v>
      </c>
    </row>
    <row r="148" spans="1:23" x14ac:dyDescent="0.25">
      <c r="A148" t="s">
        <v>31</v>
      </c>
      <c r="B148" t="s">
        <v>32</v>
      </c>
      <c r="C148" t="s">
        <v>33</v>
      </c>
      <c r="D148" t="s">
        <v>34</v>
      </c>
      <c r="E148" t="s">
        <v>35</v>
      </c>
      <c r="F148" t="s">
        <v>36</v>
      </c>
      <c r="G148">
        <v>1141685</v>
      </c>
      <c r="H148" t="s">
        <v>86</v>
      </c>
      <c r="I148" t="s">
        <v>42</v>
      </c>
      <c r="J148" t="s">
        <v>86</v>
      </c>
      <c r="K148" t="s">
        <v>124</v>
      </c>
      <c r="L148" s="1">
        <v>46143</v>
      </c>
      <c r="M148" s="1">
        <v>46173</v>
      </c>
      <c r="N148">
        <v>0.81064700000000001</v>
      </c>
      <c r="O148" t="s">
        <v>135</v>
      </c>
      <c r="P148" t="s">
        <v>63</v>
      </c>
      <c r="Q148" t="s">
        <v>1673</v>
      </c>
      <c r="R148" t="s">
        <v>1696</v>
      </c>
      <c r="S148" t="s">
        <v>67</v>
      </c>
      <c r="T148" t="s">
        <v>1808</v>
      </c>
      <c r="U148" t="s">
        <v>1966</v>
      </c>
      <c r="V148">
        <v>17</v>
      </c>
      <c r="W148" s="2">
        <v>278749.60895337758</v>
      </c>
    </row>
    <row r="149" spans="1:23" x14ac:dyDescent="0.25">
      <c r="A149" t="s">
        <v>31</v>
      </c>
      <c r="B149" t="s">
        <v>32</v>
      </c>
      <c r="C149" t="s">
        <v>33</v>
      </c>
      <c r="D149" t="s">
        <v>34</v>
      </c>
      <c r="E149" t="s">
        <v>35</v>
      </c>
      <c r="F149" t="s">
        <v>36</v>
      </c>
      <c r="G149">
        <v>1141685</v>
      </c>
      <c r="H149" t="s">
        <v>38</v>
      </c>
      <c r="I149" t="s">
        <v>38</v>
      </c>
      <c r="J149" t="s">
        <v>38</v>
      </c>
      <c r="K149" t="s">
        <v>53</v>
      </c>
      <c r="L149" s="1">
        <v>46143</v>
      </c>
      <c r="M149" s="1">
        <v>46173</v>
      </c>
      <c r="N149">
        <v>1.7520521800000001E-2</v>
      </c>
      <c r="O149" t="s">
        <v>57</v>
      </c>
      <c r="P149" t="s">
        <v>63</v>
      </c>
      <c r="Q149" t="s">
        <v>1674</v>
      </c>
      <c r="R149" t="s">
        <v>1679</v>
      </c>
      <c r="S149" t="s">
        <v>66</v>
      </c>
      <c r="T149" t="s">
        <v>1809</v>
      </c>
      <c r="U149" t="s">
        <v>1967</v>
      </c>
      <c r="V149">
        <v>6</v>
      </c>
      <c r="W149" s="2">
        <v>42.915277786899999</v>
      </c>
    </row>
    <row r="150" spans="1:23" x14ac:dyDescent="0.25">
      <c r="A150" t="s">
        <v>31</v>
      </c>
      <c r="B150" t="s">
        <v>32</v>
      </c>
      <c r="C150" t="s">
        <v>33</v>
      </c>
      <c r="D150" t="s">
        <v>34</v>
      </c>
      <c r="E150" t="s">
        <v>35</v>
      </c>
      <c r="F150" t="s">
        <v>36</v>
      </c>
      <c r="G150">
        <v>1141685</v>
      </c>
      <c r="H150" t="s">
        <v>79</v>
      </c>
      <c r="I150" t="s">
        <v>94</v>
      </c>
      <c r="J150" t="s">
        <v>101</v>
      </c>
      <c r="K150" t="s">
        <v>116</v>
      </c>
      <c r="L150" s="1">
        <v>46143</v>
      </c>
      <c r="M150" s="1">
        <v>46173</v>
      </c>
      <c r="N150">
        <v>0.30549084209999999</v>
      </c>
      <c r="O150" t="s">
        <v>56</v>
      </c>
      <c r="P150" t="s">
        <v>63</v>
      </c>
      <c r="Q150" t="s">
        <v>1672</v>
      </c>
      <c r="R150" t="s">
        <v>1676</v>
      </c>
      <c r="S150" t="s">
        <v>67</v>
      </c>
      <c r="T150" t="s">
        <v>1810</v>
      </c>
      <c r="U150" t="s">
        <v>1968</v>
      </c>
      <c r="V150">
        <v>16</v>
      </c>
      <c r="W150" s="2">
        <v>426.36336346669998</v>
      </c>
    </row>
    <row r="151" spans="1:23" x14ac:dyDescent="0.25">
      <c r="A151" t="s">
        <v>31</v>
      </c>
      <c r="B151" t="s">
        <v>32</v>
      </c>
      <c r="C151" t="s">
        <v>33</v>
      </c>
      <c r="D151" t="s">
        <v>34</v>
      </c>
      <c r="E151" t="s">
        <v>35</v>
      </c>
      <c r="F151" t="s">
        <v>36</v>
      </c>
      <c r="G151">
        <v>1141685</v>
      </c>
      <c r="H151" t="s">
        <v>79</v>
      </c>
      <c r="I151" t="s">
        <v>94</v>
      </c>
      <c r="J151" t="s">
        <v>101</v>
      </c>
      <c r="K151" t="s">
        <v>116</v>
      </c>
      <c r="L151" s="1">
        <v>46143</v>
      </c>
      <c r="M151" s="1">
        <v>46173</v>
      </c>
      <c r="N151">
        <v>0.35856409</v>
      </c>
      <c r="O151" t="s">
        <v>56</v>
      </c>
      <c r="P151" t="s">
        <v>63</v>
      </c>
      <c r="Q151" t="s">
        <v>1672</v>
      </c>
      <c r="R151" t="s">
        <v>1678</v>
      </c>
      <c r="S151" t="s">
        <v>67</v>
      </c>
      <c r="T151" t="s">
        <v>1811</v>
      </c>
      <c r="U151" t="s">
        <v>1969</v>
      </c>
      <c r="V151">
        <v>15</v>
      </c>
      <c r="W151" s="2">
        <v>411.2397298409</v>
      </c>
    </row>
    <row r="152" spans="1:23" x14ac:dyDescent="0.25">
      <c r="A152" t="s">
        <v>31</v>
      </c>
      <c r="B152" t="s">
        <v>32</v>
      </c>
      <c r="C152" t="s">
        <v>33</v>
      </c>
      <c r="D152" t="s">
        <v>34</v>
      </c>
      <c r="E152" t="s">
        <v>35</v>
      </c>
      <c r="F152" t="s">
        <v>36</v>
      </c>
      <c r="G152">
        <v>1141685</v>
      </c>
      <c r="H152" t="s">
        <v>79</v>
      </c>
      <c r="I152" t="s">
        <v>94</v>
      </c>
      <c r="J152" t="s">
        <v>101</v>
      </c>
      <c r="K152" t="s">
        <v>116</v>
      </c>
      <c r="L152" s="1">
        <v>46143</v>
      </c>
      <c r="M152" s="1">
        <v>46173</v>
      </c>
      <c r="N152">
        <v>4.0379400000000002E-5</v>
      </c>
      <c r="O152" t="s">
        <v>56</v>
      </c>
      <c r="P152" t="s">
        <v>63</v>
      </c>
      <c r="Q152" t="s">
        <v>1672</v>
      </c>
      <c r="R152" t="s">
        <v>1678</v>
      </c>
      <c r="S152" t="s">
        <v>67</v>
      </c>
      <c r="T152" t="s">
        <v>1812</v>
      </c>
      <c r="U152" t="s">
        <v>1970</v>
      </c>
      <c r="V152">
        <v>16</v>
      </c>
      <c r="W152" s="2">
        <v>5.95938565E-2</v>
      </c>
    </row>
    <row r="153" spans="1:23" x14ac:dyDescent="0.25">
      <c r="A153" t="s">
        <v>31</v>
      </c>
      <c r="B153" t="s">
        <v>32</v>
      </c>
      <c r="C153" t="s">
        <v>33</v>
      </c>
      <c r="D153" t="s">
        <v>34</v>
      </c>
      <c r="E153" t="s">
        <v>35</v>
      </c>
      <c r="F153" t="s">
        <v>36</v>
      </c>
      <c r="G153">
        <v>1141685</v>
      </c>
      <c r="H153" t="s">
        <v>79</v>
      </c>
      <c r="I153" t="s">
        <v>94</v>
      </c>
      <c r="J153" t="s">
        <v>101</v>
      </c>
      <c r="K153" t="s">
        <v>116</v>
      </c>
      <c r="L153" s="1">
        <v>46143</v>
      </c>
      <c r="M153" s="1">
        <v>46173</v>
      </c>
      <c r="N153">
        <v>7.7191699999999995E-5</v>
      </c>
      <c r="O153" t="s">
        <v>56</v>
      </c>
      <c r="P153" t="s">
        <v>63</v>
      </c>
      <c r="Q153" t="s">
        <v>1672</v>
      </c>
      <c r="R153" t="s">
        <v>1678</v>
      </c>
      <c r="S153" t="s">
        <v>67</v>
      </c>
      <c r="T153" t="s">
        <v>1813</v>
      </c>
      <c r="U153" t="s">
        <v>1971</v>
      </c>
      <c r="V153">
        <v>16</v>
      </c>
      <c r="W153" s="2">
        <v>0.1048067717</v>
      </c>
    </row>
    <row r="154" spans="1:23" x14ac:dyDescent="0.25">
      <c r="A154" t="s">
        <v>31</v>
      </c>
      <c r="B154" t="s">
        <v>32</v>
      </c>
      <c r="C154" t="s">
        <v>33</v>
      </c>
      <c r="D154" t="s">
        <v>34</v>
      </c>
      <c r="E154" t="s">
        <v>35</v>
      </c>
      <c r="F154" t="s">
        <v>36</v>
      </c>
      <c r="G154">
        <v>1141685</v>
      </c>
      <c r="H154" t="s">
        <v>80</v>
      </c>
      <c r="I154" t="s">
        <v>96</v>
      </c>
      <c r="J154" t="s">
        <v>80</v>
      </c>
      <c r="K154" t="s">
        <v>122</v>
      </c>
      <c r="L154" s="1">
        <v>46143</v>
      </c>
      <c r="M154" s="1">
        <v>46173</v>
      </c>
      <c r="N154">
        <v>0.42527635860000002</v>
      </c>
      <c r="O154" t="s">
        <v>56</v>
      </c>
      <c r="P154" t="s">
        <v>63</v>
      </c>
      <c r="Q154" t="s">
        <v>1672</v>
      </c>
      <c r="R154" t="s">
        <v>1676</v>
      </c>
      <c r="S154" t="s">
        <v>67</v>
      </c>
      <c r="T154" t="s">
        <v>1814</v>
      </c>
      <c r="U154" t="s">
        <v>1972</v>
      </c>
      <c r="V154">
        <v>16</v>
      </c>
      <c r="W154" s="2">
        <v>74.190467898800009</v>
      </c>
    </row>
    <row r="155" spans="1:23" x14ac:dyDescent="0.25">
      <c r="A155" t="s">
        <v>31</v>
      </c>
      <c r="B155" t="s">
        <v>32</v>
      </c>
      <c r="C155" t="s">
        <v>33</v>
      </c>
      <c r="D155" t="s">
        <v>34</v>
      </c>
      <c r="E155" t="s">
        <v>35</v>
      </c>
      <c r="F155" t="s">
        <v>36</v>
      </c>
      <c r="G155">
        <v>1141685</v>
      </c>
      <c r="H155" t="s">
        <v>80</v>
      </c>
      <c r="I155" t="s">
        <v>96</v>
      </c>
      <c r="J155" t="s">
        <v>80</v>
      </c>
      <c r="K155" t="s">
        <v>122</v>
      </c>
      <c r="L155" s="1">
        <v>46143</v>
      </c>
      <c r="M155" s="1">
        <v>46173</v>
      </c>
      <c r="N155">
        <v>0.30095706970000002</v>
      </c>
      <c r="O155" t="s">
        <v>56</v>
      </c>
      <c r="P155" t="s">
        <v>63</v>
      </c>
      <c r="Q155" t="s">
        <v>1672</v>
      </c>
      <c r="R155" t="s">
        <v>1678</v>
      </c>
      <c r="S155" t="s">
        <v>67</v>
      </c>
      <c r="T155" t="s">
        <v>1815</v>
      </c>
      <c r="U155" t="s">
        <v>1973</v>
      </c>
      <c r="V155">
        <v>15</v>
      </c>
      <c r="W155" s="2">
        <v>52.504373938400001</v>
      </c>
    </row>
    <row r="156" spans="1:23" x14ac:dyDescent="0.25">
      <c r="A156" t="s">
        <v>31</v>
      </c>
      <c r="B156" t="s">
        <v>32</v>
      </c>
      <c r="C156" t="s">
        <v>33</v>
      </c>
      <c r="D156" t="s">
        <v>34</v>
      </c>
      <c r="E156" t="s">
        <v>35</v>
      </c>
      <c r="F156" t="s">
        <v>36</v>
      </c>
      <c r="G156">
        <v>1141685</v>
      </c>
      <c r="H156" t="s">
        <v>76</v>
      </c>
      <c r="I156" t="s">
        <v>95</v>
      </c>
      <c r="J156" t="s">
        <v>99</v>
      </c>
      <c r="K156" t="s">
        <v>109</v>
      </c>
      <c r="L156" s="1">
        <v>46143</v>
      </c>
      <c r="M156" s="1">
        <v>46173</v>
      </c>
      <c r="N156">
        <v>76</v>
      </c>
      <c r="O156" t="s">
        <v>58</v>
      </c>
      <c r="P156" t="s">
        <v>63</v>
      </c>
      <c r="Q156" t="s">
        <v>1673</v>
      </c>
      <c r="R156" t="s">
        <v>1677</v>
      </c>
      <c r="S156" t="s">
        <v>67</v>
      </c>
      <c r="T156" t="s">
        <v>1707</v>
      </c>
      <c r="U156" t="s">
        <v>1865</v>
      </c>
      <c r="V156">
        <v>17</v>
      </c>
      <c r="W156" s="2">
        <v>0</v>
      </c>
    </row>
    <row r="157" spans="1:23" x14ac:dyDescent="0.25">
      <c r="A157" t="s">
        <v>31</v>
      </c>
      <c r="B157" t="s">
        <v>32</v>
      </c>
      <c r="C157" t="s">
        <v>33</v>
      </c>
      <c r="D157" t="s">
        <v>34</v>
      </c>
      <c r="E157" t="s">
        <v>35</v>
      </c>
      <c r="F157" t="s">
        <v>36</v>
      </c>
      <c r="G157">
        <v>1141685</v>
      </c>
      <c r="H157" t="s">
        <v>76</v>
      </c>
      <c r="I157" t="s">
        <v>95</v>
      </c>
      <c r="J157" t="s">
        <v>99</v>
      </c>
      <c r="K157" t="s">
        <v>109</v>
      </c>
      <c r="L157" s="1">
        <v>46143</v>
      </c>
      <c r="M157" s="1">
        <v>46173</v>
      </c>
      <c r="N157">
        <v>0.20000299999999999</v>
      </c>
      <c r="O157" t="s">
        <v>58</v>
      </c>
      <c r="P157" t="s">
        <v>63</v>
      </c>
      <c r="Q157" t="s">
        <v>1673</v>
      </c>
      <c r="R157" t="s">
        <v>1678</v>
      </c>
      <c r="S157" t="s">
        <v>67</v>
      </c>
      <c r="T157" t="s">
        <v>1716</v>
      </c>
      <c r="U157" t="s">
        <v>1874</v>
      </c>
      <c r="V157">
        <v>16</v>
      </c>
      <c r="W157" s="2">
        <v>0</v>
      </c>
    </row>
    <row r="158" spans="1:23" x14ac:dyDescent="0.25">
      <c r="A158" t="s">
        <v>31</v>
      </c>
      <c r="B158" t="s">
        <v>32</v>
      </c>
      <c r="C158" t="s">
        <v>33</v>
      </c>
      <c r="D158" t="s">
        <v>34</v>
      </c>
      <c r="E158" t="s">
        <v>35</v>
      </c>
      <c r="F158" t="s">
        <v>36</v>
      </c>
      <c r="G158">
        <v>1141685</v>
      </c>
      <c r="H158" t="s">
        <v>76</v>
      </c>
      <c r="I158" t="s">
        <v>95</v>
      </c>
      <c r="J158" t="s">
        <v>99</v>
      </c>
      <c r="K158" t="s">
        <v>109</v>
      </c>
      <c r="L158" s="1">
        <v>46143</v>
      </c>
      <c r="M158" s="1">
        <v>46173</v>
      </c>
      <c r="N158">
        <v>0.20000299999999999</v>
      </c>
      <c r="O158" t="s">
        <v>58</v>
      </c>
      <c r="P158" t="s">
        <v>63</v>
      </c>
      <c r="Q158" t="s">
        <v>1673</v>
      </c>
      <c r="R158" t="s">
        <v>1678</v>
      </c>
      <c r="S158" t="s">
        <v>67</v>
      </c>
      <c r="T158" t="s">
        <v>1716</v>
      </c>
      <c r="U158" t="s">
        <v>1874</v>
      </c>
      <c r="V158">
        <v>16</v>
      </c>
      <c r="W158" s="2">
        <v>0</v>
      </c>
    </row>
    <row r="159" spans="1:23" x14ac:dyDescent="0.25">
      <c r="A159" t="s">
        <v>31</v>
      </c>
      <c r="B159" t="s">
        <v>32</v>
      </c>
      <c r="C159" t="s">
        <v>33</v>
      </c>
      <c r="D159" t="s">
        <v>34</v>
      </c>
      <c r="E159" t="s">
        <v>35</v>
      </c>
      <c r="F159" t="s">
        <v>36</v>
      </c>
      <c r="G159">
        <v>1141685</v>
      </c>
      <c r="H159" t="s">
        <v>80</v>
      </c>
      <c r="I159" t="s">
        <v>96</v>
      </c>
      <c r="J159" t="s">
        <v>80</v>
      </c>
      <c r="K159" t="s">
        <v>122</v>
      </c>
      <c r="L159" s="1">
        <v>46143</v>
      </c>
      <c r="M159" s="1">
        <v>46173</v>
      </c>
      <c r="N159">
        <v>1.3346670250999999</v>
      </c>
      <c r="O159" t="s">
        <v>56</v>
      </c>
      <c r="P159" t="s">
        <v>63</v>
      </c>
      <c r="Q159" t="s">
        <v>1672</v>
      </c>
      <c r="R159" t="s">
        <v>1678</v>
      </c>
      <c r="S159" t="s">
        <v>67</v>
      </c>
      <c r="T159" t="s">
        <v>1816</v>
      </c>
      <c r="U159" t="s">
        <v>1974</v>
      </c>
      <c r="V159">
        <v>16</v>
      </c>
      <c r="W159" s="2">
        <v>232.84448809759999</v>
      </c>
    </row>
    <row r="160" spans="1:23" x14ac:dyDescent="0.25">
      <c r="A160" t="s">
        <v>31</v>
      </c>
      <c r="B160" t="s">
        <v>32</v>
      </c>
      <c r="C160" t="s">
        <v>33</v>
      </c>
      <c r="D160" t="s">
        <v>34</v>
      </c>
      <c r="E160" t="s">
        <v>35</v>
      </c>
      <c r="F160" t="s">
        <v>36</v>
      </c>
      <c r="G160">
        <v>1141685</v>
      </c>
      <c r="H160" t="s">
        <v>77</v>
      </c>
      <c r="I160" t="s">
        <v>96</v>
      </c>
      <c r="J160" t="s">
        <v>77</v>
      </c>
      <c r="K160" t="s">
        <v>113</v>
      </c>
      <c r="L160" s="1">
        <v>46143</v>
      </c>
      <c r="M160" s="1">
        <v>46173</v>
      </c>
      <c r="N160">
        <v>5.3287388933999997</v>
      </c>
      <c r="O160" t="s">
        <v>56</v>
      </c>
      <c r="P160" t="s">
        <v>63</v>
      </c>
      <c r="Q160" t="s">
        <v>1672</v>
      </c>
      <c r="R160" t="s">
        <v>1676</v>
      </c>
      <c r="S160" t="s">
        <v>67</v>
      </c>
      <c r="T160" t="s">
        <v>1817</v>
      </c>
      <c r="U160" t="s">
        <v>1975</v>
      </c>
      <c r="V160">
        <v>15</v>
      </c>
      <c r="W160" s="2">
        <v>929.65357285820005</v>
      </c>
    </row>
    <row r="161" spans="1:23" x14ac:dyDescent="0.25">
      <c r="A161" t="s">
        <v>31</v>
      </c>
      <c r="B161" t="s">
        <v>32</v>
      </c>
      <c r="C161" t="s">
        <v>33</v>
      </c>
      <c r="D161" t="s">
        <v>34</v>
      </c>
      <c r="E161" t="s">
        <v>35</v>
      </c>
      <c r="F161" t="s">
        <v>36</v>
      </c>
      <c r="G161">
        <v>1141685</v>
      </c>
      <c r="H161" t="s">
        <v>77</v>
      </c>
      <c r="I161" t="s">
        <v>96</v>
      </c>
      <c r="J161" t="s">
        <v>77</v>
      </c>
      <c r="K161" t="s">
        <v>111</v>
      </c>
      <c r="L161" s="1">
        <v>46143</v>
      </c>
      <c r="M161" s="1">
        <v>46173</v>
      </c>
      <c r="N161">
        <v>1.006E-7</v>
      </c>
      <c r="O161" t="s">
        <v>56</v>
      </c>
      <c r="P161" t="s">
        <v>63</v>
      </c>
      <c r="Q161" t="s">
        <v>1672</v>
      </c>
      <c r="R161" t="s">
        <v>1678</v>
      </c>
      <c r="S161" t="s">
        <v>67</v>
      </c>
      <c r="T161" t="s">
        <v>1789</v>
      </c>
      <c r="U161" t="s">
        <v>1947</v>
      </c>
      <c r="V161">
        <v>16</v>
      </c>
      <c r="W161" s="2">
        <v>1.5441899999999999E-5</v>
      </c>
    </row>
    <row r="162" spans="1:23" x14ac:dyDescent="0.25">
      <c r="A162" t="s">
        <v>31</v>
      </c>
      <c r="B162" t="s">
        <v>32</v>
      </c>
      <c r="C162" t="s">
        <v>33</v>
      </c>
      <c r="D162" t="s">
        <v>34</v>
      </c>
      <c r="E162" t="s">
        <v>35</v>
      </c>
      <c r="F162" t="s">
        <v>36</v>
      </c>
      <c r="G162">
        <v>1141685</v>
      </c>
      <c r="H162" t="s">
        <v>77</v>
      </c>
      <c r="I162" t="s">
        <v>96</v>
      </c>
      <c r="J162" t="s">
        <v>77</v>
      </c>
      <c r="K162" t="s">
        <v>111</v>
      </c>
      <c r="L162" s="1">
        <v>46143</v>
      </c>
      <c r="M162" s="1">
        <v>46173</v>
      </c>
      <c r="N162">
        <v>20.374506309600001</v>
      </c>
      <c r="O162" t="s">
        <v>56</v>
      </c>
      <c r="P162" t="s">
        <v>63</v>
      </c>
      <c r="Q162" t="s">
        <v>1672</v>
      </c>
      <c r="R162" t="s">
        <v>1676</v>
      </c>
      <c r="S162" t="s">
        <v>67</v>
      </c>
      <c r="T162" t="s">
        <v>1818</v>
      </c>
      <c r="U162" t="s">
        <v>1976</v>
      </c>
      <c r="V162">
        <v>16</v>
      </c>
      <c r="W162" s="2">
        <v>3554.5320062823998</v>
      </c>
    </row>
    <row r="163" spans="1:23" x14ac:dyDescent="0.25">
      <c r="A163" t="s">
        <v>31</v>
      </c>
      <c r="B163" t="s">
        <v>32</v>
      </c>
      <c r="C163" t="s">
        <v>33</v>
      </c>
      <c r="D163" t="s">
        <v>34</v>
      </c>
      <c r="E163" t="s">
        <v>35</v>
      </c>
      <c r="F163" t="s">
        <v>36</v>
      </c>
      <c r="G163">
        <v>1141685</v>
      </c>
      <c r="H163" t="s">
        <v>76</v>
      </c>
      <c r="I163" t="s">
        <v>95</v>
      </c>
      <c r="J163" t="s">
        <v>99</v>
      </c>
      <c r="K163" t="s">
        <v>109</v>
      </c>
      <c r="L163" s="1">
        <v>46143</v>
      </c>
      <c r="M163" s="1">
        <v>46173</v>
      </c>
      <c r="N163">
        <v>2.950059</v>
      </c>
      <c r="O163" t="s">
        <v>58</v>
      </c>
      <c r="P163" t="s">
        <v>63</v>
      </c>
      <c r="Q163" t="s">
        <v>1673</v>
      </c>
      <c r="R163" t="s">
        <v>1678</v>
      </c>
      <c r="S163" t="s">
        <v>67</v>
      </c>
      <c r="T163" t="s">
        <v>1716</v>
      </c>
      <c r="U163" t="s">
        <v>1874</v>
      </c>
      <c r="V163">
        <v>16</v>
      </c>
      <c r="W163" s="2">
        <v>0</v>
      </c>
    </row>
    <row r="164" spans="1:23" x14ac:dyDescent="0.25">
      <c r="A164" t="s">
        <v>31</v>
      </c>
      <c r="B164" t="s">
        <v>32</v>
      </c>
      <c r="C164" t="s">
        <v>33</v>
      </c>
      <c r="D164" t="s">
        <v>34</v>
      </c>
      <c r="E164" t="s">
        <v>35</v>
      </c>
      <c r="F164" t="s">
        <v>36</v>
      </c>
      <c r="G164">
        <v>1141685</v>
      </c>
      <c r="H164" t="s">
        <v>77</v>
      </c>
      <c r="I164" t="s">
        <v>96</v>
      </c>
      <c r="J164" t="s">
        <v>77</v>
      </c>
      <c r="K164" t="s">
        <v>111</v>
      </c>
      <c r="L164" s="1">
        <v>46143</v>
      </c>
      <c r="M164" s="1">
        <v>46173</v>
      </c>
      <c r="N164">
        <v>65.011723605</v>
      </c>
      <c r="O164" t="s">
        <v>56</v>
      </c>
      <c r="P164" t="s">
        <v>63</v>
      </c>
      <c r="Q164" t="s">
        <v>1672</v>
      </c>
      <c r="R164" t="s">
        <v>1678</v>
      </c>
      <c r="S164" t="s">
        <v>67</v>
      </c>
      <c r="T164" t="s">
        <v>1819</v>
      </c>
      <c r="U164" t="s">
        <v>1977</v>
      </c>
      <c r="V164">
        <v>16</v>
      </c>
      <c r="W164" s="2">
        <v>11341.9418641105</v>
      </c>
    </row>
    <row r="165" spans="1:23" x14ac:dyDescent="0.25">
      <c r="A165" t="s">
        <v>31</v>
      </c>
      <c r="B165" t="s">
        <v>32</v>
      </c>
      <c r="C165" t="s">
        <v>33</v>
      </c>
      <c r="D165" t="s">
        <v>34</v>
      </c>
      <c r="E165" t="s">
        <v>35</v>
      </c>
      <c r="F165" t="s">
        <v>36</v>
      </c>
      <c r="G165">
        <v>1141685</v>
      </c>
      <c r="H165" t="s">
        <v>77</v>
      </c>
      <c r="I165" t="s">
        <v>96</v>
      </c>
      <c r="J165" t="s">
        <v>77</v>
      </c>
      <c r="K165" t="s">
        <v>111</v>
      </c>
      <c r="L165" s="1">
        <v>46143</v>
      </c>
      <c r="M165" s="1">
        <v>46173</v>
      </c>
      <c r="N165">
        <v>9.0747999999999999E-6</v>
      </c>
      <c r="O165" t="s">
        <v>56</v>
      </c>
      <c r="P165" t="s">
        <v>63</v>
      </c>
      <c r="Q165" t="s">
        <v>1675</v>
      </c>
      <c r="R165" t="s">
        <v>1681</v>
      </c>
      <c r="S165" t="s">
        <v>67</v>
      </c>
      <c r="T165" t="s">
        <v>1820</v>
      </c>
      <c r="U165" t="s">
        <v>1978</v>
      </c>
      <c r="V165">
        <v>7</v>
      </c>
      <c r="W165" s="2">
        <v>1.3932078999999999E-3</v>
      </c>
    </row>
    <row r="166" spans="1:23" x14ac:dyDescent="0.25">
      <c r="A166" t="s">
        <v>31</v>
      </c>
      <c r="B166" t="s">
        <v>32</v>
      </c>
      <c r="C166" t="s">
        <v>33</v>
      </c>
      <c r="D166" t="s">
        <v>34</v>
      </c>
      <c r="E166" t="s">
        <v>35</v>
      </c>
      <c r="F166" t="s">
        <v>36</v>
      </c>
      <c r="G166">
        <v>1141685</v>
      </c>
      <c r="H166" t="s">
        <v>80</v>
      </c>
      <c r="I166" t="s">
        <v>96</v>
      </c>
      <c r="J166" t="s">
        <v>80</v>
      </c>
      <c r="K166" t="s">
        <v>122</v>
      </c>
      <c r="L166" s="1">
        <v>46143</v>
      </c>
      <c r="M166" s="1">
        <v>46173</v>
      </c>
      <c r="N166">
        <v>0.1369555173</v>
      </c>
      <c r="O166" t="s">
        <v>56</v>
      </c>
      <c r="P166" t="s">
        <v>63</v>
      </c>
      <c r="Q166" t="s">
        <v>1672</v>
      </c>
      <c r="R166" t="s">
        <v>1676</v>
      </c>
      <c r="S166" t="s">
        <v>67</v>
      </c>
      <c r="T166" t="s">
        <v>1821</v>
      </c>
      <c r="U166" t="s">
        <v>1979</v>
      </c>
      <c r="V166">
        <v>16</v>
      </c>
      <c r="W166" s="2">
        <v>23.896068407600001</v>
      </c>
    </row>
    <row r="167" spans="1:23" x14ac:dyDescent="0.25">
      <c r="A167" t="s">
        <v>31</v>
      </c>
      <c r="B167" t="s">
        <v>32</v>
      </c>
      <c r="C167" t="s">
        <v>33</v>
      </c>
      <c r="D167" t="s">
        <v>34</v>
      </c>
      <c r="E167" t="s">
        <v>35</v>
      </c>
      <c r="F167" t="s">
        <v>36</v>
      </c>
      <c r="G167">
        <v>1141685</v>
      </c>
      <c r="H167" t="s">
        <v>80</v>
      </c>
      <c r="I167" t="s">
        <v>96</v>
      </c>
      <c r="J167" t="s">
        <v>80</v>
      </c>
      <c r="K167" t="s">
        <v>122</v>
      </c>
      <c r="L167" s="1">
        <v>46143</v>
      </c>
      <c r="M167" s="1">
        <v>46173</v>
      </c>
      <c r="N167">
        <v>1.6152444807999999</v>
      </c>
      <c r="O167" t="s">
        <v>56</v>
      </c>
      <c r="P167" t="s">
        <v>63</v>
      </c>
      <c r="Q167" t="s">
        <v>1672</v>
      </c>
      <c r="R167" t="s">
        <v>1678</v>
      </c>
      <c r="S167" t="s">
        <v>67</v>
      </c>
      <c r="T167" t="s">
        <v>1822</v>
      </c>
      <c r="U167" t="s">
        <v>1980</v>
      </c>
      <c r="V167">
        <v>16</v>
      </c>
      <c r="W167" s="2">
        <v>281.80008586090003</v>
      </c>
    </row>
    <row r="168" spans="1:23" x14ac:dyDescent="0.25">
      <c r="A168" t="s">
        <v>31</v>
      </c>
      <c r="B168" t="s">
        <v>32</v>
      </c>
      <c r="C168" t="s">
        <v>33</v>
      </c>
      <c r="D168" t="s">
        <v>34</v>
      </c>
      <c r="E168" t="s">
        <v>35</v>
      </c>
      <c r="F168" t="s">
        <v>36</v>
      </c>
      <c r="G168">
        <v>1141685</v>
      </c>
      <c r="H168" t="s">
        <v>80</v>
      </c>
      <c r="I168" t="s">
        <v>96</v>
      </c>
      <c r="J168" t="s">
        <v>80</v>
      </c>
      <c r="K168" t="s">
        <v>122</v>
      </c>
      <c r="L168" s="1">
        <v>46143</v>
      </c>
      <c r="M168" s="1">
        <v>46173</v>
      </c>
      <c r="N168">
        <v>7.9840399999999995E-5</v>
      </c>
      <c r="O168" t="s">
        <v>56</v>
      </c>
      <c r="P168" t="s">
        <v>63</v>
      </c>
      <c r="Q168" t="s">
        <v>1672</v>
      </c>
      <c r="R168" t="s">
        <v>1678</v>
      </c>
      <c r="S168" t="s">
        <v>67</v>
      </c>
      <c r="T168" t="s">
        <v>1823</v>
      </c>
      <c r="U168" t="s">
        <v>1981</v>
      </c>
      <c r="V168">
        <v>16</v>
      </c>
      <c r="W168" s="2">
        <v>1.22574847E-2</v>
      </c>
    </row>
    <row r="169" spans="1:23" x14ac:dyDescent="0.25">
      <c r="A169" t="s">
        <v>31</v>
      </c>
      <c r="B169" t="s">
        <v>32</v>
      </c>
      <c r="C169" t="s">
        <v>33</v>
      </c>
      <c r="D169" t="s">
        <v>34</v>
      </c>
      <c r="E169" t="s">
        <v>35</v>
      </c>
      <c r="F169" t="s">
        <v>36</v>
      </c>
      <c r="G169">
        <v>1141685</v>
      </c>
      <c r="H169" t="s">
        <v>79</v>
      </c>
      <c r="I169" t="s">
        <v>94</v>
      </c>
      <c r="J169" t="s">
        <v>101</v>
      </c>
      <c r="K169" t="s">
        <v>116</v>
      </c>
      <c r="L169" s="1">
        <v>46143</v>
      </c>
      <c r="M169" s="1">
        <v>46173</v>
      </c>
      <c r="N169">
        <v>3.2340199999999999E-5</v>
      </c>
      <c r="O169" t="s">
        <v>56</v>
      </c>
      <c r="P169" t="s">
        <v>63</v>
      </c>
      <c r="Q169" t="s">
        <v>1672</v>
      </c>
      <c r="R169" t="s">
        <v>1676</v>
      </c>
      <c r="S169" t="s">
        <v>67</v>
      </c>
      <c r="T169" t="s">
        <v>1824</v>
      </c>
      <c r="U169" t="s">
        <v>1982</v>
      </c>
      <c r="V169">
        <v>15</v>
      </c>
      <c r="W169" s="2">
        <v>4.97201528E-2</v>
      </c>
    </row>
    <row r="170" spans="1:23" x14ac:dyDescent="0.25">
      <c r="A170" t="s">
        <v>31</v>
      </c>
      <c r="B170" t="s">
        <v>32</v>
      </c>
      <c r="C170" t="s">
        <v>33</v>
      </c>
      <c r="D170" t="s">
        <v>34</v>
      </c>
      <c r="E170" t="s">
        <v>35</v>
      </c>
      <c r="F170" t="s">
        <v>36</v>
      </c>
      <c r="G170">
        <v>1141685</v>
      </c>
      <c r="H170" t="s">
        <v>79</v>
      </c>
      <c r="I170" t="s">
        <v>94</v>
      </c>
      <c r="J170" t="s">
        <v>101</v>
      </c>
      <c r="K170" t="s">
        <v>116</v>
      </c>
      <c r="L170" s="1">
        <v>46143</v>
      </c>
      <c r="M170" s="1">
        <v>46173</v>
      </c>
      <c r="N170">
        <v>0.33241278210000003</v>
      </c>
      <c r="O170" t="s">
        <v>56</v>
      </c>
      <c r="P170" t="s">
        <v>63</v>
      </c>
      <c r="Q170" t="s">
        <v>1672</v>
      </c>
      <c r="R170" t="s">
        <v>1678</v>
      </c>
      <c r="S170" t="s">
        <v>67</v>
      </c>
      <c r="T170" t="s">
        <v>1825</v>
      </c>
      <c r="U170" t="s">
        <v>1983</v>
      </c>
      <c r="V170">
        <v>15</v>
      </c>
      <c r="W170" s="2">
        <v>379.92307506380001</v>
      </c>
    </row>
    <row r="171" spans="1:23" x14ac:dyDescent="0.25">
      <c r="A171" t="s">
        <v>31</v>
      </c>
      <c r="B171" t="s">
        <v>32</v>
      </c>
      <c r="C171" t="s">
        <v>33</v>
      </c>
      <c r="D171" t="s">
        <v>34</v>
      </c>
      <c r="E171" t="s">
        <v>35</v>
      </c>
      <c r="F171" t="s">
        <v>36</v>
      </c>
      <c r="G171">
        <v>1141685</v>
      </c>
      <c r="H171" t="s">
        <v>79</v>
      </c>
      <c r="I171" t="s">
        <v>94</v>
      </c>
      <c r="J171" t="s">
        <v>101</v>
      </c>
      <c r="K171" t="s">
        <v>114</v>
      </c>
      <c r="L171" s="1">
        <v>46143</v>
      </c>
      <c r="M171" s="1">
        <v>46173</v>
      </c>
      <c r="N171">
        <v>1.6759999999999999E-7</v>
      </c>
      <c r="O171" t="s">
        <v>56</v>
      </c>
      <c r="P171" t="s">
        <v>63</v>
      </c>
      <c r="Q171" t="s">
        <v>1672</v>
      </c>
      <c r="R171" t="s">
        <v>1678</v>
      </c>
      <c r="S171" t="s">
        <v>67</v>
      </c>
      <c r="T171" t="s">
        <v>1763</v>
      </c>
      <c r="U171" t="s">
        <v>1921</v>
      </c>
      <c r="V171">
        <v>16</v>
      </c>
      <c r="W171" s="2">
        <v>2.0589269999999999E-4</v>
      </c>
    </row>
    <row r="172" spans="1:23" x14ac:dyDescent="0.25">
      <c r="A172" t="s">
        <v>31</v>
      </c>
      <c r="B172" t="s">
        <v>32</v>
      </c>
      <c r="C172" t="s">
        <v>33</v>
      </c>
      <c r="D172" t="s">
        <v>34</v>
      </c>
      <c r="E172" t="s">
        <v>35</v>
      </c>
      <c r="F172" t="s">
        <v>36</v>
      </c>
      <c r="G172">
        <v>1141685</v>
      </c>
      <c r="H172" t="s">
        <v>79</v>
      </c>
      <c r="I172" t="s">
        <v>94</v>
      </c>
      <c r="J172" t="s">
        <v>101</v>
      </c>
      <c r="K172" t="s">
        <v>114</v>
      </c>
      <c r="L172" s="1">
        <v>46143</v>
      </c>
      <c r="M172" s="1">
        <v>46173</v>
      </c>
      <c r="N172">
        <v>4.6186239999999998E-4</v>
      </c>
      <c r="O172" t="s">
        <v>56</v>
      </c>
      <c r="P172" t="s">
        <v>63</v>
      </c>
      <c r="Q172" t="s">
        <v>1672</v>
      </c>
      <c r="R172" t="s">
        <v>1678</v>
      </c>
      <c r="S172" t="s">
        <v>67</v>
      </c>
      <c r="T172" t="s">
        <v>1826</v>
      </c>
      <c r="U172" t="s">
        <v>1984</v>
      </c>
      <c r="V172">
        <v>15</v>
      </c>
      <c r="W172" s="2">
        <v>0.6472586883</v>
      </c>
    </row>
    <row r="173" spans="1:23" x14ac:dyDescent="0.25">
      <c r="A173" t="s">
        <v>31</v>
      </c>
      <c r="B173" t="s">
        <v>32</v>
      </c>
      <c r="C173" t="s">
        <v>33</v>
      </c>
      <c r="D173" t="s">
        <v>34</v>
      </c>
      <c r="E173" t="s">
        <v>35</v>
      </c>
      <c r="F173" t="s">
        <v>36</v>
      </c>
      <c r="G173">
        <v>1141685</v>
      </c>
      <c r="H173" t="s">
        <v>75</v>
      </c>
      <c r="I173" t="s">
        <v>94</v>
      </c>
      <c r="J173" t="s">
        <v>98</v>
      </c>
      <c r="K173" t="s">
        <v>108</v>
      </c>
      <c r="L173" s="1">
        <v>46143</v>
      </c>
      <c r="M173" s="1">
        <v>46173</v>
      </c>
      <c r="N173">
        <v>1.1291355E-3</v>
      </c>
      <c r="O173" t="s">
        <v>56</v>
      </c>
      <c r="P173" t="s">
        <v>63</v>
      </c>
      <c r="Q173" t="s">
        <v>1672</v>
      </c>
      <c r="R173" t="s">
        <v>1678</v>
      </c>
      <c r="S173" t="s">
        <v>67</v>
      </c>
      <c r="T173" t="s">
        <v>1827</v>
      </c>
      <c r="U173" t="s">
        <v>1985</v>
      </c>
      <c r="V173">
        <v>16</v>
      </c>
      <c r="W173" s="2">
        <v>2.3602036021999999</v>
      </c>
    </row>
    <row r="174" spans="1:23" x14ac:dyDescent="0.25">
      <c r="A174" t="s">
        <v>31</v>
      </c>
      <c r="B174" t="s">
        <v>32</v>
      </c>
      <c r="C174" t="s">
        <v>33</v>
      </c>
      <c r="D174" t="s">
        <v>34</v>
      </c>
      <c r="E174" t="s">
        <v>35</v>
      </c>
      <c r="F174" t="s">
        <v>36</v>
      </c>
      <c r="G174">
        <v>1141685</v>
      </c>
      <c r="H174" t="s">
        <v>75</v>
      </c>
      <c r="I174" t="s">
        <v>94</v>
      </c>
      <c r="J174" t="s">
        <v>98</v>
      </c>
      <c r="K174" t="s">
        <v>108</v>
      </c>
      <c r="L174" s="1">
        <v>46143</v>
      </c>
      <c r="M174" s="1">
        <v>46173</v>
      </c>
      <c r="N174">
        <v>9.12678512E-2</v>
      </c>
      <c r="O174" t="s">
        <v>56</v>
      </c>
      <c r="P174" t="s">
        <v>63</v>
      </c>
      <c r="Q174" t="s">
        <v>1672</v>
      </c>
      <c r="R174" t="s">
        <v>1678</v>
      </c>
      <c r="S174" t="s">
        <v>67</v>
      </c>
      <c r="T174" t="s">
        <v>1828</v>
      </c>
      <c r="U174" t="s">
        <v>1986</v>
      </c>
      <c r="V174">
        <v>15</v>
      </c>
      <c r="W174" s="2">
        <v>180.52909710270001</v>
      </c>
    </row>
    <row r="175" spans="1:23" x14ac:dyDescent="0.25">
      <c r="A175" t="s">
        <v>31</v>
      </c>
      <c r="B175" t="s">
        <v>32</v>
      </c>
      <c r="C175" t="s">
        <v>33</v>
      </c>
      <c r="D175" t="s">
        <v>34</v>
      </c>
      <c r="E175" t="s">
        <v>35</v>
      </c>
      <c r="F175" t="s">
        <v>36</v>
      </c>
      <c r="G175">
        <v>1141685</v>
      </c>
      <c r="H175" t="s">
        <v>75</v>
      </c>
      <c r="I175" t="s">
        <v>94</v>
      </c>
      <c r="J175" t="s">
        <v>98</v>
      </c>
      <c r="K175" t="s">
        <v>108</v>
      </c>
      <c r="L175" s="1">
        <v>46143</v>
      </c>
      <c r="M175" s="1">
        <v>46173</v>
      </c>
      <c r="N175">
        <v>2.320465E-4</v>
      </c>
      <c r="O175" t="s">
        <v>56</v>
      </c>
      <c r="P175" t="s">
        <v>63</v>
      </c>
      <c r="Q175" t="s">
        <v>1672</v>
      </c>
      <c r="R175" t="s">
        <v>1678</v>
      </c>
      <c r="S175" t="s">
        <v>67</v>
      </c>
      <c r="T175" t="s">
        <v>1829</v>
      </c>
      <c r="U175" t="s">
        <v>1987</v>
      </c>
      <c r="V175">
        <v>15</v>
      </c>
      <c r="W175" s="2">
        <v>0.48749865479999999</v>
      </c>
    </row>
    <row r="176" spans="1:23" x14ac:dyDescent="0.25">
      <c r="A176" t="s">
        <v>31</v>
      </c>
      <c r="B176" t="s">
        <v>32</v>
      </c>
      <c r="C176" t="s">
        <v>33</v>
      </c>
      <c r="D176" t="s">
        <v>34</v>
      </c>
      <c r="E176" t="s">
        <v>35</v>
      </c>
      <c r="F176" t="s">
        <v>36</v>
      </c>
      <c r="G176">
        <v>1141685</v>
      </c>
      <c r="H176" t="s">
        <v>80</v>
      </c>
      <c r="I176" t="s">
        <v>96</v>
      </c>
      <c r="J176" t="s">
        <v>80</v>
      </c>
      <c r="K176" t="s">
        <v>122</v>
      </c>
      <c r="L176" s="1">
        <v>46143</v>
      </c>
      <c r="M176" s="1">
        <v>46173</v>
      </c>
      <c r="N176">
        <v>0.3405678077</v>
      </c>
      <c r="O176" t="s">
        <v>56</v>
      </c>
      <c r="P176" t="s">
        <v>63</v>
      </c>
      <c r="Q176" t="s">
        <v>1672</v>
      </c>
      <c r="R176" t="s">
        <v>1678</v>
      </c>
      <c r="S176" t="s">
        <v>67</v>
      </c>
      <c r="T176" t="s">
        <v>1830</v>
      </c>
      <c r="U176" t="s">
        <v>1988</v>
      </c>
      <c r="V176">
        <v>15</v>
      </c>
      <c r="W176" s="2">
        <v>59.415604557800002</v>
      </c>
    </row>
    <row r="177" spans="1:23" x14ac:dyDescent="0.25">
      <c r="A177" t="s">
        <v>31</v>
      </c>
      <c r="B177" t="s">
        <v>32</v>
      </c>
      <c r="C177" t="s">
        <v>33</v>
      </c>
      <c r="D177" t="s">
        <v>34</v>
      </c>
      <c r="E177" t="s">
        <v>35</v>
      </c>
      <c r="F177" t="s">
        <v>36</v>
      </c>
      <c r="G177">
        <v>1141685</v>
      </c>
      <c r="H177" t="s">
        <v>79</v>
      </c>
      <c r="I177" t="s">
        <v>94</v>
      </c>
      <c r="J177" t="s">
        <v>101</v>
      </c>
      <c r="K177" t="s">
        <v>116</v>
      </c>
      <c r="L177" s="1">
        <v>46143</v>
      </c>
      <c r="M177" s="1">
        <v>46173</v>
      </c>
      <c r="N177">
        <v>8.0271070000000001E-4</v>
      </c>
      <c r="O177" t="s">
        <v>56</v>
      </c>
      <c r="P177" t="s">
        <v>63</v>
      </c>
      <c r="Q177" t="s">
        <v>1672</v>
      </c>
      <c r="R177" t="s">
        <v>1678</v>
      </c>
      <c r="S177" t="s">
        <v>67</v>
      </c>
      <c r="T177" t="s">
        <v>1831</v>
      </c>
      <c r="U177" t="s">
        <v>1989</v>
      </c>
      <c r="V177">
        <v>16</v>
      </c>
      <c r="W177" s="2">
        <v>1.1158879387</v>
      </c>
    </row>
    <row r="178" spans="1:23" x14ac:dyDescent="0.25">
      <c r="A178" t="s">
        <v>31</v>
      </c>
      <c r="B178" t="s">
        <v>32</v>
      </c>
      <c r="C178" t="s">
        <v>33</v>
      </c>
      <c r="D178" t="s">
        <v>34</v>
      </c>
      <c r="E178" t="s">
        <v>35</v>
      </c>
      <c r="F178" t="s">
        <v>36</v>
      </c>
      <c r="G178">
        <v>1141685</v>
      </c>
      <c r="H178" t="s">
        <v>79</v>
      </c>
      <c r="I178" t="s">
        <v>94</v>
      </c>
      <c r="J178" t="s">
        <v>101</v>
      </c>
      <c r="K178" t="s">
        <v>116</v>
      </c>
      <c r="L178" s="1">
        <v>46143</v>
      </c>
      <c r="M178" s="1">
        <v>46173</v>
      </c>
      <c r="N178">
        <v>1.05789E-5</v>
      </c>
      <c r="O178" t="s">
        <v>56</v>
      </c>
      <c r="P178" t="s">
        <v>63</v>
      </c>
      <c r="Q178" t="s">
        <v>1672</v>
      </c>
      <c r="R178" t="s">
        <v>1678</v>
      </c>
      <c r="S178" t="s">
        <v>67</v>
      </c>
      <c r="T178" t="s">
        <v>1832</v>
      </c>
      <c r="U178" t="s">
        <v>1990</v>
      </c>
      <c r="V178">
        <v>16</v>
      </c>
      <c r="W178" s="2">
        <v>1.2992979599999999E-2</v>
      </c>
    </row>
    <row r="179" spans="1:23" x14ac:dyDescent="0.25">
      <c r="A179" t="s">
        <v>31</v>
      </c>
      <c r="B179" t="s">
        <v>32</v>
      </c>
      <c r="C179" t="s">
        <v>33</v>
      </c>
      <c r="D179" t="s">
        <v>34</v>
      </c>
      <c r="E179" t="s">
        <v>35</v>
      </c>
      <c r="F179" t="s">
        <v>36</v>
      </c>
      <c r="G179">
        <v>1141685</v>
      </c>
      <c r="H179" t="s">
        <v>79</v>
      </c>
      <c r="I179" t="s">
        <v>94</v>
      </c>
      <c r="J179" t="s">
        <v>101</v>
      </c>
      <c r="K179" t="s">
        <v>116</v>
      </c>
      <c r="L179" s="1">
        <v>46143</v>
      </c>
      <c r="M179" s="1">
        <v>46173</v>
      </c>
      <c r="N179">
        <v>2.5245400000000001E-5</v>
      </c>
      <c r="O179" t="s">
        <v>56</v>
      </c>
      <c r="P179" t="s">
        <v>63</v>
      </c>
      <c r="Q179" t="s">
        <v>1672</v>
      </c>
      <c r="R179" t="s">
        <v>1678</v>
      </c>
      <c r="S179" t="s">
        <v>67</v>
      </c>
      <c r="T179" t="s">
        <v>1833</v>
      </c>
      <c r="U179" t="s">
        <v>1991</v>
      </c>
      <c r="V179">
        <v>16</v>
      </c>
      <c r="W179" s="2">
        <v>3.1006312000000001E-2</v>
      </c>
    </row>
    <row r="180" spans="1:23" x14ac:dyDescent="0.25">
      <c r="A180" t="s">
        <v>31</v>
      </c>
      <c r="B180" t="s">
        <v>32</v>
      </c>
      <c r="C180" t="s">
        <v>33</v>
      </c>
      <c r="D180" t="s">
        <v>34</v>
      </c>
      <c r="E180" t="s">
        <v>35</v>
      </c>
      <c r="F180" t="s">
        <v>36</v>
      </c>
      <c r="G180">
        <v>1141685</v>
      </c>
      <c r="H180" t="s">
        <v>79</v>
      </c>
      <c r="I180" t="s">
        <v>94</v>
      </c>
      <c r="J180" t="s">
        <v>101</v>
      </c>
      <c r="K180" t="s">
        <v>116</v>
      </c>
      <c r="L180" s="1">
        <v>46143</v>
      </c>
      <c r="M180" s="1">
        <v>46173</v>
      </c>
      <c r="N180">
        <v>0.3214386273</v>
      </c>
      <c r="O180" t="s">
        <v>56</v>
      </c>
      <c r="P180" t="s">
        <v>63</v>
      </c>
      <c r="Q180" t="s">
        <v>1672</v>
      </c>
      <c r="R180" t="s">
        <v>1677</v>
      </c>
      <c r="S180" t="s">
        <v>67</v>
      </c>
      <c r="T180" t="s">
        <v>1834</v>
      </c>
      <c r="U180" t="s">
        <v>1992</v>
      </c>
      <c r="V180">
        <v>17</v>
      </c>
      <c r="W180" s="2">
        <v>448.63040776719998</v>
      </c>
    </row>
    <row r="181" spans="1:23" x14ac:dyDescent="0.25">
      <c r="A181" t="s">
        <v>31</v>
      </c>
      <c r="B181" t="s">
        <v>32</v>
      </c>
      <c r="C181" t="s">
        <v>33</v>
      </c>
      <c r="D181" t="s">
        <v>34</v>
      </c>
      <c r="E181" t="s">
        <v>35</v>
      </c>
      <c r="F181" t="s">
        <v>36</v>
      </c>
      <c r="G181">
        <v>1141685</v>
      </c>
      <c r="H181" t="s">
        <v>79</v>
      </c>
      <c r="I181" t="s">
        <v>94</v>
      </c>
      <c r="J181" t="s">
        <v>101</v>
      </c>
      <c r="K181" t="s">
        <v>116</v>
      </c>
      <c r="L181" s="1">
        <v>46143</v>
      </c>
      <c r="M181" s="1">
        <v>46173</v>
      </c>
      <c r="N181">
        <v>1.26325E-5</v>
      </c>
      <c r="O181" t="s">
        <v>56</v>
      </c>
      <c r="P181" t="s">
        <v>63</v>
      </c>
      <c r="Q181" t="s">
        <v>1672</v>
      </c>
      <c r="R181" t="s">
        <v>1678</v>
      </c>
      <c r="S181" t="s">
        <v>67</v>
      </c>
      <c r="T181" t="s">
        <v>1835</v>
      </c>
      <c r="U181" t="s">
        <v>1993</v>
      </c>
      <c r="V181">
        <v>16</v>
      </c>
      <c r="W181" s="2">
        <v>1.5515166299999999E-2</v>
      </c>
    </row>
    <row r="182" spans="1:23" x14ac:dyDescent="0.25">
      <c r="A182" t="s">
        <v>31</v>
      </c>
      <c r="B182" t="s">
        <v>32</v>
      </c>
      <c r="C182" t="s">
        <v>33</v>
      </c>
      <c r="D182" t="s">
        <v>34</v>
      </c>
      <c r="E182" t="s">
        <v>35</v>
      </c>
      <c r="F182" t="s">
        <v>36</v>
      </c>
      <c r="G182">
        <v>1141685</v>
      </c>
      <c r="H182" t="s">
        <v>79</v>
      </c>
      <c r="I182" t="s">
        <v>94</v>
      </c>
      <c r="J182" t="s">
        <v>101</v>
      </c>
      <c r="K182" t="s">
        <v>116</v>
      </c>
      <c r="L182" s="1">
        <v>46143</v>
      </c>
      <c r="M182" s="1">
        <v>46173</v>
      </c>
      <c r="N182">
        <v>1.5194237949</v>
      </c>
      <c r="O182" t="s">
        <v>56</v>
      </c>
      <c r="P182" t="s">
        <v>63</v>
      </c>
      <c r="Q182" t="s">
        <v>1672</v>
      </c>
      <c r="R182" t="s">
        <v>1678</v>
      </c>
      <c r="S182" t="s">
        <v>67</v>
      </c>
      <c r="T182" t="s">
        <v>1836</v>
      </c>
      <c r="U182" t="s">
        <v>1994</v>
      </c>
      <c r="V182">
        <v>16</v>
      </c>
      <c r="W182" s="2">
        <v>2120.6338738556001</v>
      </c>
    </row>
    <row r="183" spans="1:23" x14ac:dyDescent="0.25">
      <c r="A183" t="s">
        <v>31</v>
      </c>
      <c r="B183" t="s">
        <v>32</v>
      </c>
      <c r="C183" t="s">
        <v>33</v>
      </c>
      <c r="D183" t="s">
        <v>34</v>
      </c>
      <c r="E183" t="s">
        <v>35</v>
      </c>
      <c r="F183" t="s">
        <v>36</v>
      </c>
      <c r="G183">
        <v>1141685</v>
      </c>
      <c r="H183" t="s">
        <v>76</v>
      </c>
      <c r="I183" t="s">
        <v>95</v>
      </c>
      <c r="J183" t="s">
        <v>99</v>
      </c>
      <c r="K183" t="s">
        <v>109</v>
      </c>
      <c r="L183" s="1">
        <v>46143</v>
      </c>
      <c r="M183" s="1">
        <v>46173</v>
      </c>
      <c r="N183">
        <v>0.31667299999999998</v>
      </c>
      <c r="O183" t="s">
        <v>58</v>
      </c>
      <c r="P183" t="s">
        <v>63</v>
      </c>
      <c r="Q183" t="s">
        <v>1673</v>
      </c>
      <c r="R183" t="s">
        <v>1676</v>
      </c>
      <c r="S183" t="s">
        <v>67</v>
      </c>
      <c r="T183" t="s">
        <v>1785</v>
      </c>
      <c r="U183" t="s">
        <v>1943</v>
      </c>
      <c r="V183">
        <v>15</v>
      </c>
      <c r="W183" s="2">
        <v>0</v>
      </c>
    </row>
    <row r="184" spans="1:23" x14ac:dyDescent="0.25">
      <c r="A184" t="s">
        <v>31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>
        <v>1141685</v>
      </c>
      <c r="H184" t="s">
        <v>80</v>
      </c>
      <c r="I184" t="s">
        <v>96</v>
      </c>
      <c r="J184" t="s">
        <v>80</v>
      </c>
      <c r="K184" t="s">
        <v>122</v>
      </c>
      <c r="L184" s="1">
        <v>46143</v>
      </c>
      <c r="M184" s="1">
        <v>46173</v>
      </c>
      <c r="N184">
        <v>0.33806704450000002</v>
      </c>
      <c r="O184" t="s">
        <v>56</v>
      </c>
      <c r="P184" t="s">
        <v>63</v>
      </c>
      <c r="Q184" t="s">
        <v>1672</v>
      </c>
      <c r="R184" t="s">
        <v>1678</v>
      </c>
      <c r="S184" t="s">
        <v>67</v>
      </c>
      <c r="T184" t="s">
        <v>1837</v>
      </c>
      <c r="U184" t="s">
        <v>1995</v>
      </c>
      <c r="V184">
        <v>15</v>
      </c>
      <c r="W184" s="2">
        <v>58.981675393300002</v>
      </c>
    </row>
    <row r="185" spans="1:23" x14ac:dyDescent="0.25">
      <c r="A185" t="s">
        <v>31</v>
      </c>
      <c r="B185" t="s">
        <v>32</v>
      </c>
      <c r="C185" t="s">
        <v>33</v>
      </c>
      <c r="D185" t="s">
        <v>34</v>
      </c>
      <c r="E185" t="s">
        <v>35</v>
      </c>
      <c r="F185" t="s">
        <v>36</v>
      </c>
      <c r="G185">
        <v>1141685</v>
      </c>
      <c r="H185" t="s">
        <v>80</v>
      </c>
      <c r="I185" t="s">
        <v>96</v>
      </c>
      <c r="J185" t="s">
        <v>80</v>
      </c>
      <c r="K185" t="s">
        <v>122</v>
      </c>
      <c r="L185" s="1">
        <v>46143</v>
      </c>
      <c r="M185" s="1">
        <v>46173</v>
      </c>
      <c r="N185">
        <v>2.8262570000000002E-4</v>
      </c>
      <c r="O185" t="s">
        <v>56</v>
      </c>
      <c r="P185" t="s">
        <v>63</v>
      </c>
      <c r="Q185" t="s">
        <v>1672</v>
      </c>
      <c r="R185" t="s">
        <v>1678</v>
      </c>
      <c r="S185" t="s">
        <v>67</v>
      </c>
      <c r="T185" t="s">
        <v>1838</v>
      </c>
      <c r="U185" t="s">
        <v>1996</v>
      </c>
      <c r="V185">
        <v>15</v>
      </c>
      <c r="W185" s="2">
        <v>5.3390049000000002E-2</v>
      </c>
    </row>
    <row r="186" spans="1:23" x14ac:dyDescent="0.25">
      <c r="A186" t="s">
        <v>31</v>
      </c>
      <c r="B186" t="s">
        <v>32</v>
      </c>
      <c r="C186" t="s">
        <v>33</v>
      </c>
      <c r="D186" t="s">
        <v>34</v>
      </c>
      <c r="E186" t="s">
        <v>35</v>
      </c>
      <c r="F186" t="s">
        <v>36</v>
      </c>
      <c r="G186">
        <v>1141685</v>
      </c>
      <c r="H186" t="s">
        <v>76</v>
      </c>
      <c r="I186" t="s">
        <v>95</v>
      </c>
      <c r="J186" t="s">
        <v>99</v>
      </c>
      <c r="K186" t="s">
        <v>109</v>
      </c>
      <c r="L186" s="1">
        <v>46143</v>
      </c>
      <c r="M186" s="1">
        <v>46173</v>
      </c>
      <c r="N186">
        <v>76</v>
      </c>
      <c r="O186" t="s">
        <v>58</v>
      </c>
      <c r="P186" t="s">
        <v>63</v>
      </c>
      <c r="Q186" t="s">
        <v>1673</v>
      </c>
      <c r="R186" t="s">
        <v>1676</v>
      </c>
      <c r="S186" t="s">
        <v>67</v>
      </c>
      <c r="T186" t="s">
        <v>1702</v>
      </c>
      <c r="U186" t="s">
        <v>1860</v>
      </c>
      <c r="V186">
        <v>16</v>
      </c>
      <c r="W186" s="2">
        <v>0</v>
      </c>
    </row>
    <row r="187" spans="1:23" x14ac:dyDescent="0.25">
      <c r="A187" t="s">
        <v>31</v>
      </c>
      <c r="B187" t="s">
        <v>32</v>
      </c>
      <c r="C187" t="s">
        <v>33</v>
      </c>
      <c r="D187" t="s">
        <v>34</v>
      </c>
      <c r="E187" t="s">
        <v>35</v>
      </c>
      <c r="F187" t="s">
        <v>36</v>
      </c>
      <c r="G187">
        <v>1141685</v>
      </c>
      <c r="H187" t="s">
        <v>76</v>
      </c>
      <c r="I187" t="s">
        <v>95</v>
      </c>
      <c r="J187" t="s">
        <v>99</v>
      </c>
      <c r="K187" t="s">
        <v>109</v>
      </c>
      <c r="L187" s="1">
        <v>46143</v>
      </c>
      <c r="M187" s="1">
        <v>46173</v>
      </c>
      <c r="N187">
        <v>0.20000399999999999</v>
      </c>
      <c r="O187" t="s">
        <v>58</v>
      </c>
      <c r="P187" t="s">
        <v>63</v>
      </c>
      <c r="Q187" t="s">
        <v>1673</v>
      </c>
      <c r="R187" t="s">
        <v>1678</v>
      </c>
      <c r="S187" t="s">
        <v>67</v>
      </c>
      <c r="T187" t="s">
        <v>1773</v>
      </c>
      <c r="U187" t="s">
        <v>1931</v>
      </c>
      <c r="V187">
        <v>15</v>
      </c>
      <c r="W187" s="2">
        <v>0</v>
      </c>
    </row>
    <row r="188" spans="1:23" x14ac:dyDescent="0.25">
      <c r="A188" t="s">
        <v>31</v>
      </c>
      <c r="B188" t="s">
        <v>32</v>
      </c>
      <c r="C188" t="s">
        <v>33</v>
      </c>
      <c r="D188" t="s">
        <v>34</v>
      </c>
      <c r="E188" t="s">
        <v>35</v>
      </c>
      <c r="F188" t="s">
        <v>36</v>
      </c>
      <c r="G188">
        <v>1141685</v>
      </c>
      <c r="H188" t="s">
        <v>76</v>
      </c>
      <c r="I188" t="s">
        <v>95</v>
      </c>
      <c r="J188" t="s">
        <v>99</v>
      </c>
      <c r="K188" t="s">
        <v>109</v>
      </c>
      <c r="L188" s="1">
        <v>46143</v>
      </c>
      <c r="M188" s="1">
        <v>46173</v>
      </c>
      <c r="N188">
        <v>0.98335300000000003</v>
      </c>
      <c r="O188" t="s">
        <v>58</v>
      </c>
      <c r="P188" t="s">
        <v>63</v>
      </c>
      <c r="Q188" t="s">
        <v>1673</v>
      </c>
      <c r="R188" t="s">
        <v>1678</v>
      </c>
      <c r="S188" t="s">
        <v>67</v>
      </c>
      <c r="T188" t="s">
        <v>1716</v>
      </c>
      <c r="U188" t="s">
        <v>1874</v>
      </c>
      <c r="V188">
        <v>16</v>
      </c>
      <c r="W188" s="2">
        <v>0</v>
      </c>
    </row>
    <row r="189" spans="1:23" x14ac:dyDescent="0.25">
      <c r="A189" t="s">
        <v>31</v>
      </c>
      <c r="B189" t="s">
        <v>32</v>
      </c>
      <c r="C189" t="s">
        <v>33</v>
      </c>
      <c r="D189" t="s">
        <v>34</v>
      </c>
      <c r="E189" t="s">
        <v>35</v>
      </c>
      <c r="F189" t="s">
        <v>36</v>
      </c>
      <c r="G189">
        <v>1141685</v>
      </c>
      <c r="H189" t="s">
        <v>76</v>
      </c>
      <c r="I189" t="s">
        <v>95</v>
      </c>
      <c r="J189" t="s">
        <v>99</v>
      </c>
      <c r="K189" t="s">
        <v>109</v>
      </c>
      <c r="L189" s="1">
        <v>46143</v>
      </c>
      <c r="M189" s="1">
        <v>46173</v>
      </c>
      <c r="N189">
        <v>0.95001899999999995</v>
      </c>
      <c r="O189" t="s">
        <v>58</v>
      </c>
      <c r="P189" t="s">
        <v>63</v>
      </c>
      <c r="Q189" t="s">
        <v>1673</v>
      </c>
      <c r="R189" t="s">
        <v>1676</v>
      </c>
      <c r="S189" t="s">
        <v>67</v>
      </c>
      <c r="T189" t="s">
        <v>1702</v>
      </c>
      <c r="U189" t="s">
        <v>1860</v>
      </c>
      <c r="V189">
        <v>16</v>
      </c>
      <c r="W189" s="2">
        <v>0</v>
      </c>
    </row>
    <row r="190" spans="1:23" x14ac:dyDescent="0.25">
      <c r="A190" t="s">
        <v>31</v>
      </c>
      <c r="B190" t="s">
        <v>32</v>
      </c>
      <c r="C190" t="s">
        <v>33</v>
      </c>
      <c r="D190" t="s">
        <v>34</v>
      </c>
      <c r="E190" t="s">
        <v>35</v>
      </c>
      <c r="F190" t="s">
        <v>36</v>
      </c>
      <c r="G190">
        <v>1141685</v>
      </c>
      <c r="H190" t="s">
        <v>79</v>
      </c>
      <c r="I190" t="s">
        <v>94</v>
      </c>
      <c r="J190" t="s">
        <v>101</v>
      </c>
      <c r="K190" t="s">
        <v>116</v>
      </c>
      <c r="L190" s="1">
        <v>46143</v>
      </c>
      <c r="M190" s="1">
        <v>46173</v>
      </c>
      <c r="N190">
        <v>6.9608000000000002E-5</v>
      </c>
      <c r="O190" t="s">
        <v>56</v>
      </c>
      <c r="P190" t="s">
        <v>63</v>
      </c>
      <c r="Q190" t="s">
        <v>1672</v>
      </c>
      <c r="R190" t="s">
        <v>1678</v>
      </c>
      <c r="S190" t="s">
        <v>67</v>
      </c>
      <c r="T190" t="s">
        <v>1839</v>
      </c>
      <c r="U190" t="s">
        <v>1997</v>
      </c>
      <c r="V190">
        <v>15</v>
      </c>
      <c r="W190" s="2">
        <v>9.5492410199999989E-2</v>
      </c>
    </row>
    <row r="191" spans="1:23" x14ac:dyDescent="0.25">
      <c r="A191" t="s">
        <v>31</v>
      </c>
      <c r="B191" t="s">
        <v>32</v>
      </c>
      <c r="C191" t="s">
        <v>33</v>
      </c>
      <c r="D191" t="s">
        <v>34</v>
      </c>
      <c r="E191" t="s">
        <v>35</v>
      </c>
      <c r="F191" t="s">
        <v>36</v>
      </c>
      <c r="G191">
        <v>1141685</v>
      </c>
      <c r="H191" t="s">
        <v>79</v>
      </c>
      <c r="I191" t="s">
        <v>94</v>
      </c>
      <c r="J191" t="s">
        <v>101</v>
      </c>
      <c r="K191" t="s">
        <v>116</v>
      </c>
      <c r="L191" s="1">
        <v>46143</v>
      </c>
      <c r="M191" s="1">
        <v>46173</v>
      </c>
      <c r="N191">
        <v>2.0083000000000001E-5</v>
      </c>
      <c r="O191" t="s">
        <v>56</v>
      </c>
      <c r="P191" t="s">
        <v>63</v>
      </c>
      <c r="Q191" t="s">
        <v>1672</v>
      </c>
      <c r="R191" t="s">
        <v>1678</v>
      </c>
      <c r="S191" t="s">
        <v>67</v>
      </c>
      <c r="T191" t="s">
        <v>1840</v>
      </c>
      <c r="U191" t="s">
        <v>1998</v>
      </c>
      <c r="V191">
        <v>15</v>
      </c>
      <c r="W191" s="2">
        <v>2.4665957400000001E-2</v>
      </c>
    </row>
    <row r="192" spans="1:23" x14ac:dyDescent="0.25">
      <c r="A192" t="s">
        <v>31</v>
      </c>
      <c r="B192" t="s">
        <v>32</v>
      </c>
      <c r="C192" t="s">
        <v>33</v>
      </c>
      <c r="D192" t="s">
        <v>34</v>
      </c>
      <c r="E192" t="s">
        <v>35</v>
      </c>
      <c r="F192" t="s">
        <v>36</v>
      </c>
      <c r="G192">
        <v>1141685</v>
      </c>
      <c r="H192" t="s">
        <v>79</v>
      </c>
      <c r="I192" t="s">
        <v>94</v>
      </c>
      <c r="J192" t="s">
        <v>101</v>
      </c>
      <c r="K192" t="s">
        <v>114</v>
      </c>
      <c r="L192" s="1">
        <v>46143</v>
      </c>
      <c r="M192" s="1">
        <v>46173</v>
      </c>
      <c r="N192">
        <v>5.9473139999999996E-4</v>
      </c>
      <c r="O192" t="s">
        <v>56</v>
      </c>
      <c r="P192" t="s">
        <v>63</v>
      </c>
      <c r="Q192" t="s">
        <v>1672</v>
      </c>
      <c r="R192" t="s">
        <v>1677</v>
      </c>
      <c r="S192" t="s">
        <v>67</v>
      </c>
      <c r="T192" t="s">
        <v>1841</v>
      </c>
      <c r="U192" t="s">
        <v>1999</v>
      </c>
      <c r="V192">
        <v>16</v>
      </c>
      <c r="W192" s="2">
        <v>0.83044817809999993</v>
      </c>
    </row>
    <row r="193" spans="1:23" x14ac:dyDescent="0.25">
      <c r="A193" t="s">
        <v>31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>
        <v>1141685</v>
      </c>
      <c r="H193" t="s">
        <v>79</v>
      </c>
      <c r="I193" t="s">
        <v>94</v>
      </c>
      <c r="J193" t="s">
        <v>101</v>
      </c>
      <c r="K193" t="s">
        <v>114</v>
      </c>
      <c r="L193" s="1">
        <v>46143</v>
      </c>
      <c r="M193" s="1">
        <v>46173</v>
      </c>
      <c r="N193">
        <v>0.41111675650000001</v>
      </c>
      <c r="O193" t="s">
        <v>56</v>
      </c>
      <c r="P193" t="s">
        <v>63</v>
      </c>
      <c r="Q193" t="s">
        <v>1672</v>
      </c>
      <c r="R193" t="s">
        <v>1678</v>
      </c>
      <c r="S193" t="s">
        <v>67</v>
      </c>
      <c r="T193" t="s">
        <v>1842</v>
      </c>
      <c r="U193" t="s">
        <v>2000</v>
      </c>
      <c r="V193">
        <v>15</v>
      </c>
      <c r="W193" s="2">
        <v>573.78294254449997</v>
      </c>
    </row>
    <row r="194" spans="1:23" x14ac:dyDescent="0.25">
      <c r="A194" t="s">
        <v>31</v>
      </c>
      <c r="B194" t="s">
        <v>32</v>
      </c>
      <c r="C194" t="s">
        <v>33</v>
      </c>
      <c r="D194" t="s">
        <v>34</v>
      </c>
      <c r="E194" t="s">
        <v>35</v>
      </c>
      <c r="F194" t="s">
        <v>36</v>
      </c>
      <c r="G194">
        <v>1141685</v>
      </c>
      <c r="H194" t="s">
        <v>79</v>
      </c>
      <c r="I194" t="s">
        <v>94</v>
      </c>
      <c r="J194" t="s">
        <v>101</v>
      </c>
      <c r="K194" t="s">
        <v>114</v>
      </c>
      <c r="L194" s="1">
        <v>46143</v>
      </c>
      <c r="M194" s="1">
        <v>46173</v>
      </c>
      <c r="N194">
        <v>1.2021052977</v>
      </c>
      <c r="O194" t="s">
        <v>56</v>
      </c>
      <c r="P194" t="s">
        <v>63</v>
      </c>
      <c r="Q194" t="s">
        <v>1672</v>
      </c>
      <c r="R194" t="s">
        <v>1676</v>
      </c>
      <c r="S194" t="s">
        <v>67</v>
      </c>
      <c r="T194" t="s">
        <v>1843</v>
      </c>
      <c r="U194" t="s">
        <v>2001</v>
      </c>
      <c r="V194">
        <v>16</v>
      </c>
      <c r="W194" s="2">
        <v>1677.7538032729999</v>
      </c>
    </row>
    <row r="195" spans="1:23" x14ac:dyDescent="0.25">
      <c r="A195" t="s">
        <v>31</v>
      </c>
      <c r="B195" t="s">
        <v>32</v>
      </c>
      <c r="C195" t="s">
        <v>33</v>
      </c>
      <c r="D195" t="s">
        <v>34</v>
      </c>
      <c r="E195" t="s">
        <v>35</v>
      </c>
      <c r="F195" t="s">
        <v>36</v>
      </c>
      <c r="G195">
        <v>1141685</v>
      </c>
      <c r="H195" t="s">
        <v>79</v>
      </c>
      <c r="I195" t="s">
        <v>94</v>
      </c>
      <c r="J195" t="s">
        <v>101</v>
      </c>
      <c r="K195" t="s">
        <v>114</v>
      </c>
      <c r="L195" s="1">
        <v>46143</v>
      </c>
      <c r="M195" s="1">
        <v>46173</v>
      </c>
      <c r="N195">
        <v>0.39114751009999998</v>
      </c>
      <c r="O195" t="s">
        <v>56</v>
      </c>
      <c r="P195" t="s">
        <v>63</v>
      </c>
      <c r="Q195" t="s">
        <v>1672</v>
      </c>
      <c r="R195" t="s">
        <v>1678</v>
      </c>
      <c r="S195" t="s">
        <v>67</v>
      </c>
      <c r="T195" t="s">
        <v>1844</v>
      </c>
      <c r="U195" t="s">
        <v>2002</v>
      </c>
      <c r="V195">
        <v>15</v>
      </c>
      <c r="W195" s="2">
        <v>545.91674612780002</v>
      </c>
    </row>
    <row r="196" spans="1:23" x14ac:dyDescent="0.25">
      <c r="A196" t="s">
        <v>31</v>
      </c>
      <c r="B196" t="s">
        <v>32</v>
      </c>
      <c r="C196" t="s">
        <v>33</v>
      </c>
      <c r="D196" t="s">
        <v>34</v>
      </c>
      <c r="E196" t="s">
        <v>35</v>
      </c>
      <c r="F196" t="s">
        <v>36</v>
      </c>
      <c r="G196">
        <v>1141685</v>
      </c>
      <c r="H196" t="s">
        <v>79</v>
      </c>
      <c r="I196" t="s">
        <v>94</v>
      </c>
      <c r="J196" t="s">
        <v>101</v>
      </c>
      <c r="K196" t="s">
        <v>114</v>
      </c>
      <c r="L196" s="1">
        <v>46143</v>
      </c>
      <c r="M196" s="1">
        <v>46173</v>
      </c>
      <c r="N196">
        <v>5.5899999999999998E-8</v>
      </c>
      <c r="O196" t="s">
        <v>56</v>
      </c>
      <c r="P196" t="s">
        <v>63</v>
      </c>
      <c r="Q196" t="s">
        <v>1672</v>
      </c>
      <c r="R196" t="s">
        <v>1678</v>
      </c>
      <c r="S196" t="s">
        <v>67</v>
      </c>
      <c r="T196" t="s">
        <v>1769</v>
      </c>
      <c r="U196" t="s">
        <v>1927</v>
      </c>
      <c r="V196">
        <v>16</v>
      </c>
      <c r="W196" s="2">
        <v>6.86308E-5</v>
      </c>
    </row>
    <row r="197" spans="1:23" x14ac:dyDescent="0.25">
      <c r="A197" t="s">
        <v>31</v>
      </c>
      <c r="B197" t="s">
        <v>32</v>
      </c>
      <c r="C197" t="s">
        <v>33</v>
      </c>
      <c r="D197" t="s">
        <v>34</v>
      </c>
      <c r="E197" t="s">
        <v>35</v>
      </c>
      <c r="F197" t="s">
        <v>36</v>
      </c>
      <c r="G197">
        <v>1141685</v>
      </c>
      <c r="H197" t="s">
        <v>77</v>
      </c>
      <c r="I197" t="s">
        <v>96</v>
      </c>
      <c r="J197" t="s">
        <v>77</v>
      </c>
      <c r="K197" t="s">
        <v>110</v>
      </c>
      <c r="L197" s="1">
        <v>46143</v>
      </c>
      <c r="M197" s="1">
        <v>46173</v>
      </c>
      <c r="N197">
        <v>744</v>
      </c>
      <c r="O197" t="s">
        <v>58</v>
      </c>
      <c r="P197" t="s">
        <v>63</v>
      </c>
      <c r="Q197" t="s">
        <v>1675</v>
      </c>
      <c r="R197" t="s">
        <v>1681</v>
      </c>
      <c r="S197" t="s">
        <v>67</v>
      </c>
      <c r="T197" t="s">
        <v>1710</v>
      </c>
      <c r="U197" t="s">
        <v>1868</v>
      </c>
      <c r="V197">
        <v>7</v>
      </c>
      <c r="W197" s="2">
        <v>129798.2412</v>
      </c>
    </row>
    <row r="198" spans="1:23" x14ac:dyDescent="0.25">
      <c r="A198" t="s">
        <v>31</v>
      </c>
      <c r="B198" t="s">
        <v>32</v>
      </c>
      <c r="C198" t="s">
        <v>33</v>
      </c>
      <c r="D198" t="s">
        <v>34</v>
      </c>
      <c r="E198" t="s">
        <v>35</v>
      </c>
      <c r="F198" t="s">
        <v>36</v>
      </c>
      <c r="G198">
        <v>1141685</v>
      </c>
      <c r="H198" t="s">
        <v>77</v>
      </c>
      <c r="I198" t="s">
        <v>96</v>
      </c>
      <c r="J198" t="s">
        <v>77</v>
      </c>
      <c r="K198" t="s">
        <v>110</v>
      </c>
      <c r="L198" s="1">
        <v>46143</v>
      </c>
      <c r="M198" s="1">
        <v>46173</v>
      </c>
      <c r="N198">
        <v>744</v>
      </c>
      <c r="O198" t="s">
        <v>58</v>
      </c>
      <c r="P198" t="s">
        <v>63</v>
      </c>
      <c r="Q198" t="s">
        <v>1675</v>
      </c>
      <c r="R198" t="s">
        <v>1697</v>
      </c>
      <c r="S198" t="s">
        <v>67</v>
      </c>
      <c r="T198" t="s">
        <v>1845</v>
      </c>
      <c r="U198" t="s">
        <v>2003</v>
      </c>
      <c r="V198">
        <v>8</v>
      </c>
      <c r="W198" s="2">
        <v>129798.2412</v>
      </c>
    </row>
    <row r="199" spans="1:23" x14ac:dyDescent="0.25">
      <c r="A199" t="s">
        <v>31</v>
      </c>
      <c r="B199" t="s">
        <v>32</v>
      </c>
      <c r="C199" t="s">
        <v>33</v>
      </c>
      <c r="D199" t="s">
        <v>34</v>
      </c>
      <c r="E199" t="s">
        <v>35</v>
      </c>
      <c r="F199" t="s">
        <v>36</v>
      </c>
      <c r="G199">
        <v>1141685</v>
      </c>
      <c r="H199" t="s">
        <v>77</v>
      </c>
      <c r="I199" t="s">
        <v>96</v>
      </c>
      <c r="J199" t="s">
        <v>77</v>
      </c>
      <c r="K199" t="s">
        <v>111</v>
      </c>
      <c r="L199" s="1">
        <v>46143</v>
      </c>
      <c r="M199" s="1">
        <v>46173</v>
      </c>
      <c r="N199">
        <v>59.997841812700003</v>
      </c>
      <c r="O199" t="s">
        <v>56</v>
      </c>
      <c r="P199" t="s">
        <v>63</v>
      </c>
      <c r="Q199" t="s">
        <v>1672</v>
      </c>
      <c r="R199" t="s">
        <v>1678</v>
      </c>
      <c r="S199" t="s">
        <v>67</v>
      </c>
      <c r="T199" t="s">
        <v>1846</v>
      </c>
      <c r="U199" t="s">
        <v>2004</v>
      </c>
      <c r="V199">
        <v>16</v>
      </c>
      <c r="W199" s="2">
        <v>10467.2266647218</v>
      </c>
    </row>
    <row r="200" spans="1:23" x14ac:dyDescent="0.25">
      <c r="A200" t="s">
        <v>31</v>
      </c>
      <c r="B200" t="s">
        <v>32</v>
      </c>
      <c r="C200" t="s">
        <v>33</v>
      </c>
      <c r="D200" t="s">
        <v>34</v>
      </c>
      <c r="E200" t="s">
        <v>35</v>
      </c>
      <c r="F200" t="s">
        <v>36</v>
      </c>
      <c r="G200">
        <v>1141685</v>
      </c>
      <c r="H200" t="s">
        <v>77</v>
      </c>
      <c r="I200" t="s">
        <v>96</v>
      </c>
      <c r="J200" t="s">
        <v>77</v>
      </c>
      <c r="K200" t="s">
        <v>111</v>
      </c>
      <c r="L200" s="1">
        <v>46143</v>
      </c>
      <c r="M200" s="1">
        <v>46173</v>
      </c>
      <c r="N200">
        <v>3.0931722018999999</v>
      </c>
      <c r="O200" t="s">
        <v>56</v>
      </c>
      <c r="P200" t="s">
        <v>63</v>
      </c>
      <c r="Q200" t="s">
        <v>1672</v>
      </c>
      <c r="R200" t="s">
        <v>1676</v>
      </c>
      <c r="S200" t="s">
        <v>67</v>
      </c>
      <c r="T200" t="s">
        <v>1847</v>
      </c>
      <c r="U200" t="s">
        <v>2005</v>
      </c>
      <c r="V200">
        <v>16</v>
      </c>
      <c r="W200" s="2">
        <v>539.63864365840004</v>
      </c>
    </row>
    <row r="201" spans="1:23" x14ac:dyDescent="0.25">
      <c r="A201" t="s">
        <v>31</v>
      </c>
      <c r="B201" t="s">
        <v>32</v>
      </c>
      <c r="C201" t="s">
        <v>33</v>
      </c>
      <c r="D201" t="s">
        <v>34</v>
      </c>
      <c r="E201" t="s">
        <v>35</v>
      </c>
      <c r="F201" t="s">
        <v>36</v>
      </c>
      <c r="G201">
        <v>1141685</v>
      </c>
      <c r="H201" t="s">
        <v>77</v>
      </c>
      <c r="I201" t="s">
        <v>96</v>
      </c>
      <c r="J201" t="s">
        <v>77</v>
      </c>
      <c r="K201" t="s">
        <v>111</v>
      </c>
      <c r="L201" s="1">
        <v>46143</v>
      </c>
      <c r="M201" s="1">
        <v>46173</v>
      </c>
      <c r="N201">
        <v>46.434853185900003</v>
      </c>
      <c r="O201" t="s">
        <v>56</v>
      </c>
      <c r="P201" t="s">
        <v>63</v>
      </c>
      <c r="Q201" t="s">
        <v>1672</v>
      </c>
      <c r="R201" t="s">
        <v>1678</v>
      </c>
      <c r="S201" t="s">
        <v>67</v>
      </c>
      <c r="T201" t="s">
        <v>1848</v>
      </c>
      <c r="U201" t="s">
        <v>2006</v>
      </c>
      <c r="V201">
        <v>16</v>
      </c>
      <c r="W201" s="2">
        <v>8101.0215483945994</v>
      </c>
    </row>
    <row r="202" spans="1:23" x14ac:dyDescent="0.25">
      <c r="A202" t="s">
        <v>31</v>
      </c>
      <c r="B202" t="s">
        <v>32</v>
      </c>
      <c r="C202" t="s">
        <v>33</v>
      </c>
      <c r="D202" t="s">
        <v>34</v>
      </c>
      <c r="E202" t="s">
        <v>35</v>
      </c>
      <c r="F202" t="s">
        <v>36</v>
      </c>
      <c r="G202">
        <v>1141685</v>
      </c>
      <c r="H202" t="s">
        <v>77</v>
      </c>
      <c r="I202" t="s">
        <v>96</v>
      </c>
      <c r="J202" t="s">
        <v>77</v>
      </c>
      <c r="K202" t="s">
        <v>111</v>
      </c>
      <c r="L202" s="1">
        <v>46143</v>
      </c>
      <c r="M202" s="1">
        <v>46173</v>
      </c>
      <c r="N202">
        <v>6.1380060399999999E-2</v>
      </c>
      <c r="O202" t="s">
        <v>56</v>
      </c>
      <c r="P202" t="s">
        <v>63</v>
      </c>
      <c r="Q202" t="s">
        <v>1675</v>
      </c>
      <c r="R202" t="s">
        <v>1681</v>
      </c>
      <c r="S202" t="s">
        <v>67</v>
      </c>
      <c r="T202" t="s">
        <v>1849</v>
      </c>
      <c r="U202" t="s">
        <v>2007</v>
      </c>
      <c r="V202">
        <v>7</v>
      </c>
      <c r="W202" s="2">
        <v>10.713361493800001</v>
      </c>
    </row>
    <row r="203" spans="1:23" x14ac:dyDescent="0.25">
      <c r="A203" t="s">
        <v>31</v>
      </c>
      <c r="B203" t="s">
        <v>32</v>
      </c>
      <c r="C203" t="s">
        <v>33</v>
      </c>
      <c r="D203" t="s">
        <v>34</v>
      </c>
      <c r="E203" t="s">
        <v>35</v>
      </c>
      <c r="F203" t="s">
        <v>36</v>
      </c>
      <c r="G203">
        <v>1141685</v>
      </c>
      <c r="H203" t="s">
        <v>77</v>
      </c>
      <c r="I203" t="s">
        <v>96</v>
      </c>
      <c r="J203" t="s">
        <v>77</v>
      </c>
      <c r="K203" t="s">
        <v>111</v>
      </c>
      <c r="L203" s="1">
        <v>46143</v>
      </c>
      <c r="M203" s="1">
        <v>46173</v>
      </c>
      <c r="N203">
        <v>10.519333591700001</v>
      </c>
      <c r="O203" t="s">
        <v>56</v>
      </c>
      <c r="P203" t="s">
        <v>63</v>
      </c>
      <c r="Q203" t="s">
        <v>1672</v>
      </c>
      <c r="R203" t="s">
        <v>1678</v>
      </c>
      <c r="S203" t="s">
        <v>67</v>
      </c>
      <c r="T203" t="s">
        <v>1850</v>
      </c>
      <c r="U203" t="s">
        <v>2008</v>
      </c>
      <c r="V203">
        <v>15</v>
      </c>
      <c r="W203" s="2">
        <v>1835.1985857966999</v>
      </c>
    </row>
    <row r="204" spans="1:23" x14ac:dyDescent="0.25">
      <c r="A204" t="s">
        <v>31</v>
      </c>
      <c r="B204" t="s">
        <v>32</v>
      </c>
      <c r="C204" t="s">
        <v>33</v>
      </c>
      <c r="D204" t="s">
        <v>34</v>
      </c>
      <c r="E204" t="s">
        <v>35</v>
      </c>
      <c r="F204" t="s">
        <v>36</v>
      </c>
      <c r="G204">
        <v>1141685</v>
      </c>
      <c r="H204" t="s">
        <v>77</v>
      </c>
      <c r="I204" t="s">
        <v>96</v>
      </c>
      <c r="J204" t="s">
        <v>77</v>
      </c>
      <c r="K204" t="s">
        <v>111</v>
      </c>
      <c r="L204" s="1">
        <v>46143</v>
      </c>
      <c r="M204" s="1">
        <v>46173</v>
      </c>
      <c r="N204">
        <v>1.5090000000000001E-7</v>
      </c>
      <c r="O204" t="s">
        <v>56</v>
      </c>
      <c r="P204" t="s">
        <v>63</v>
      </c>
      <c r="Q204" t="s">
        <v>1672</v>
      </c>
      <c r="R204" t="s">
        <v>1678</v>
      </c>
      <c r="S204" t="s">
        <v>67</v>
      </c>
      <c r="T204" t="s">
        <v>1851</v>
      </c>
      <c r="U204" t="s">
        <v>2009</v>
      </c>
      <c r="V204">
        <v>15</v>
      </c>
      <c r="W204" s="2">
        <v>2.3162900000000001E-5</v>
      </c>
    </row>
    <row r="205" spans="1:23" x14ac:dyDescent="0.25">
      <c r="A205" t="s">
        <v>31</v>
      </c>
      <c r="B205" t="s">
        <v>32</v>
      </c>
      <c r="C205" t="s">
        <v>33</v>
      </c>
      <c r="D205" t="s">
        <v>34</v>
      </c>
      <c r="E205" t="s">
        <v>35</v>
      </c>
      <c r="F205" t="s">
        <v>36</v>
      </c>
      <c r="G205">
        <v>1141685</v>
      </c>
      <c r="H205" t="s">
        <v>77</v>
      </c>
      <c r="I205" t="s">
        <v>96</v>
      </c>
      <c r="J205" t="s">
        <v>77</v>
      </c>
      <c r="K205" t="s">
        <v>113</v>
      </c>
      <c r="L205" s="1">
        <v>46143</v>
      </c>
      <c r="M205" s="1">
        <v>46173</v>
      </c>
      <c r="N205">
        <v>346.50443540980001</v>
      </c>
      <c r="O205" t="s">
        <v>56</v>
      </c>
      <c r="P205" t="s">
        <v>63</v>
      </c>
      <c r="Q205" t="s">
        <v>1672</v>
      </c>
      <c r="R205" t="s">
        <v>1678</v>
      </c>
      <c r="S205" t="s">
        <v>67</v>
      </c>
      <c r="T205" t="s">
        <v>1852</v>
      </c>
      <c r="U205" t="s">
        <v>2010</v>
      </c>
      <c r="V205">
        <v>16</v>
      </c>
      <c r="W205" s="2">
        <v>60451.164145401199</v>
      </c>
    </row>
    <row r="206" spans="1:23" x14ac:dyDescent="0.25">
      <c r="A206" t="s">
        <v>31</v>
      </c>
      <c r="B206" t="s">
        <v>32</v>
      </c>
      <c r="C206" t="s">
        <v>33</v>
      </c>
      <c r="D206" t="s">
        <v>34</v>
      </c>
      <c r="E206" t="s">
        <v>35</v>
      </c>
      <c r="F206" t="s">
        <v>36</v>
      </c>
      <c r="G206">
        <v>1141685</v>
      </c>
      <c r="H206" t="s">
        <v>88</v>
      </c>
      <c r="I206" t="s">
        <v>88</v>
      </c>
      <c r="J206" t="s">
        <v>88</v>
      </c>
      <c r="K206" t="s">
        <v>134</v>
      </c>
      <c r="L206" s="1">
        <v>46143</v>
      </c>
      <c r="M206" s="1">
        <v>46173</v>
      </c>
      <c r="N206">
        <v>3.0028290000000002</v>
      </c>
      <c r="O206" t="s">
        <v>60</v>
      </c>
      <c r="P206" t="s">
        <v>63</v>
      </c>
      <c r="Q206" t="s">
        <v>1674</v>
      </c>
      <c r="R206" t="s">
        <v>1692</v>
      </c>
      <c r="S206" t="s">
        <v>67</v>
      </c>
      <c r="T206" t="s">
        <v>1853</v>
      </c>
      <c r="U206" t="s">
        <v>2011</v>
      </c>
      <c r="V206">
        <v>8</v>
      </c>
      <c r="W206" s="2">
        <v>1466.8444206424999</v>
      </c>
    </row>
    <row r="207" spans="1:23" x14ac:dyDescent="0.25">
      <c r="A207" t="s">
        <v>31</v>
      </c>
      <c r="B207" t="s">
        <v>32</v>
      </c>
      <c r="C207" t="s">
        <v>33</v>
      </c>
      <c r="D207" t="s">
        <v>34</v>
      </c>
      <c r="E207" t="s">
        <v>35</v>
      </c>
      <c r="F207" t="s">
        <v>36</v>
      </c>
      <c r="G207">
        <v>1141685</v>
      </c>
      <c r="H207" t="s">
        <v>85</v>
      </c>
      <c r="I207" t="s">
        <v>85</v>
      </c>
      <c r="J207" t="s">
        <v>85</v>
      </c>
      <c r="K207" t="s">
        <v>123</v>
      </c>
      <c r="L207" s="1">
        <v>46143</v>
      </c>
      <c r="M207" s="1">
        <v>46173</v>
      </c>
      <c r="N207">
        <v>33120</v>
      </c>
      <c r="O207" t="s">
        <v>61</v>
      </c>
      <c r="P207" t="s">
        <v>63</v>
      </c>
      <c r="Q207" t="s">
        <v>1674</v>
      </c>
      <c r="R207" t="s">
        <v>1698</v>
      </c>
      <c r="S207" t="s">
        <v>66</v>
      </c>
      <c r="T207" t="s">
        <v>625</v>
      </c>
      <c r="U207" t="s">
        <v>810</v>
      </c>
      <c r="V207">
        <v>6</v>
      </c>
      <c r="W207" s="2">
        <v>338019.74049599998</v>
      </c>
    </row>
    <row r="208" spans="1:23" x14ac:dyDescent="0.25">
      <c r="A208" t="s">
        <v>31</v>
      </c>
      <c r="B208" t="s">
        <v>32</v>
      </c>
      <c r="C208" t="s">
        <v>33</v>
      </c>
      <c r="D208" t="s">
        <v>34</v>
      </c>
      <c r="E208" t="s">
        <v>35</v>
      </c>
      <c r="F208" t="s">
        <v>36</v>
      </c>
      <c r="G208">
        <v>1141685</v>
      </c>
      <c r="H208" t="s">
        <v>75</v>
      </c>
      <c r="I208" t="s">
        <v>94</v>
      </c>
      <c r="J208" t="s">
        <v>98</v>
      </c>
      <c r="K208" t="s">
        <v>108</v>
      </c>
      <c r="L208" s="1">
        <v>46143</v>
      </c>
      <c r="M208" s="1">
        <v>46173</v>
      </c>
      <c r="N208">
        <v>1.2367553999999999E-3</v>
      </c>
      <c r="O208" t="s">
        <v>56</v>
      </c>
      <c r="P208" t="s">
        <v>63</v>
      </c>
      <c r="Q208" t="s">
        <v>1672</v>
      </c>
      <c r="R208" t="s">
        <v>1676</v>
      </c>
      <c r="S208" t="s">
        <v>67</v>
      </c>
      <c r="T208" t="s">
        <v>1854</v>
      </c>
      <c r="U208" t="s">
        <v>2012</v>
      </c>
      <c r="V208">
        <v>16</v>
      </c>
      <c r="W208" s="2">
        <v>2.5884715067999999</v>
      </c>
    </row>
    <row r="209" spans="1:23" x14ac:dyDescent="0.25">
      <c r="A209" t="s">
        <v>31</v>
      </c>
      <c r="B209" t="s">
        <v>32</v>
      </c>
      <c r="C209" t="s">
        <v>33</v>
      </c>
      <c r="D209" t="s">
        <v>34</v>
      </c>
      <c r="E209" t="s">
        <v>35</v>
      </c>
      <c r="F209" t="s">
        <v>36</v>
      </c>
      <c r="G209">
        <v>1141685</v>
      </c>
      <c r="H209" t="s">
        <v>89</v>
      </c>
      <c r="I209" t="s">
        <v>89</v>
      </c>
      <c r="J209" t="s">
        <v>89</v>
      </c>
      <c r="K209" t="s">
        <v>127</v>
      </c>
      <c r="L209" s="1">
        <v>46143</v>
      </c>
      <c r="M209" s="1">
        <v>46173</v>
      </c>
      <c r="N209">
        <v>3.57E-4</v>
      </c>
      <c r="O209" t="s">
        <v>60</v>
      </c>
      <c r="P209" t="s">
        <v>63</v>
      </c>
      <c r="Q209" t="s">
        <v>1674</v>
      </c>
      <c r="R209" t="s">
        <v>1692</v>
      </c>
      <c r="S209" t="s">
        <v>67</v>
      </c>
      <c r="T209" t="s">
        <v>1855</v>
      </c>
      <c r="U209" t="s">
        <v>2013</v>
      </c>
      <c r="V209">
        <v>8</v>
      </c>
      <c r="W209" s="2">
        <v>0</v>
      </c>
    </row>
    <row r="210" spans="1:23" x14ac:dyDescent="0.25">
      <c r="A210" t="s">
        <v>31</v>
      </c>
      <c r="B210" t="s">
        <v>32</v>
      </c>
      <c r="C210" t="s">
        <v>33</v>
      </c>
      <c r="D210" t="s">
        <v>34</v>
      </c>
      <c r="E210" t="s">
        <v>35</v>
      </c>
      <c r="F210" t="s">
        <v>36</v>
      </c>
      <c r="G210">
        <v>1141685</v>
      </c>
      <c r="H210" t="s">
        <v>76</v>
      </c>
      <c r="I210" t="s">
        <v>95</v>
      </c>
      <c r="J210" t="s">
        <v>99</v>
      </c>
      <c r="K210" t="s">
        <v>109</v>
      </c>
      <c r="L210" s="1">
        <v>46143</v>
      </c>
      <c r="M210" s="1">
        <v>46173</v>
      </c>
      <c r="N210">
        <v>358</v>
      </c>
      <c r="O210" t="s">
        <v>58</v>
      </c>
      <c r="P210" t="s">
        <v>63</v>
      </c>
      <c r="Q210" t="s">
        <v>1673</v>
      </c>
      <c r="R210" t="s">
        <v>1678</v>
      </c>
      <c r="S210" t="s">
        <v>67</v>
      </c>
      <c r="T210" t="s">
        <v>1716</v>
      </c>
      <c r="U210" t="s">
        <v>1874</v>
      </c>
      <c r="V210">
        <v>16</v>
      </c>
      <c r="W210" s="2">
        <v>0</v>
      </c>
    </row>
    <row r="211" spans="1:23" x14ac:dyDescent="0.25">
      <c r="A211" t="s">
        <v>31</v>
      </c>
      <c r="B211" t="s">
        <v>32</v>
      </c>
      <c r="C211" t="s">
        <v>33</v>
      </c>
      <c r="D211" t="s">
        <v>34</v>
      </c>
      <c r="E211" t="s">
        <v>35</v>
      </c>
      <c r="F211" t="s">
        <v>36</v>
      </c>
      <c r="G211">
        <v>1141685</v>
      </c>
      <c r="H211" t="s">
        <v>76</v>
      </c>
      <c r="I211" t="s">
        <v>95</v>
      </c>
      <c r="J211" t="s">
        <v>99</v>
      </c>
      <c r="K211" t="s">
        <v>109</v>
      </c>
      <c r="L211" s="1">
        <v>46143</v>
      </c>
      <c r="M211" s="1">
        <v>46173</v>
      </c>
      <c r="N211">
        <v>76</v>
      </c>
      <c r="O211" t="s">
        <v>58</v>
      </c>
      <c r="P211" t="s">
        <v>63</v>
      </c>
      <c r="Q211" t="s">
        <v>1673</v>
      </c>
      <c r="R211" t="s">
        <v>1678</v>
      </c>
      <c r="S211" t="s">
        <v>67</v>
      </c>
      <c r="T211" t="s">
        <v>1716</v>
      </c>
      <c r="U211" t="s">
        <v>1874</v>
      </c>
      <c r="V211">
        <v>16</v>
      </c>
      <c r="W211" s="2">
        <v>0</v>
      </c>
    </row>
    <row r="212" spans="1:23" x14ac:dyDescent="0.25">
      <c r="A212" t="s">
        <v>31</v>
      </c>
      <c r="B212" t="s">
        <v>32</v>
      </c>
      <c r="C212" t="s">
        <v>33</v>
      </c>
      <c r="D212" t="s">
        <v>34</v>
      </c>
      <c r="E212" t="s">
        <v>35</v>
      </c>
      <c r="F212" t="s">
        <v>36</v>
      </c>
      <c r="G212">
        <v>1141685</v>
      </c>
      <c r="H212" t="s">
        <v>76</v>
      </c>
      <c r="I212" t="s">
        <v>95</v>
      </c>
      <c r="J212" t="s">
        <v>99</v>
      </c>
      <c r="K212" t="s">
        <v>109</v>
      </c>
      <c r="L212" s="1">
        <v>46143</v>
      </c>
      <c r="M212" s="1">
        <v>46173</v>
      </c>
      <c r="N212">
        <v>1.966704</v>
      </c>
      <c r="O212" t="s">
        <v>58</v>
      </c>
      <c r="P212" t="s">
        <v>63</v>
      </c>
      <c r="Q212" t="s">
        <v>1673</v>
      </c>
      <c r="R212" t="s">
        <v>1678</v>
      </c>
      <c r="S212" t="s">
        <v>67</v>
      </c>
      <c r="T212" t="s">
        <v>1716</v>
      </c>
      <c r="U212" t="s">
        <v>1874</v>
      </c>
      <c r="V212">
        <v>16</v>
      </c>
      <c r="W212" s="2">
        <v>0</v>
      </c>
    </row>
    <row r="213" spans="1:23" x14ac:dyDescent="0.25">
      <c r="A213" t="s">
        <v>31</v>
      </c>
      <c r="B213" t="s">
        <v>32</v>
      </c>
      <c r="C213" t="s">
        <v>33</v>
      </c>
      <c r="D213" t="s">
        <v>34</v>
      </c>
      <c r="E213" t="s">
        <v>35</v>
      </c>
      <c r="F213" t="s">
        <v>36</v>
      </c>
      <c r="G213">
        <v>1141685</v>
      </c>
      <c r="H213" t="s">
        <v>76</v>
      </c>
      <c r="I213" t="s">
        <v>95</v>
      </c>
      <c r="J213" t="s">
        <v>99</v>
      </c>
      <c r="K213" t="s">
        <v>109</v>
      </c>
      <c r="L213" s="1">
        <v>46143</v>
      </c>
      <c r="M213" s="1">
        <v>46173</v>
      </c>
      <c r="N213">
        <v>0.20000299999999999</v>
      </c>
      <c r="O213" t="s">
        <v>58</v>
      </c>
      <c r="P213" t="s">
        <v>63</v>
      </c>
      <c r="Q213" t="s">
        <v>1673</v>
      </c>
      <c r="R213" t="s">
        <v>1678</v>
      </c>
      <c r="S213" t="s">
        <v>67</v>
      </c>
      <c r="T213" t="s">
        <v>1716</v>
      </c>
      <c r="U213" t="s">
        <v>1874</v>
      </c>
      <c r="V213">
        <v>16</v>
      </c>
      <c r="W213" s="2">
        <v>0</v>
      </c>
    </row>
    <row r="214" spans="1:23" x14ac:dyDescent="0.25">
      <c r="A214" t="s">
        <v>31</v>
      </c>
      <c r="B214" t="s">
        <v>32</v>
      </c>
      <c r="C214" t="s">
        <v>33</v>
      </c>
      <c r="D214" t="s">
        <v>34</v>
      </c>
      <c r="E214" t="s">
        <v>35</v>
      </c>
      <c r="F214" t="s">
        <v>36</v>
      </c>
      <c r="G214">
        <v>1141685</v>
      </c>
      <c r="H214" t="s">
        <v>75</v>
      </c>
      <c r="I214" t="s">
        <v>94</v>
      </c>
      <c r="J214" t="s">
        <v>98</v>
      </c>
      <c r="K214" t="s">
        <v>108</v>
      </c>
      <c r="L214" s="1">
        <v>46143</v>
      </c>
      <c r="M214" s="1">
        <v>46173</v>
      </c>
      <c r="N214">
        <v>0.3910370292</v>
      </c>
      <c r="O214" t="s">
        <v>56</v>
      </c>
      <c r="P214" t="s">
        <v>63</v>
      </c>
      <c r="Q214" t="s">
        <v>1672</v>
      </c>
      <c r="R214" t="s">
        <v>1678</v>
      </c>
      <c r="S214" t="s">
        <v>67</v>
      </c>
      <c r="T214" t="s">
        <v>1856</v>
      </c>
      <c r="U214" t="s">
        <v>2014</v>
      </c>
      <c r="V214">
        <v>16</v>
      </c>
      <c r="W214" s="2">
        <v>818.64658043049997</v>
      </c>
    </row>
    <row r="215" spans="1:23" x14ac:dyDescent="0.25">
      <c r="A215" t="s">
        <v>31</v>
      </c>
      <c r="B215" t="s">
        <v>32</v>
      </c>
      <c r="C215" t="s">
        <v>33</v>
      </c>
      <c r="D215" t="s">
        <v>34</v>
      </c>
      <c r="E215" t="s">
        <v>35</v>
      </c>
      <c r="F215" t="s">
        <v>36</v>
      </c>
      <c r="G215">
        <v>1141685</v>
      </c>
      <c r="H215" t="s">
        <v>82</v>
      </c>
      <c r="I215" t="s">
        <v>82</v>
      </c>
      <c r="J215" t="s">
        <v>82</v>
      </c>
      <c r="K215" t="s">
        <v>120</v>
      </c>
      <c r="L215" s="1">
        <v>46143</v>
      </c>
      <c r="M215" s="1">
        <v>46173</v>
      </c>
      <c r="N215">
        <v>1</v>
      </c>
      <c r="O215" t="s">
        <v>61</v>
      </c>
      <c r="P215" t="s">
        <v>63</v>
      </c>
      <c r="Q215" t="s">
        <v>1675</v>
      </c>
      <c r="R215" t="s">
        <v>147</v>
      </c>
      <c r="S215" t="s">
        <v>68</v>
      </c>
      <c r="T215" t="s">
        <v>1806</v>
      </c>
      <c r="U215" t="s">
        <v>1964</v>
      </c>
      <c r="V215">
        <v>7</v>
      </c>
      <c r="W215" s="2">
        <v>2691.9341720419998</v>
      </c>
    </row>
    <row r="216" spans="1:23" x14ac:dyDescent="0.25">
      <c r="A216" t="s">
        <v>31</v>
      </c>
      <c r="B216" t="s">
        <v>32</v>
      </c>
      <c r="C216" t="s">
        <v>33</v>
      </c>
      <c r="D216" t="s">
        <v>34</v>
      </c>
      <c r="E216" t="s">
        <v>35</v>
      </c>
      <c r="F216" t="s">
        <v>36</v>
      </c>
      <c r="G216">
        <v>1141685</v>
      </c>
      <c r="H216" t="s">
        <v>3065</v>
      </c>
      <c r="I216" t="s">
        <v>42</v>
      </c>
      <c r="J216" t="s">
        <v>3065</v>
      </c>
      <c r="K216" t="s">
        <v>3066</v>
      </c>
      <c r="L216" s="4">
        <v>46173</v>
      </c>
      <c r="M216" s="4">
        <v>46173</v>
      </c>
      <c r="N216">
        <v>1143.22</v>
      </c>
      <c r="O216" t="s">
        <v>59</v>
      </c>
      <c r="P216" t="s">
        <v>63</v>
      </c>
      <c r="Q216" t="s">
        <v>3876</v>
      </c>
      <c r="R216" t="s">
        <v>3877</v>
      </c>
      <c r="S216" t="s">
        <v>66</v>
      </c>
      <c r="T216" t="s">
        <v>3878</v>
      </c>
      <c r="U216" t="s">
        <v>3879</v>
      </c>
      <c r="V216">
        <v>7</v>
      </c>
      <c r="W216" s="2">
        <v>29016</v>
      </c>
    </row>
    <row r="217" spans="1:23" x14ac:dyDescent="0.25">
      <c r="A217" t="s">
        <v>31</v>
      </c>
      <c r="B217" t="s">
        <v>32</v>
      </c>
      <c r="C217" t="s">
        <v>33</v>
      </c>
      <c r="D217" t="s">
        <v>34</v>
      </c>
      <c r="E217" t="s">
        <v>35</v>
      </c>
      <c r="F217" t="s">
        <v>36</v>
      </c>
      <c r="G217">
        <v>1141685</v>
      </c>
      <c r="H217" t="s">
        <v>3065</v>
      </c>
      <c r="I217" t="s">
        <v>42</v>
      </c>
      <c r="J217" t="s">
        <v>3065</v>
      </c>
      <c r="K217" t="s">
        <v>3066</v>
      </c>
      <c r="L217" s="4">
        <v>46173</v>
      </c>
      <c r="M217" s="4">
        <v>46173</v>
      </c>
      <c r="N217">
        <v>1143.22</v>
      </c>
      <c r="O217" t="s">
        <v>59</v>
      </c>
      <c r="P217" t="s">
        <v>63</v>
      </c>
      <c r="Q217" t="s">
        <v>3876</v>
      </c>
      <c r="R217" t="s">
        <v>3877</v>
      </c>
      <c r="S217" t="s">
        <v>66</v>
      </c>
      <c r="T217" t="s">
        <v>3878</v>
      </c>
      <c r="U217" t="s">
        <v>3879</v>
      </c>
      <c r="V217">
        <v>7</v>
      </c>
      <c r="W217" s="2">
        <v>29016</v>
      </c>
    </row>
    <row r="218" spans="1:23" x14ac:dyDescent="0.25">
      <c r="A218" t="s">
        <v>31</v>
      </c>
      <c r="B218" t="s">
        <v>32</v>
      </c>
      <c r="C218" t="s">
        <v>33</v>
      </c>
      <c r="D218" t="s">
        <v>34</v>
      </c>
      <c r="E218" t="s">
        <v>35</v>
      </c>
      <c r="F218" t="s">
        <v>36</v>
      </c>
      <c r="G218">
        <v>1141685</v>
      </c>
      <c r="H218" t="s">
        <v>3065</v>
      </c>
      <c r="I218" t="s">
        <v>42</v>
      </c>
      <c r="J218" t="s">
        <v>3065</v>
      </c>
      <c r="K218" t="s">
        <v>3066</v>
      </c>
      <c r="L218" s="4">
        <v>46173</v>
      </c>
      <c r="M218" s="4">
        <v>46173</v>
      </c>
      <c r="N218">
        <v>1143.22</v>
      </c>
      <c r="O218" t="s">
        <v>59</v>
      </c>
      <c r="P218" t="s">
        <v>63</v>
      </c>
      <c r="Q218" t="s">
        <v>3876</v>
      </c>
      <c r="R218" t="s">
        <v>3877</v>
      </c>
      <c r="S218" t="s">
        <v>66</v>
      </c>
      <c r="T218" t="s">
        <v>3878</v>
      </c>
      <c r="U218" t="s">
        <v>3879</v>
      </c>
      <c r="V218">
        <v>7</v>
      </c>
      <c r="W218" s="2">
        <v>29016</v>
      </c>
    </row>
    <row r="219" spans="1:23" x14ac:dyDescent="0.25">
      <c r="A219" t="s">
        <v>31</v>
      </c>
      <c r="B219" t="s">
        <v>32</v>
      </c>
      <c r="C219" t="s">
        <v>33</v>
      </c>
      <c r="D219" t="s">
        <v>34</v>
      </c>
      <c r="E219" t="s">
        <v>35</v>
      </c>
      <c r="F219" t="s">
        <v>36</v>
      </c>
      <c r="G219">
        <v>1141685</v>
      </c>
      <c r="H219" t="s">
        <v>3065</v>
      </c>
      <c r="I219" t="s">
        <v>42</v>
      </c>
      <c r="J219" t="s">
        <v>3065</v>
      </c>
      <c r="K219" t="s">
        <v>3066</v>
      </c>
      <c r="L219" s="4">
        <v>46173</v>
      </c>
      <c r="M219" s="4">
        <v>46173</v>
      </c>
      <c r="N219">
        <v>1143.22</v>
      </c>
      <c r="O219" t="s">
        <v>59</v>
      </c>
      <c r="P219" t="s">
        <v>63</v>
      </c>
      <c r="Q219" t="s">
        <v>3876</v>
      </c>
      <c r="R219" t="s">
        <v>3877</v>
      </c>
      <c r="S219" t="s">
        <v>66</v>
      </c>
      <c r="T219" t="s">
        <v>3878</v>
      </c>
      <c r="U219" t="s">
        <v>3879</v>
      </c>
      <c r="V219">
        <v>7</v>
      </c>
      <c r="W219" s="2">
        <v>29016</v>
      </c>
    </row>
    <row r="220" spans="1:23" x14ac:dyDescent="0.25">
      <c r="A220" t="s">
        <v>31</v>
      </c>
      <c r="B220" t="s">
        <v>32</v>
      </c>
      <c r="C220" t="s">
        <v>33</v>
      </c>
      <c r="D220" t="s">
        <v>34</v>
      </c>
      <c r="E220" t="s">
        <v>35</v>
      </c>
      <c r="F220" t="s">
        <v>36</v>
      </c>
      <c r="G220">
        <v>1141685</v>
      </c>
      <c r="H220" t="s">
        <v>3065</v>
      </c>
      <c r="I220" t="s">
        <v>42</v>
      </c>
      <c r="J220" t="s">
        <v>3065</v>
      </c>
      <c r="K220" t="s">
        <v>3066</v>
      </c>
      <c r="L220" s="4">
        <v>46173</v>
      </c>
      <c r="M220" s="4">
        <v>46173</v>
      </c>
      <c r="N220">
        <v>1143.22</v>
      </c>
      <c r="O220" t="s">
        <v>59</v>
      </c>
      <c r="P220" t="s">
        <v>63</v>
      </c>
      <c r="Q220" t="s">
        <v>3876</v>
      </c>
      <c r="R220" t="s">
        <v>3877</v>
      </c>
      <c r="S220" t="s">
        <v>66</v>
      </c>
      <c r="T220" t="s">
        <v>3878</v>
      </c>
      <c r="U220" t="s">
        <v>3879</v>
      </c>
      <c r="V220">
        <v>7</v>
      </c>
      <c r="W220" s="2">
        <v>29016</v>
      </c>
    </row>
    <row r="221" spans="1:23" x14ac:dyDescent="0.25">
      <c r="A221" t="s">
        <v>31</v>
      </c>
      <c r="B221" t="s">
        <v>32</v>
      </c>
      <c r="C221" t="s">
        <v>33</v>
      </c>
      <c r="D221" t="s">
        <v>34</v>
      </c>
      <c r="E221" t="s">
        <v>35</v>
      </c>
      <c r="F221" t="s">
        <v>36</v>
      </c>
      <c r="G221">
        <v>1141685</v>
      </c>
      <c r="H221" t="s">
        <v>3065</v>
      </c>
      <c r="I221" t="s">
        <v>42</v>
      </c>
      <c r="J221" t="s">
        <v>3065</v>
      </c>
      <c r="K221" t="s">
        <v>3066</v>
      </c>
      <c r="L221" s="4">
        <v>46173</v>
      </c>
      <c r="M221" s="4">
        <v>46173</v>
      </c>
      <c r="N221">
        <v>1143.22</v>
      </c>
      <c r="O221" t="s">
        <v>59</v>
      </c>
      <c r="P221" t="s">
        <v>63</v>
      </c>
      <c r="Q221" t="s">
        <v>3876</v>
      </c>
      <c r="R221" t="s">
        <v>3877</v>
      </c>
      <c r="S221" t="s">
        <v>66</v>
      </c>
      <c r="T221" t="s">
        <v>3878</v>
      </c>
      <c r="U221" t="s">
        <v>3879</v>
      </c>
      <c r="V221">
        <v>7</v>
      </c>
      <c r="W221" s="2">
        <v>29016</v>
      </c>
    </row>
    <row r="222" spans="1:23" x14ac:dyDescent="0.25">
      <c r="A222" t="s">
        <v>31</v>
      </c>
      <c r="B222" t="s">
        <v>32</v>
      </c>
      <c r="C222" t="s">
        <v>33</v>
      </c>
      <c r="D222" t="s">
        <v>34</v>
      </c>
      <c r="E222" t="s">
        <v>35</v>
      </c>
      <c r="F222" t="s">
        <v>36</v>
      </c>
      <c r="G222">
        <v>1141685</v>
      </c>
      <c r="H222" t="s">
        <v>3065</v>
      </c>
      <c r="I222" t="s">
        <v>42</v>
      </c>
      <c r="J222" t="s">
        <v>3065</v>
      </c>
      <c r="K222" t="s">
        <v>3066</v>
      </c>
      <c r="L222" s="4">
        <v>46173</v>
      </c>
      <c r="M222" s="4">
        <v>46173</v>
      </c>
      <c r="N222">
        <v>1143.22</v>
      </c>
      <c r="O222" t="s">
        <v>59</v>
      </c>
      <c r="P222" t="s">
        <v>63</v>
      </c>
      <c r="Q222" t="s">
        <v>3876</v>
      </c>
      <c r="R222" t="s">
        <v>3877</v>
      </c>
      <c r="S222" t="s">
        <v>66</v>
      </c>
      <c r="T222" t="s">
        <v>3878</v>
      </c>
      <c r="U222" t="s">
        <v>3879</v>
      </c>
      <c r="V222">
        <v>7</v>
      </c>
      <c r="W222" s="2">
        <v>29016</v>
      </c>
    </row>
    <row r="223" spans="1:23" x14ac:dyDescent="0.25">
      <c r="A223" t="s">
        <v>31</v>
      </c>
      <c r="B223" t="s">
        <v>32</v>
      </c>
      <c r="C223" t="s">
        <v>33</v>
      </c>
      <c r="D223" t="s">
        <v>34</v>
      </c>
      <c r="E223" t="s">
        <v>35</v>
      </c>
      <c r="F223" t="s">
        <v>36</v>
      </c>
      <c r="G223">
        <v>1141685</v>
      </c>
      <c r="H223" t="s">
        <v>3065</v>
      </c>
      <c r="I223" t="s">
        <v>42</v>
      </c>
      <c r="J223" t="s">
        <v>3065</v>
      </c>
      <c r="K223" t="s">
        <v>3066</v>
      </c>
      <c r="L223" s="4">
        <v>46173</v>
      </c>
      <c r="M223" s="4">
        <v>46173</v>
      </c>
      <c r="N223">
        <v>1143.22</v>
      </c>
      <c r="O223" t="s">
        <v>59</v>
      </c>
      <c r="P223" t="s">
        <v>63</v>
      </c>
      <c r="Q223" t="s">
        <v>3876</v>
      </c>
      <c r="R223" t="s">
        <v>3877</v>
      </c>
      <c r="S223" t="s">
        <v>66</v>
      </c>
      <c r="T223" t="s">
        <v>3878</v>
      </c>
      <c r="U223" t="s">
        <v>3879</v>
      </c>
      <c r="V223">
        <v>7</v>
      </c>
      <c r="W223" s="2">
        <v>29016</v>
      </c>
    </row>
    <row r="224" spans="1:23" x14ac:dyDescent="0.25">
      <c r="A224" t="s">
        <v>31</v>
      </c>
      <c r="B224" t="s">
        <v>32</v>
      </c>
      <c r="C224" t="s">
        <v>33</v>
      </c>
      <c r="D224" t="s">
        <v>34</v>
      </c>
      <c r="E224" t="s">
        <v>35</v>
      </c>
      <c r="F224" t="s">
        <v>36</v>
      </c>
      <c r="G224">
        <v>1141685</v>
      </c>
      <c r="H224" t="s">
        <v>3065</v>
      </c>
      <c r="I224" t="s">
        <v>42</v>
      </c>
      <c r="J224" t="s">
        <v>3065</v>
      </c>
      <c r="K224" t="s">
        <v>3066</v>
      </c>
      <c r="L224" s="4">
        <v>46173</v>
      </c>
      <c r="M224" s="4">
        <v>46173</v>
      </c>
      <c r="N224">
        <v>1143.22</v>
      </c>
      <c r="O224" t="s">
        <v>59</v>
      </c>
      <c r="P224" t="s">
        <v>63</v>
      </c>
      <c r="Q224" t="s">
        <v>3876</v>
      </c>
      <c r="R224" t="s">
        <v>3877</v>
      </c>
      <c r="S224" t="s">
        <v>66</v>
      </c>
      <c r="T224" t="s">
        <v>3878</v>
      </c>
      <c r="U224" t="s">
        <v>3879</v>
      </c>
      <c r="V224">
        <v>7</v>
      </c>
      <c r="W224" s="2">
        <v>29016</v>
      </c>
    </row>
    <row r="225" spans="1:23" x14ac:dyDescent="0.25">
      <c r="A225" t="s">
        <v>31</v>
      </c>
      <c r="B225" t="s">
        <v>32</v>
      </c>
      <c r="C225" t="s">
        <v>33</v>
      </c>
      <c r="D225" t="s">
        <v>34</v>
      </c>
      <c r="E225" t="s">
        <v>35</v>
      </c>
      <c r="F225" t="s">
        <v>36</v>
      </c>
      <c r="G225">
        <v>1141685</v>
      </c>
      <c r="H225" t="s">
        <v>3065</v>
      </c>
      <c r="I225" t="s">
        <v>42</v>
      </c>
      <c r="J225" t="s">
        <v>3065</v>
      </c>
      <c r="K225" t="s">
        <v>3066</v>
      </c>
      <c r="L225" s="4">
        <v>46173</v>
      </c>
      <c r="M225" s="4">
        <v>46173</v>
      </c>
      <c r="N225">
        <v>1143.22</v>
      </c>
      <c r="O225" t="s">
        <v>59</v>
      </c>
      <c r="P225" t="s">
        <v>63</v>
      </c>
      <c r="Q225" t="s">
        <v>3876</v>
      </c>
      <c r="R225" t="s">
        <v>3877</v>
      </c>
      <c r="S225" t="s">
        <v>66</v>
      </c>
      <c r="T225" t="s">
        <v>3878</v>
      </c>
      <c r="U225" t="s">
        <v>3879</v>
      </c>
      <c r="V225">
        <v>7</v>
      </c>
      <c r="W225" s="2">
        <v>29016</v>
      </c>
    </row>
    <row r="226" spans="1:23" x14ac:dyDescent="0.25">
      <c r="A226" t="s">
        <v>31</v>
      </c>
      <c r="B226" t="s">
        <v>32</v>
      </c>
      <c r="C226" t="s">
        <v>33</v>
      </c>
      <c r="D226" t="s">
        <v>34</v>
      </c>
      <c r="E226" t="s">
        <v>35</v>
      </c>
      <c r="F226" t="s">
        <v>36</v>
      </c>
      <c r="G226">
        <v>1141685</v>
      </c>
      <c r="H226" t="s">
        <v>3065</v>
      </c>
      <c r="I226" t="s">
        <v>42</v>
      </c>
      <c r="J226" t="s">
        <v>3065</v>
      </c>
      <c r="K226" t="s">
        <v>3066</v>
      </c>
      <c r="L226" s="4">
        <v>46173</v>
      </c>
      <c r="M226" s="4">
        <v>46173</v>
      </c>
      <c r="N226">
        <v>1143.22</v>
      </c>
      <c r="O226" t="s">
        <v>59</v>
      </c>
      <c r="P226" t="s">
        <v>63</v>
      </c>
      <c r="Q226" t="s">
        <v>3876</v>
      </c>
      <c r="R226" t="s">
        <v>3877</v>
      </c>
      <c r="S226" t="s">
        <v>66</v>
      </c>
      <c r="T226" t="s">
        <v>3878</v>
      </c>
      <c r="U226" t="s">
        <v>3879</v>
      </c>
      <c r="V226">
        <v>7</v>
      </c>
      <c r="W226" s="2">
        <v>29016</v>
      </c>
    </row>
    <row r="227" spans="1:23" x14ac:dyDescent="0.25">
      <c r="A227" t="s">
        <v>31</v>
      </c>
      <c r="B227" t="s">
        <v>32</v>
      </c>
      <c r="C227" t="s">
        <v>33</v>
      </c>
      <c r="D227" t="s">
        <v>34</v>
      </c>
      <c r="E227" t="s">
        <v>35</v>
      </c>
      <c r="F227" t="s">
        <v>36</v>
      </c>
      <c r="G227">
        <v>1141685</v>
      </c>
      <c r="H227" t="s">
        <v>3065</v>
      </c>
      <c r="I227" t="s">
        <v>42</v>
      </c>
      <c r="J227" t="s">
        <v>3065</v>
      </c>
      <c r="K227" t="s">
        <v>3066</v>
      </c>
      <c r="L227" s="4">
        <v>46173</v>
      </c>
      <c r="M227" s="4">
        <v>46173</v>
      </c>
      <c r="N227">
        <v>1143.22</v>
      </c>
      <c r="O227" t="s">
        <v>59</v>
      </c>
      <c r="P227" t="s">
        <v>63</v>
      </c>
      <c r="Q227" t="s">
        <v>3876</v>
      </c>
      <c r="R227" t="s">
        <v>3877</v>
      </c>
      <c r="S227" t="s">
        <v>66</v>
      </c>
      <c r="T227" t="s">
        <v>3878</v>
      </c>
      <c r="U227" t="s">
        <v>3879</v>
      </c>
      <c r="V227">
        <v>7</v>
      </c>
      <c r="W227" s="2">
        <v>29016</v>
      </c>
    </row>
    <row r="228" spans="1:23" x14ac:dyDescent="0.25">
      <c r="A228" t="s">
        <v>31</v>
      </c>
      <c r="B228" t="s">
        <v>32</v>
      </c>
      <c r="C228" t="s">
        <v>33</v>
      </c>
      <c r="D228" t="s">
        <v>34</v>
      </c>
      <c r="E228" t="s">
        <v>35</v>
      </c>
      <c r="F228" t="s">
        <v>36</v>
      </c>
      <c r="G228">
        <v>1141685</v>
      </c>
      <c r="H228" t="s">
        <v>3065</v>
      </c>
      <c r="I228" t="s">
        <v>42</v>
      </c>
      <c r="J228" t="s">
        <v>3065</v>
      </c>
      <c r="K228" t="s">
        <v>3066</v>
      </c>
      <c r="L228" s="4">
        <v>46173</v>
      </c>
      <c r="M228" s="4">
        <v>46173</v>
      </c>
      <c r="N228">
        <v>1143.22</v>
      </c>
      <c r="O228" t="s">
        <v>59</v>
      </c>
      <c r="P228" t="s">
        <v>63</v>
      </c>
      <c r="Q228" t="s">
        <v>3876</v>
      </c>
      <c r="R228" t="s">
        <v>3877</v>
      </c>
      <c r="S228" t="s">
        <v>66</v>
      </c>
      <c r="T228" t="s">
        <v>3878</v>
      </c>
      <c r="U228" t="s">
        <v>3879</v>
      </c>
      <c r="V228">
        <v>7</v>
      </c>
      <c r="W228" s="2">
        <v>29016</v>
      </c>
    </row>
    <row r="229" spans="1:23" x14ac:dyDescent="0.25">
      <c r="A229" t="s">
        <v>31</v>
      </c>
      <c r="B229" t="s">
        <v>32</v>
      </c>
      <c r="C229" t="s">
        <v>33</v>
      </c>
      <c r="D229" t="s">
        <v>34</v>
      </c>
      <c r="E229" t="s">
        <v>35</v>
      </c>
      <c r="F229" t="s">
        <v>36</v>
      </c>
      <c r="G229">
        <v>1141685</v>
      </c>
      <c r="H229" t="s">
        <v>3065</v>
      </c>
      <c r="I229" t="s">
        <v>42</v>
      </c>
      <c r="J229" t="s">
        <v>3065</v>
      </c>
      <c r="K229" t="s">
        <v>3066</v>
      </c>
      <c r="L229" s="4">
        <v>46173</v>
      </c>
      <c r="M229" s="4">
        <v>46173</v>
      </c>
      <c r="N229">
        <v>1143.22</v>
      </c>
      <c r="O229" t="s">
        <v>59</v>
      </c>
      <c r="P229" t="s">
        <v>63</v>
      </c>
      <c r="Q229" t="s">
        <v>3876</v>
      </c>
      <c r="R229" t="s">
        <v>3877</v>
      </c>
      <c r="S229" t="s">
        <v>66</v>
      </c>
      <c r="T229" t="s">
        <v>3878</v>
      </c>
      <c r="U229" t="s">
        <v>3879</v>
      </c>
      <c r="V229">
        <v>7</v>
      </c>
      <c r="W229" s="2">
        <v>29016</v>
      </c>
    </row>
    <row r="230" spans="1:23" x14ac:dyDescent="0.25">
      <c r="A230" t="s">
        <v>31</v>
      </c>
      <c r="B230" t="s">
        <v>32</v>
      </c>
      <c r="C230" t="s">
        <v>33</v>
      </c>
      <c r="D230" t="s">
        <v>34</v>
      </c>
      <c r="E230" t="s">
        <v>35</v>
      </c>
      <c r="F230" t="s">
        <v>36</v>
      </c>
      <c r="G230">
        <v>1141685</v>
      </c>
      <c r="H230" t="s">
        <v>3065</v>
      </c>
      <c r="I230" t="s">
        <v>42</v>
      </c>
      <c r="J230" t="s">
        <v>3065</v>
      </c>
      <c r="K230" t="s">
        <v>3066</v>
      </c>
      <c r="L230" s="4">
        <v>46173</v>
      </c>
      <c r="M230" s="4">
        <v>46173</v>
      </c>
      <c r="N230">
        <v>1143.22</v>
      </c>
      <c r="O230" t="s">
        <v>59</v>
      </c>
      <c r="P230" t="s">
        <v>63</v>
      </c>
      <c r="Q230" t="s">
        <v>3876</v>
      </c>
      <c r="R230" t="s">
        <v>3877</v>
      </c>
      <c r="S230" t="s">
        <v>66</v>
      </c>
      <c r="T230" t="s">
        <v>3878</v>
      </c>
      <c r="U230" t="s">
        <v>3879</v>
      </c>
      <c r="V230">
        <v>7</v>
      </c>
      <c r="W230" s="2">
        <v>29016</v>
      </c>
    </row>
    <row r="231" spans="1:23" x14ac:dyDescent="0.25">
      <c r="A231" t="s">
        <v>31</v>
      </c>
      <c r="B231" t="s">
        <v>32</v>
      </c>
      <c r="C231" t="s">
        <v>33</v>
      </c>
      <c r="D231" t="s">
        <v>34</v>
      </c>
      <c r="E231" t="s">
        <v>35</v>
      </c>
      <c r="F231" t="s">
        <v>36</v>
      </c>
      <c r="G231">
        <v>1141685</v>
      </c>
      <c r="H231" t="s">
        <v>3065</v>
      </c>
      <c r="I231" t="s">
        <v>42</v>
      </c>
      <c r="J231" t="s">
        <v>3065</v>
      </c>
      <c r="K231" t="s">
        <v>3066</v>
      </c>
      <c r="L231" s="4">
        <v>46173</v>
      </c>
      <c r="M231" s="4">
        <v>46173</v>
      </c>
      <c r="N231">
        <v>1143.22</v>
      </c>
      <c r="O231" t="s">
        <v>59</v>
      </c>
      <c r="P231" t="s">
        <v>63</v>
      </c>
      <c r="Q231" t="s">
        <v>3876</v>
      </c>
      <c r="R231" t="s">
        <v>3877</v>
      </c>
      <c r="S231" t="s">
        <v>66</v>
      </c>
      <c r="T231" t="s">
        <v>3878</v>
      </c>
      <c r="U231" t="s">
        <v>3879</v>
      </c>
      <c r="V231">
        <v>7</v>
      </c>
      <c r="W231" s="2">
        <v>29016</v>
      </c>
    </row>
    <row r="232" spans="1:23" x14ac:dyDescent="0.25">
      <c r="A232" t="s">
        <v>31</v>
      </c>
      <c r="B232" t="s">
        <v>32</v>
      </c>
      <c r="C232" t="s">
        <v>33</v>
      </c>
      <c r="D232" t="s">
        <v>34</v>
      </c>
      <c r="E232" t="s">
        <v>35</v>
      </c>
      <c r="F232" t="s">
        <v>36</v>
      </c>
      <c r="G232">
        <v>1141685</v>
      </c>
      <c r="H232" t="s">
        <v>3065</v>
      </c>
      <c r="I232" t="s">
        <v>42</v>
      </c>
      <c r="J232" t="s">
        <v>3065</v>
      </c>
      <c r="K232" t="s">
        <v>3066</v>
      </c>
      <c r="L232" s="4">
        <v>46173</v>
      </c>
      <c r="M232" s="4">
        <v>46173</v>
      </c>
      <c r="N232">
        <v>1143.22</v>
      </c>
      <c r="O232" t="s">
        <v>59</v>
      </c>
      <c r="P232" t="s">
        <v>63</v>
      </c>
      <c r="Q232" t="s">
        <v>3876</v>
      </c>
      <c r="R232" t="s">
        <v>3877</v>
      </c>
      <c r="S232" t="s">
        <v>66</v>
      </c>
      <c r="T232" t="s">
        <v>3878</v>
      </c>
      <c r="U232" t="s">
        <v>3879</v>
      </c>
      <c r="V232">
        <v>7</v>
      </c>
      <c r="W232" s="2">
        <v>29016</v>
      </c>
    </row>
    <row r="233" spans="1:23" x14ac:dyDescent="0.25">
      <c r="A233" t="s">
        <v>31</v>
      </c>
      <c r="B233" t="s">
        <v>32</v>
      </c>
      <c r="C233" t="s">
        <v>33</v>
      </c>
      <c r="D233" t="s">
        <v>34</v>
      </c>
      <c r="E233" t="s">
        <v>35</v>
      </c>
      <c r="F233" t="s">
        <v>36</v>
      </c>
      <c r="G233">
        <v>1141685</v>
      </c>
      <c r="H233" t="s">
        <v>3065</v>
      </c>
      <c r="I233" t="s">
        <v>42</v>
      </c>
      <c r="J233" t="s">
        <v>3065</v>
      </c>
      <c r="K233" t="s">
        <v>3066</v>
      </c>
      <c r="L233" s="4">
        <v>46173</v>
      </c>
      <c r="M233" s="4">
        <v>46173</v>
      </c>
      <c r="N233">
        <v>1143.22</v>
      </c>
      <c r="O233" t="s">
        <v>59</v>
      </c>
      <c r="P233" t="s">
        <v>63</v>
      </c>
      <c r="Q233" t="s">
        <v>3876</v>
      </c>
      <c r="R233" t="s">
        <v>3877</v>
      </c>
      <c r="S233" t="s">
        <v>66</v>
      </c>
      <c r="T233" t="s">
        <v>3878</v>
      </c>
      <c r="U233" t="s">
        <v>3879</v>
      </c>
      <c r="V233">
        <v>7</v>
      </c>
      <c r="W233" s="2">
        <v>29016</v>
      </c>
    </row>
    <row r="234" spans="1:23" x14ac:dyDescent="0.25">
      <c r="A234" t="s">
        <v>31</v>
      </c>
      <c r="B234" t="s">
        <v>32</v>
      </c>
      <c r="C234" t="s">
        <v>33</v>
      </c>
      <c r="D234" t="s">
        <v>34</v>
      </c>
      <c r="E234" t="s">
        <v>35</v>
      </c>
      <c r="F234" t="s">
        <v>36</v>
      </c>
      <c r="G234">
        <v>1141685</v>
      </c>
      <c r="H234" t="s">
        <v>3065</v>
      </c>
      <c r="I234" t="s">
        <v>42</v>
      </c>
      <c r="J234" t="s">
        <v>3065</v>
      </c>
      <c r="K234" t="s">
        <v>3066</v>
      </c>
      <c r="L234" s="4">
        <v>46173</v>
      </c>
      <c r="M234" s="4">
        <v>46173</v>
      </c>
      <c r="N234">
        <v>1143.22</v>
      </c>
      <c r="O234" t="s">
        <v>59</v>
      </c>
      <c r="P234" t="s">
        <v>63</v>
      </c>
      <c r="Q234" t="s">
        <v>3876</v>
      </c>
      <c r="R234" t="s">
        <v>3877</v>
      </c>
      <c r="S234" t="s">
        <v>66</v>
      </c>
      <c r="T234" t="s">
        <v>3878</v>
      </c>
      <c r="U234" t="s">
        <v>3879</v>
      </c>
      <c r="V234">
        <v>7</v>
      </c>
      <c r="W234" s="2">
        <v>29016</v>
      </c>
    </row>
    <row r="235" spans="1:23" x14ac:dyDescent="0.25">
      <c r="A235" t="s">
        <v>31</v>
      </c>
      <c r="B235" t="s">
        <v>32</v>
      </c>
      <c r="C235" t="s">
        <v>33</v>
      </c>
      <c r="D235" t="s">
        <v>34</v>
      </c>
      <c r="E235" t="s">
        <v>35</v>
      </c>
      <c r="F235" t="s">
        <v>36</v>
      </c>
      <c r="G235">
        <v>1141685</v>
      </c>
      <c r="H235" t="s">
        <v>3065</v>
      </c>
      <c r="I235" t="s">
        <v>42</v>
      </c>
      <c r="J235" t="s">
        <v>3065</v>
      </c>
      <c r="K235" t="s">
        <v>3066</v>
      </c>
      <c r="L235" s="4">
        <v>46173</v>
      </c>
      <c r="M235" s="4">
        <v>46173</v>
      </c>
      <c r="N235">
        <v>1143.22</v>
      </c>
      <c r="O235" t="s">
        <v>59</v>
      </c>
      <c r="P235" t="s">
        <v>63</v>
      </c>
      <c r="Q235" t="s">
        <v>3876</v>
      </c>
      <c r="R235" t="s">
        <v>3877</v>
      </c>
      <c r="S235" t="s">
        <v>66</v>
      </c>
      <c r="T235" t="s">
        <v>3878</v>
      </c>
      <c r="U235" t="s">
        <v>3879</v>
      </c>
      <c r="V235">
        <v>7</v>
      </c>
      <c r="W235" s="2">
        <v>29016</v>
      </c>
    </row>
    <row r="236" spans="1:23" x14ac:dyDescent="0.25">
      <c r="A236" t="s">
        <v>31</v>
      </c>
      <c r="B236" t="s">
        <v>32</v>
      </c>
      <c r="C236" t="s">
        <v>33</v>
      </c>
      <c r="D236" t="s">
        <v>34</v>
      </c>
      <c r="E236" t="s">
        <v>35</v>
      </c>
      <c r="F236" t="s">
        <v>36</v>
      </c>
      <c r="G236">
        <v>1141685</v>
      </c>
      <c r="H236" t="s">
        <v>3065</v>
      </c>
      <c r="I236" t="s">
        <v>42</v>
      </c>
      <c r="J236" t="s">
        <v>3065</v>
      </c>
      <c r="K236" t="s">
        <v>3066</v>
      </c>
      <c r="L236" s="4">
        <v>46173</v>
      </c>
      <c r="M236" s="4">
        <v>46173</v>
      </c>
      <c r="N236">
        <v>1143.22</v>
      </c>
      <c r="O236" t="s">
        <v>59</v>
      </c>
      <c r="P236" t="s">
        <v>63</v>
      </c>
      <c r="Q236" t="s">
        <v>3876</v>
      </c>
      <c r="R236" t="s">
        <v>3877</v>
      </c>
      <c r="S236" t="s">
        <v>66</v>
      </c>
      <c r="T236" t="s">
        <v>3878</v>
      </c>
      <c r="U236" t="s">
        <v>3879</v>
      </c>
      <c r="V236">
        <v>7</v>
      </c>
      <c r="W236" s="2">
        <v>29016</v>
      </c>
    </row>
    <row r="237" spans="1:23" x14ac:dyDescent="0.25">
      <c r="A237" t="s">
        <v>31</v>
      </c>
      <c r="B237" t="s">
        <v>32</v>
      </c>
      <c r="C237" t="s">
        <v>33</v>
      </c>
      <c r="D237" t="s">
        <v>34</v>
      </c>
      <c r="E237" t="s">
        <v>35</v>
      </c>
      <c r="F237" t="s">
        <v>36</v>
      </c>
      <c r="G237">
        <v>1141685</v>
      </c>
      <c r="H237" t="s">
        <v>3065</v>
      </c>
      <c r="I237" t="s">
        <v>42</v>
      </c>
      <c r="J237" t="s">
        <v>3065</v>
      </c>
      <c r="K237" t="s">
        <v>3066</v>
      </c>
      <c r="L237" s="4">
        <v>46173</v>
      </c>
      <c r="M237" s="4">
        <v>46173</v>
      </c>
      <c r="N237">
        <v>1143.22</v>
      </c>
      <c r="O237" t="s">
        <v>59</v>
      </c>
      <c r="P237" t="s">
        <v>63</v>
      </c>
      <c r="Q237" t="s">
        <v>3876</v>
      </c>
      <c r="R237" t="s">
        <v>3877</v>
      </c>
      <c r="S237" t="s">
        <v>66</v>
      </c>
      <c r="T237" t="s">
        <v>3878</v>
      </c>
      <c r="U237" t="s">
        <v>3879</v>
      </c>
      <c r="V237">
        <v>7</v>
      </c>
      <c r="W237" s="2">
        <v>29016</v>
      </c>
    </row>
    <row r="238" spans="1:23" x14ac:dyDescent="0.25">
      <c r="A238" t="s">
        <v>31</v>
      </c>
      <c r="B238" t="s">
        <v>32</v>
      </c>
      <c r="C238" t="s">
        <v>33</v>
      </c>
      <c r="D238" t="s">
        <v>34</v>
      </c>
      <c r="E238" t="s">
        <v>35</v>
      </c>
      <c r="F238" t="s">
        <v>36</v>
      </c>
      <c r="G238">
        <v>1141685</v>
      </c>
      <c r="H238" t="s">
        <v>3065</v>
      </c>
      <c r="I238" t="s">
        <v>42</v>
      </c>
      <c r="J238" t="s">
        <v>3065</v>
      </c>
      <c r="K238" t="s">
        <v>3066</v>
      </c>
      <c r="L238" s="4">
        <v>46173</v>
      </c>
      <c r="M238" s="4">
        <v>46173</v>
      </c>
      <c r="N238">
        <v>1143.22</v>
      </c>
      <c r="O238" t="s">
        <v>59</v>
      </c>
      <c r="P238" t="s">
        <v>63</v>
      </c>
      <c r="Q238" t="s">
        <v>3876</v>
      </c>
      <c r="R238" t="s">
        <v>3877</v>
      </c>
      <c r="S238" t="s">
        <v>66</v>
      </c>
      <c r="T238" t="s">
        <v>3878</v>
      </c>
      <c r="U238" t="s">
        <v>3879</v>
      </c>
      <c r="V238">
        <v>7</v>
      </c>
      <c r="W238" s="2">
        <v>29016</v>
      </c>
    </row>
    <row r="239" spans="1:23" x14ac:dyDescent="0.25">
      <c r="A239" t="s">
        <v>31</v>
      </c>
      <c r="B239" t="s">
        <v>32</v>
      </c>
      <c r="C239" t="s">
        <v>33</v>
      </c>
      <c r="D239" t="s">
        <v>34</v>
      </c>
      <c r="E239" t="s">
        <v>35</v>
      </c>
      <c r="F239" t="s">
        <v>36</v>
      </c>
      <c r="G239">
        <v>1141685</v>
      </c>
      <c r="H239" t="s">
        <v>3065</v>
      </c>
      <c r="I239" t="s">
        <v>42</v>
      </c>
      <c r="J239" t="s">
        <v>3065</v>
      </c>
      <c r="K239" t="s">
        <v>3066</v>
      </c>
      <c r="L239" s="4">
        <v>46173</v>
      </c>
      <c r="M239" s="4">
        <v>46173</v>
      </c>
      <c r="N239">
        <v>1143.22</v>
      </c>
      <c r="O239" t="s">
        <v>59</v>
      </c>
      <c r="P239" t="s">
        <v>63</v>
      </c>
      <c r="Q239" t="s">
        <v>3876</v>
      </c>
      <c r="R239" t="s">
        <v>3877</v>
      </c>
      <c r="S239" t="s">
        <v>66</v>
      </c>
      <c r="T239" t="s">
        <v>3878</v>
      </c>
      <c r="U239" t="s">
        <v>3879</v>
      </c>
      <c r="V239">
        <v>7</v>
      </c>
      <c r="W239" s="2">
        <v>29016</v>
      </c>
    </row>
    <row r="240" spans="1:23" x14ac:dyDescent="0.25">
      <c r="A240" t="s">
        <v>31</v>
      </c>
      <c r="B240" t="s">
        <v>32</v>
      </c>
      <c r="C240" t="s">
        <v>33</v>
      </c>
      <c r="D240" t="s">
        <v>34</v>
      </c>
      <c r="E240" t="s">
        <v>35</v>
      </c>
      <c r="F240" t="s">
        <v>36</v>
      </c>
      <c r="G240">
        <v>1141685</v>
      </c>
      <c r="H240" t="s">
        <v>3065</v>
      </c>
      <c r="I240" t="s">
        <v>42</v>
      </c>
      <c r="J240" t="s">
        <v>3065</v>
      </c>
      <c r="K240" t="s">
        <v>3066</v>
      </c>
      <c r="L240" s="4">
        <v>46173</v>
      </c>
      <c r="M240" s="4">
        <v>46173</v>
      </c>
      <c r="N240">
        <v>1143.22</v>
      </c>
      <c r="O240" t="s">
        <v>59</v>
      </c>
      <c r="P240" t="s">
        <v>63</v>
      </c>
      <c r="Q240" t="s">
        <v>3876</v>
      </c>
      <c r="R240" t="s">
        <v>3877</v>
      </c>
      <c r="S240" t="s">
        <v>66</v>
      </c>
      <c r="T240" t="s">
        <v>3878</v>
      </c>
      <c r="U240" t="s">
        <v>3879</v>
      </c>
      <c r="V240">
        <v>7</v>
      </c>
      <c r="W240" s="2">
        <v>29016</v>
      </c>
    </row>
    <row r="241" spans="1:24" x14ac:dyDescent="0.25">
      <c r="A241" t="s">
        <v>31</v>
      </c>
      <c r="B241" t="s">
        <v>32</v>
      </c>
      <c r="C241" t="s">
        <v>33</v>
      </c>
      <c r="D241" t="s">
        <v>34</v>
      </c>
      <c r="E241" t="s">
        <v>35</v>
      </c>
      <c r="F241" t="s">
        <v>36</v>
      </c>
      <c r="G241">
        <v>1141685</v>
      </c>
      <c r="H241" t="s">
        <v>3065</v>
      </c>
      <c r="I241" t="s">
        <v>42</v>
      </c>
      <c r="J241" t="s">
        <v>3065</v>
      </c>
      <c r="K241" t="s">
        <v>3066</v>
      </c>
      <c r="L241" s="4">
        <v>46173</v>
      </c>
      <c r="M241" s="4">
        <v>46173</v>
      </c>
      <c r="N241">
        <v>1143.22</v>
      </c>
      <c r="O241" t="s">
        <v>59</v>
      </c>
      <c r="P241" t="s">
        <v>63</v>
      </c>
      <c r="Q241" t="s">
        <v>3876</v>
      </c>
      <c r="R241" t="s">
        <v>3877</v>
      </c>
      <c r="S241" t="s">
        <v>66</v>
      </c>
      <c r="T241" t="s">
        <v>3878</v>
      </c>
      <c r="U241" t="s">
        <v>3879</v>
      </c>
      <c r="V241">
        <v>7</v>
      </c>
      <c r="W241" s="2">
        <v>29016</v>
      </c>
    </row>
    <row r="242" spans="1:24" x14ac:dyDescent="0.25">
      <c r="A242" t="s">
        <v>31</v>
      </c>
      <c r="B242" t="s">
        <v>32</v>
      </c>
      <c r="C242" t="s">
        <v>33</v>
      </c>
      <c r="D242" t="s">
        <v>34</v>
      </c>
      <c r="E242" t="s">
        <v>35</v>
      </c>
      <c r="F242" t="s">
        <v>36</v>
      </c>
      <c r="G242">
        <v>1141685</v>
      </c>
      <c r="H242" t="s">
        <v>3065</v>
      </c>
      <c r="I242" t="s">
        <v>42</v>
      </c>
      <c r="J242" t="s">
        <v>3065</v>
      </c>
      <c r="K242" t="s">
        <v>3066</v>
      </c>
      <c r="L242" s="4">
        <v>46173</v>
      </c>
      <c r="M242" s="4">
        <v>46173</v>
      </c>
      <c r="N242">
        <v>1143.22</v>
      </c>
      <c r="O242" t="s">
        <v>59</v>
      </c>
      <c r="P242" t="s">
        <v>63</v>
      </c>
      <c r="Q242" t="s">
        <v>3876</v>
      </c>
      <c r="R242" t="s">
        <v>3877</v>
      </c>
      <c r="S242" t="s">
        <v>66</v>
      </c>
      <c r="T242" t="s">
        <v>3878</v>
      </c>
      <c r="U242" t="s">
        <v>3879</v>
      </c>
      <c r="V242">
        <v>7</v>
      </c>
      <c r="W242" s="2">
        <v>29016</v>
      </c>
    </row>
    <row r="243" spans="1:24" x14ac:dyDescent="0.25">
      <c r="A243" t="s">
        <v>31</v>
      </c>
      <c r="B243" t="s">
        <v>32</v>
      </c>
      <c r="C243" t="s">
        <v>33</v>
      </c>
      <c r="D243" t="s">
        <v>34</v>
      </c>
      <c r="E243" t="s">
        <v>35</v>
      </c>
      <c r="F243" t="s">
        <v>36</v>
      </c>
      <c r="G243">
        <v>1141685</v>
      </c>
      <c r="H243" t="s">
        <v>3065</v>
      </c>
      <c r="I243" t="s">
        <v>42</v>
      </c>
      <c r="J243" t="s">
        <v>3065</v>
      </c>
      <c r="K243" t="s">
        <v>3066</v>
      </c>
      <c r="L243" s="4">
        <v>46173</v>
      </c>
      <c r="M243" s="4">
        <v>46173</v>
      </c>
      <c r="N243">
        <v>1143.22</v>
      </c>
      <c r="O243" t="s">
        <v>59</v>
      </c>
      <c r="P243" t="s">
        <v>63</v>
      </c>
      <c r="Q243" t="s">
        <v>3876</v>
      </c>
      <c r="R243" t="s">
        <v>3877</v>
      </c>
      <c r="S243" t="s">
        <v>66</v>
      </c>
      <c r="T243" t="s">
        <v>3878</v>
      </c>
      <c r="U243" t="s">
        <v>3879</v>
      </c>
      <c r="V243">
        <v>7</v>
      </c>
      <c r="W243" s="2">
        <v>29016</v>
      </c>
    </row>
    <row r="244" spans="1:24" x14ac:dyDescent="0.25">
      <c r="A244" t="s">
        <v>31</v>
      </c>
      <c r="B244" t="s">
        <v>32</v>
      </c>
      <c r="C244" t="s">
        <v>33</v>
      </c>
      <c r="D244" t="s">
        <v>34</v>
      </c>
      <c r="E244" t="s">
        <v>35</v>
      </c>
      <c r="F244" t="s">
        <v>36</v>
      </c>
      <c r="G244">
        <v>1141685</v>
      </c>
      <c r="H244" t="s">
        <v>3065</v>
      </c>
      <c r="I244" t="s">
        <v>42</v>
      </c>
      <c r="J244" t="s">
        <v>3065</v>
      </c>
      <c r="K244" t="s">
        <v>3066</v>
      </c>
      <c r="L244" s="4">
        <v>46173</v>
      </c>
      <c r="M244" s="4">
        <v>46173</v>
      </c>
      <c r="N244">
        <v>1143.22</v>
      </c>
      <c r="O244" t="s">
        <v>59</v>
      </c>
      <c r="P244" t="s">
        <v>63</v>
      </c>
      <c r="Q244" t="s">
        <v>3876</v>
      </c>
      <c r="R244" t="s">
        <v>3877</v>
      </c>
      <c r="S244" t="s">
        <v>66</v>
      </c>
      <c r="T244" t="s">
        <v>3878</v>
      </c>
      <c r="U244" t="s">
        <v>3879</v>
      </c>
      <c r="V244">
        <v>7</v>
      </c>
      <c r="W244" s="2">
        <v>29016</v>
      </c>
    </row>
    <row r="245" spans="1:24" x14ac:dyDescent="0.25">
      <c r="A245" t="s">
        <v>31</v>
      </c>
      <c r="B245" t="s">
        <v>32</v>
      </c>
      <c r="C245" t="s">
        <v>33</v>
      </c>
      <c r="D245" t="s">
        <v>34</v>
      </c>
      <c r="E245" t="s">
        <v>35</v>
      </c>
      <c r="F245" t="s">
        <v>36</v>
      </c>
      <c r="G245">
        <v>1141685</v>
      </c>
      <c r="H245" t="s">
        <v>3065</v>
      </c>
      <c r="I245" t="s">
        <v>42</v>
      </c>
      <c r="J245" t="s">
        <v>3065</v>
      </c>
      <c r="K245" t="s">
        <v>3066</v>
      </c>
      <c r="L245" s="4">
        <v>46173</v>
      </c>
      <c r="M245" s="4">
        <v>46173</v>
      </c>
      <c r="N245">
        <v>1143.22</v>
      </c>
      <c r="O245" t="s">
        <v>59</v>
      </c>
      <c r="P245" t="s">
        <v>63</v>
      </c>
      <c r="Q245" t="s">
        <v>3876</v>
      </c>
      <c r="R245" t="s">
        <v>3877</v>
      </c>
      <c r="S245" t="s">
        <v>66</v>
      </c>
      <c r="T245" t="s">
        <v>3878</v>
      </c>
      <c r="U245" t="s">
        <v>3879</v>
      </c>
      <c r="V245">
        <v>7</v>
      </c>
      <c r="W245" s="2">
        <v>29016</v>
      </c>
    </row>
    <row r="246" spans="1:24" x14ac:dyDescent="0.25">
      <c r="A246" t="s">
        <v>31</v>
      </c>
      <c r="B246" t="s">
        <v>32</v>
      </c>
      <c r="C246" t="s">
        <v>33</v>
      </c>
      <c r="D246" t="s">
        <v>34</v>
      </c>
      <c r="E246" t="s">
        <v>35</v>
      </c>
      <c r="F246" t="s">
        <v>36</v>
      </c>
      <c r="G246">
        <v>1141685</v>
      </c>
      <c r="H246" t="s">
        <v>3065</v>
      </c>
      <c r="I246" t="s">
        <v>42</v>
      </c>
      <c r="J246" t="s">
        <v>3065</v>
      </c>
      <c r="K246" t="s">
        <v>3066</v>
      </c>
      <c r="L246" s="4">
        <v>46173</v>
      </c>
      <c r="M246" s="4">
        <v>46173</v>
      </c>
      <c r="N246">
        <v>1143.22</v>
      </c>
      <c r="O246" t="s">
        <v>59</v>
      </c>
      <c r="P246" t="s">
        <v>63</v>
      </c>
      <c r="Q246" t="s">
        <v>3876</v>
      </c>
      <c r="R246" t="s">
        <v>3877</v>
      </c>
      <c r="S246" t="s">
        <v>66</v>
      </c>
      <c r="T246" t="s">
        <v>3878</v>
      </c>
      <c r="U246" t="s">
        <v>3879</v>
      </c>
      <c r="V246">
        <v>7</v>
      </c>
      <c r="W246" s="2">
        <v>29016</v>
      </c>
    </row>
    <row r="247" spans="1:24" x14ac:dyDescent="0.25">
      <c r="A247" t="s">
        <v>31</v>
      </c>
      <c r="B247" s="5" t="s">
        <v>32</v>
      </c>
      <c r="C247" s="5" t="s">
        <v>33</v>
      </c>
      <c r="D247" s="5" t="s">
        <v>34</v>
      </c>
      <c r="E247" s="5" t="s">
        <v>35</v>
      </c>
      <c r="F247" s="5" t="s">
        <v>36</v>
      </c>
      <c r="G247" s="5">
        <v>1141685</v>
      </c>
      <c r="H247" s="5" t="s">
        <v>3880</v>
      </c>
      <c r="I247" s="5" t="str">
        <f t="shared" ref="I247:I249" si="0">IF(LEFT(K247,9)="Standard_","Reserved Instance Virtual Machine",IF(ISNUMBER(SEARCH("SQL Database Single/ElasticPool General Purpose - Compute Gen5",K247)),"Reserved Instance SQL Database",IF(ISNUMBER(SEARCH("SQL Database SingleDB/Elastic Pool Hyperscale - Compute Gen5",K247)),"Reserved Instance Hyperscale Serverless",IF(ISNUMBER(SEARCH("Azure Database for PostgreSQL Flexible Server General Purpose Ddsv4 Series Compute",K247)),"Reserved Instance PostgreSQL",IF(ISNUMBER(SEARCH("Azure Redis Cache Premium",K247)),"Reserved Instance Redis","Reserved Instance")))))</f>
        <v>Reserved Instance SQL Database</v>
      </c>
      <c r="J247" s="5" t="s">
        <v>3880</v>
      </c>
      <c r="K247" s="5" t="str">
        <f t="shared" ref="K247:K249" si="1">H247</f>
        <v>SQL Database Single/ElasticPool General Purpose - Compute Gen5</v>
      </c>
      <c r="L247" s="5" t="s">
        <v>3881</v>
      </c>
      <c r="M247" s="5" t="s">
        <v>3881</v>
      </c>
      <c r="N247" s="5">
        <f t="shared" ref="N247:N249" si="2">U247</f>
        <v>4</v>
      </c>
      <c r="O247" s="5" t="s">
        <v>3882</v>
      </c>
      <c r="P247" s="5" t="s">
        <v>63</v>
      </c>
      <c r="Q247" s="5" t="s">
        <v>3882</v>
      </c>
      <c r="R247" s="5" t="str">
        <f t="shared" ref="R247:R249" si="3">IF(LEFT(K247,9)="Standard_","Virtual Machine",IF(ISNUMBER(SEARCH("SQL Database Single/ElasticPool General Purpose - Compute Gen5",K247)),"SQL Database",IF(ISNUMBER(SEARCH("SQL Database SingleDB/Elastic Pool Hyperscale - Compute Gen5",K247)),"Hyperscale Serverless",IF(ISNUMBER(SEARCH("Azure Database for PostgreSQL Flexible Server General Purpose Ddsv4 Series Compute",K247)),"PostgreSQL",IF(ISNUMBER(SEARCH("Azure Redis Cache Premium",K247)),"Redis",K247)))))</f>
        <v>SQL Database</v>
      </c>
      <c r="S247" s="5" t="s">
        <v>67</v>
      </c>
      <c r="T247" s="5" t="s">
        <v>3882</v>
      </c>
      <c r="U247" s="5">
        <v>4</v>
      </c>
      <c r="V247" s="6">
        <v>1001385</v>
      </c>
      <c r="W247" s="6">
        <f>U247*V247</f>
        <v>4005540</v>
      </c>
      <c r="X247" t="s">
        <v>3890</v>
      </c>
    </row>
    <row r="248" spans="1:24" x14ac:dyDescent="0.25">
      <c r="A248" t="s">
        <v>31</v>
      </c>
      <c r="B248" s="5" t="s">
        <v>32</v>
      </c>
      <c r="C248" s="5" t="s">
        <v>33</v>
      </c>
      <c r="D248" s="5" t="s">
        <v>34</v>
      </c>
      <c r="E248" s="5" t="s">
        <v>3884</v>
      </c>
      <c r="F248" s="5" t="s">
        <v>36</v>
      </c>
      <c r="G248" s="5">
        <v>1141685</v>
      </c>
      <c r="H248" s="5" t="s">
        <v>3885</v>
      </c>
      <c r="I248" s="5" t="str">
        <f t="shared" si="0"/>
        <v>Reserved Instance Virtual Machine</v>
      </c>
      <c r="J248" s="5" t="s">
        <v>3885</v>
      </c>
      <c r="K248" s="5" t="str">
        <f t="shared" si="1"/>
        <v>Standard_D2s_v3</v>
      </c>
      <c r="L248" s="5" t="s">
        <v>3881</v>
      </c>
      <c r="M248" s="5" t="s">
        <v>3881</v>
      </c>
      <c r="N248" s="5">
        <f t="shared" si="2"/>
        <v>2</v>
      </c>
      <c r="O248" s="5" t="s">
        <v>3882</v>
      </c>
      <c r="P248" s="5" t="s">
        <v>63</v>
      </c>
      <c r="Q248" s="5" t="s">
        <v>3882</v>
      </c>
      <c r="R248" s="5" t="str">
        <f t="shared" si="3"/>
        <v>Virtual Machine</v>
      </c>
      <c r="S248" s="5" t="s">
        <v>67</v>
      </c>
      <c r="T248" s="5" t="s">
        <v>3882</v>
      </c>
      <c r="U248" s="5">
        <v>2</v>
      </c>
      <c r="V248" s="6">
        <v>565908.75</v>
      </c>
      <c r="W248" s="6">
        <f t="shared" ref="W248:W249" si="4">U248*V248</f>
        <v>1131817.5</v>
      </c>
      <c r="X248" t="s">
        <v>3890</v>
      </c>
    </row>
    <row r="249" spans="1:24" x14ac:dyDescent="0.25">
      <c r="A249" t="s">
        <v>31</v>
      </c>
      <c r="B249" s="5" t="s">
        <v>32</v>
      </c>
      <c r="C249" s="5" t="s">
        <v>33</v>
      </c>
      <c r="D249" s="5" t="s">
        <v>34</v>
      </c>
      <c r="E249" s="5" t="s">
        <v>3886</v>
      </c>
      <c r="F249" s="5" t="s">
        <v>36</v>
      </c>
      <c r="G249" s="5">
        <v>1141685</v>
      </c>
      <c r="H249" s="5" t="s">
        <v>3887</v>
      </c>
      <c r="I249" s="5" t="str">
        <f t="shared" si="0"/>
        <v>Reserved Instance Virtual Machine</v>
      </c>
      <c r="J249" s="5" t="s">
        <v>3887</v>
      </c>
      <c r="K249" s="5" t="str">
        <f t="shared" si="1"/>
        <v>Standard_D4s_v3</v>
      </c>
      <c r="L249" s="5" t="s">
        <v>3881</v>
      </c>
      <c r="M249" s="5" t="s">
        <v>3881</v>
      </c>
      <c r="N249" s="5">
        <f t="shared" si="2"/>
        <v>4</v>
      </c>
      <c r="O249" s="5" t="s">
        <v>3882</v>
      </c>
      <c r="P249" s="5" t="s">
        <v>63</v>
      </c>
      <c r="Q249" s="5" t="s">
        <v>3882</v>
      </c>
      <c r="R249" s="5" t="str">
        <f t="shared" si="3"/>
        <v>Virtual Machine</v>
      </c>
      <c r="S249" s="5" t="s">
        <v>67</v>
      </c>
      <c r="T249" s="5" t="s">
        <v>3882</v>
      </c>
      <c r="U249" s="5">
        <v>4</v>
      </c>
      <c r="V249" s="6">
        <v>1131817.5</v>
      </c>
      <c r="W249" s="6">
        <f t="shared" si="4"/>
        <v>4527270</v>
      </c>
      <c r="X249" t="s">
        <v>3890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97"/>
  <sheetViews>
    <sheetView workbookViewId="0">
      <selection sqref="A1:W197"/>
    </sheetView>
  </sheetViews>
  <sheetFormatPr defaultRowHeight="15" x14ac:dyDescent="0.25"/>
  <cols>
    <col min="23" max="23" width="15.5703125" bestFit="1" customWidth="1"/>
  </cols>
  <sheetData>
    <row r="1" spans="1:2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9</v>
      </c>
      <c r="S1" t="s">
        <v>27</v>
      </c>
      <c r="T1" t="s">
        <v>28</v>
      </c>
      <c r="U1" t="s">
        <v>29</v>
      </c>
      <c r="V1" t="s">
        <v>30</v>
      </c>
      <c r="W1" t="s">
        <v>8</v>
      </c>
    </row>
    <row r="2" spans="1:23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1141685</v>
      </c>
      <c r="H2" t="s">
        <v>79</v>
      </c>
      <c r="I2" t="s">
        <v>94</v>
      </c>
      <c r="J2" t="s">
        <v>101</v>
      </c>
      <c r="K2" t="s">
        <v>114</v>
      </c>
      <c r="L2" s="1">
        <v>46143</v>
      </c>
      <c r="M2" s="1">
        <v>46173</v>
      </c>
      <c r="N2">
        <v>0.16699076539999999</v>
      </c>
      <c r="O2" t="s">
        <v>56</v>
      </c>
      <c r="P2" t="s">
        <v>63</v>
      </c>
      <c r="Q2" t="s">
        <v>2015</v>
      </c>
      <c r="R2" t="s">
        <v>2019</v>
      </c>
      <c r="S2" t="s">
        <v>67</v>
      </c>
      <c r="T2" t="s">
        <v>2042</v>
      </c>
      <c r="U2" t="s">
        <v>2171</v>
      </c>
      <c r="V2">
        <v>15</v>
      </c>
      <c r="W2" s="2">
        <v>233.0677908422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1141685</v>
      </c>
      <c r="H3" t="s">
        <v>79</v>
      </c>
      <c r="I3" t="s">
        <v>94</v>
      </c>
      <c r="J3" t="s">
        <v>101</v>
      </c>
      <c r="K3" t="s">
        <v>114</v>
      </c>
      <c r="L3" s="1">
        <v>46143</v>
      </c>
      <c r="M3" s="1">
        <v>46173</v>
      </c>
      <c r="N3">
        <v>0.1724551003</v>
      </c>
      <c r="O3" t="s">
        <v>56</v>
      </c>
      <c r="P3" t="s">
        <v>63</v>
      </c>
      <c r="Q3" t="s">
        <v>2015</v>
      </c>
      <c r="R3" t="s">
        <v>2020</v>
      </c>
      <c r="S3" t="s">
        <v>67</v>
      </c>
      <c r="T3" t="s">
        <v>2043</v>
      </c>
      <c r="U3" t="s">
        <v>2172</v>
      </c>
      <c r="V3">
        <v>15</v>
      </c>
      <c r="W3" s="2">
        <v>240.68907831210001</v>
      </c>
    </row>
    <row r="4" spans="1:2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1141685</v>
      </c>
      <c r="H4" t="s">
        <v>76</v>
      </c>
      <c r="I4" t="s">
        <v>95</v>
      </c>
      <c r="J4" t="s">
        <v>99</v>
      </c>
      <c r="K4" t="s">
        <v>109</v>
      </c>
      <c r="L4" s="1">
        <v>46143</v>
      </c>
      <c r="M4" s="1">
        <v>46173</v>
      </c>
      <c r="N4">
        <v>140</v>
      </c>
      <c r="O4" t="s">
        <v>58</v>
      </c>
      <c r="P4" t="s">
        <v>63</v>
      </c>
      <c r="Q4" t="s">
        <v>2016</v>
      </c>
      <c r="R4" t="s">
        <v>2020</v>
      </c>
      <c r="S4" t="s">
        <v>67</v>
      </c>
      <c r="T4" t="s">
        <v>2044</v>
      </c>
      <c r="U4" t="s">
        <v>2173</v>
      </c>
      <c r="V4">
        <v>15</v>
      </c>
      <c r="W4" s="2">
        <v>0</v>
      </c>
    </row>
    <row r="5" spans="1:23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1141685</v>
      </c>
      <c r="H5" t="s">
        <v>76</v>
      </c>
      <c r="I5" t="s">
        <v>95</v>
      </c>
      <c r="J5" t="s">
        <v>99</v>
      </c>
      <c r="K5" t="s">
        <v>109</v>
      </c>
      <c r="L5" s="1">
        <v>46143</v>
      </c>
      <c r="M5" s="1">
        <v>46173</v>
      </c>
      <c r="N5">
        <v>0.98335300000000003</v>
      </c>
      <c r="O5" t="s">
        <v>58</v>
      </c>
      <c r="P5" t="s">
        <v>63</v>
      </c>
      <c r="Q5" t="s">
        <v>2016</v>
      </c>
      <c r="R5" t="s">
        <v>2020</v>
      </c>
      <c r="S5" t="s">
        <v>67</v>
      </c>
      <c r="T5" t="s">
        <v>2045</v>
      </c>
      <c r="U5" t="s">
        <v>2174</v>
      </c>
      <c r="V5">
        <v>16</v>
      </c>
      <c r="W5" s="2">
        <v>0</v>
      </c>
    </row>
    <row r="6" spans="1:23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1141685</v>
      </c>
      <c r="H6" t="s">
        <v>79</v>
      </c>
      <c r="I6" t="s">
        <v>94</v>
      </c>
      <c r="J6" t="s">
        <v>101</v>
      </c>
      <c r="K6" t="s">
        <v>114</v>
      </c>
      <c r="L6" s="1">
        <v>46143</v>
      </c>
      <c r="M6" s="1">
        <v>46173</v>
      </c>
      <c r="N6">
        <v>1.5495273024</v>
      </c>
      <c r="O6" t="s">
        <v>56</v>
      </c>
      <c r="P6" t="s">
        <v>63</v>
      </c>
      <c r="Q6" t="s">
        <v>2015</v>
      </c>
      <c r="R6" t="s">
        <v>2020</v>
      </c>
      <c r="S6" t="s">
        <v>67</v>
      </c>
      <c r="T6" t="s">
        <v>2046</v>
      </c>
      <c r="U6" t="s">
        <v>2175</v>
      </c>
      <c r="V6">
        <v>16</v>
      </c>
      <c r="W6" s="2">
        <v>2162.6469535431002</v>
      </c>
    </row>
    <row r="7" spans="1:23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1141685</v>
      </c>
      <c r="H7" t="s">
        <v>75</v>
      </c>
      <c r="I7" t="s">
        <v>94</v>
      </c>
      <c r="J7" t="s">
        <v>98</v>
      </c>
      <c r="K7" t="s">
        <v>108</v>
      </c>
      <c r="L7" s="1">
        <v>46143</v>
      </c>
      <c r="M7" s="1">
        <v>46173</v>
      </c>
      <c r="N7">
        <v>2.7962000000000001E-5</v>
      </c>
      <c r="O7" t="s">
        <v>56</v>
      </c>
      <c r="P7" t="s">
        <v>63</v>
      </c>
      <c r="Q7" t="s">
        <v>2015</v>
      </c>
      <c r="R7" t="s">
        <v>2021</v>
      </c>
      <c r="S7" t="s">
        <v>67</v>
      </c>
      <c r="T7" t="s">
        <v>2047</v>
      </c>
      <c r="U7" t="s">
        <v>2176</v>
      </c>
      <c r="V7">
        <v>16</v>
      </c>
      <c r="W7" s="2">
        <v>6.1514378800000012E-2</v>
      </c>
    </row>
    <row r="8" spans="1:23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1141685</v>
      </c>
      <c r="H8" t="s">
        <v>82</v>
      </c>
      <c r="I8" t="s">
        <v>82</v>
      </c>
      <c r="J8" t="s">
        <v>82</v>
      </c>
      <c r="K8" t="s">
        <v>118</v>
      </c>
      <c r="L8" s="1">
        <v>46143</v>
      </c>
      <c r="M8" s="1">
        <v>46173</v>
      </c>
      <c r="N8">
        <v>0.36094399999999999</v>
      </c>
      <c r="O8" t="s">
        <v>60</v>
      </c>
      <c r="P8" t="s">
        <v>63</v>
      </c>
      <c r="Q8" t="s">
        <v>2017</v>
      </c>
      <c r="R8" t="s">
        <v>147</v>
      </c>
      <c r="S8" t="s">
        <v>68</v>
      </c>
      <c r="T8" t="s">
        <v>2048</v>
      </c>
      <c r="U8" t="s">
        <v>2177</v>
      </c>
      <c r="V8">
        <v>6</v>
      </c>
      <c r="W8" s="2">
        <v>2518.814216448</v>
      </c>
    </row>
    <row r="9" spans="1:23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1141685</v>
      </c>
      <c r="H9" t="s">
        <v>79</v>
      </c>
      <c r="I9" t="s">
        <v>94</v>
      </c>
      <c r="J9" t="s">
        <v>101</v>
      </c>
      <c r="K9" t="s">
        <v>116</v>
      </c>
      <c r="L9" s="1">
        <v>46143</v>
      </c>
      <c r="M9" s="1">
        <v>46173</v>
      </c>
      <c r="N9">
        <v>0.18066377659999999</v>
      </c>
      <c r="O9" t="s">
        <v>56</v>
      </c>
      <c r="P9" t="s">
        <v>63</v>
      </c>
      <c r="Q9" t="s">
        <v>2015</v>
      </c>
      <c r="R9" t="s">
        <v>2020</v>
      </c>
      <c r="S9" t="s">
        <v>67</v>
      </c>
      <c r="T9" t="s">
        <v>2049</v>
      </c>
      <c r="U9" t="s">
        <v>2178</v>
      </c>
      <c r="V9">
        <v>15</v>
      </c>
      <c r="W9" s="2">
        <v>208.64746662280001</v>
      </c>
    </row>
    <row r="10" spans="1:23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1141685</v>
      </c>
      <c r="H10" t="s">
        <v>79</v>
      </c>
      <c r="I10" t="s">
        <v>94</v>
      </c>
      <c r="J10" t="s">
        <v>101</v>
      </c>
      <c r="K10" t="s">
        <v>116</v>
      </c>
      <c r="L10" s="1">
        <v>46143</v>
      </c>
      <c r="M10" s="1">
        <v>46173</v>
      </c>
      <c r="N10">
        <v>0.50529156630000005</v>
      </c>
      <c r="O10" t="s">
        <v>56</v>
      </c>
      <c r="P10" t="s">
        <v>63</v>
      </c>
      <c r="Q10" t="s">
        <v>2015</v>
      </c>
      <c r="R10" t="s">
        <v>2019</v>
      </c>
      <c r="S10" t="s">
        <v>67</v>
      </c>
      <c r="T10" t="s">
        <v>2050</v>
      </c>
      <c r="U10" t="s">
        <v>2179</v>
      </c>
      <c r="V10">
        <v>15</v>
      </c>
      <c r="W10" s="2">
        <v>582.19425914880003</v>
      </c>
    </row>
    <row r="11" spans="1:23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1141685</v>
      </c>
      <c r="H11" t="s">
        <v>77</v>
      </c>
      <c r="I11" t="s">
        <v>96</v>
      </c>
      <c r="J11" t="s">
        <v>77</v>
      </c>
      <c r="K11" t="s">
        <v>110</v>
      </c>
      <c r="L11" s="1">
        <v>46143</v>
      </c>
      <c r="M11" s="1">
        <v>46173</v>
      </c>
      <c r="N11">
        <v>744</v>
      </c>
      <c r="O11" t="s">
        <v>58</v>
      </c>
      <c r="P11" t="s">
        <v>63</v>
      </c>
      <c r="Q11" t="s">
        <v>2017</v>
      </c>
      <c r="R11" t="s">
        <v>2022</v>
      </c>
      <c r="S11" t="s">
        <v>67</v>
      </c>
      <c r="T11" t="s">
        <v>2051</v>
      </c>
      <c r="U11" t="s">
        <v>2180</v>
      </c>
      <c r="V11">
        <v>7</v>
      </c>
      <c r="W11" s="2">
        <v>129798.2412</v>
      </c>
    </row>
    <row r="12" spans="1:23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1141685</v>
      </c>
      <c r="H12" t="s">
        <v>75</v>
      </c>
      <c r="I12" t="s">
        <v>94</v>
      </c>
      <c r="J12" t="s">
        <v>98</v>
      </c>
      <c r="K12" t="s">
        <v>108</v>
      </c>
      <c r="L12" s="1">
        <v>46143</v>
      </c>
      <c r="M12" s="1">
        <v>46173</v>
      </c>
      <c r="N12">
        <v>0.13328670710000001</v>
      </c>
      <c r="O12" t="s">
        <v>56</v>
      </c>
      <c r="P12" t="s">
        <v>63</v>
      </c>
      <c r="Q12" t="s">
        <v>2015</v>
      </c>
      <c r="R12" t="s">
        <v>2019</v>
      </c>
      <c r="S12" t="s">
        <v>67</v>
      </c>
      <c r="T12" t="s">
        <v>2052</v>
      </c>
      <c r="U12" t="s">
        <v>2181</v>
      </c>
      <c r="V12">
        <v>15</v>
      </c>
      <c r="W12" s="2">
        <v>260.89571293109998</v>
      </c>
    </row>
    <row r="13" spans="1:23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1141685</v>
      </c>
      <c r="H13" t="s">
        <v>75</v>
      </c>
      <c r="I13" t="s">
        <v>94</v>
      </c>
      <c r="J13" t="s">
        <v>98</v>
      </c>
      <c r="K13" t="s">
        <v>108</v>
      </c>
      <c r="L13" s="1">
        <v>46143</v>
      </c>
      <c r="M13" s="1">
        <v>46173</v>
      </c>
      <c r="N13">
        <v>6.05680356E-2</v>
      </c>
      <c r="O13" t="s">
        <v>56</v>
      </c>
      <c r="P13" t="s">
        <v>63</v>
      </c>
      <c r="Q13" t="s">
        <v>2015</v>
      </c>
      <c r="R13" t="s">
        <v>2020</v>
      </c>
      <c r="S13" t="s">
        <v>67</v>
      </c>
      <c r="T13" t="s">
        <v>2053</v>
      </c>
      <c r="U13" t="s">
        <v>2182</v>
      </c>
      <c r="V13">
        <v>15</v>
      </c>
      <c r="W13" s="2">
        <v>116.86519403539999</v>
      </c>
    </row>
    <row r="14" spans="1:23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1141685</v>
      </c>
      <c r="H14" t="s">
        <v>86</v>
      </c>
      <c r="I14" t="s">
        <v>42</v>
      </c>
      <c r="J14" t="s">
        <v>86</v>
      </c>
      <c r="K14" t="s">
        <v>124</v>
      </c>
      <c r="L14" s="1">
        <v>46143</v>
      </c>
      <c r="M14" s="1">
        <v>46173</v>
      </c>
      <c r="N14">
        <v>0.18950400000000001</v>
      </c>
      <c r="O14" t="s">
        <v>135</v>
      </c>
      <c r="P14" t="s">
        <v>63</v>
      </c>
      <c r="Q14" t="s">
        <v>2016</v>
      </c>
      <c r="R14" t="s">
        <v>2023</v>
      </c>
      <c r="S14" t="s">
        <v>67</v>
      </c>
      <c r="T14" t="s">
        <v>2054</v>
      </c>
      <c r="U14" t="s">
        <v>2183</v>
      </c>
      <c r="V14">
        <v>16</v>
      </c>
      <c r="W14" s="2">
        <v>65162.974051123201</v>
      </c>
    </row>
    <row r="15" spans="1:23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1141685</v>
      </c>
      <c r="H15" t="s">
        <v>86</v>
      </c>
      <c r="I15" t="s">
        <v>42</v>
      </c>
      <c r="J15" t="s">
        <v>86</v>
      </c>
      <c r="K15" t="s">
        <v>124</v>
      </c>
      <c r="L15" s="1">
        <v>46143</v>
      </c>
      <c r="M15" s="1">
        <v>46173</v>
      </c>
      <c r="N15">
        <v>6.2299999999999996E-4</v>
      </c>
      <c r="O15" t="s">
        <v>135</v>
      </c>
      <c r="P15" t="s">
        <v>63</v>
      </c>
      <c r="Q15" t="s">
        <v>2016</v>
      </c>
      <c r="R15" t="s">
        <v>2024</v>
      </c>
      <c r="S15" t="s">
        <v>67</v>
      </c>
      <c r="T15" t="s">
        <v>2055</v>
      </c>
      <c r="U15" t="s">
        <v>2184</v>
      </c>
      <c r="V15">
        <v>17</v>
      </c>
      <c r="W15" s="2">
        <v>214.2281682384</v>
      </c>
    </row>
    <row r="16" spans="1:23" x14ac:dyDescent="0.25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1141685</v>
      </c>
      <c r="H16" t="s">
        <v>77</v>
      </c>
      <c r="I16" t="s">
        <v>96</v>
      </c>
      <c r="J16" t="s">
        <v>77</v>
      </c>
      <c r="K16" t="s">
        <v>111</v>
      </c>
      <c r="L16" s="1">
        <v>46143</v>
      </c>
      <c r="M16" s="1">
        <v>46173</v>
      </c>
      <c r="N16">
        <v>2.5305683000000001E-3</v>
      </c>
      <c r="O16" t="s">
        <v>56</v>
      </c>
      <c r="P16" t="s">
        <v>63</v>
      </c>
      <c r="Q16" t="s">
        <v>2015</v>
      </c>
      <c r="R16" t="s">
        <v>2020</v>
      </c>
      <c r="S16" t="s">
        <v>67</v>
      </c>
      <c r="T16" t="s">
        <v>2056</v>
      </c>
      <c r="U16" t="s">
        <v>2185</v>
      </c>
      <c r="V16">
        <v>16</v>
      </c>
      <c r="W16" s="2">
        <v>0.4385049889</v>
      </c>
    </row>
    <row r="17" spans="1:23" x14ac:dyDescent="0.25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1141685</v>
      </c>
      <c r="H17" t="s">
        <v>77</v>
      </c>
      <c r="I17" t="s">
        <v>96</v>
      </c>
      <c r="J17" t="s">
        <v>77</v>
      </c>
      <c r="K17" t="s">
        <v>111</v>
      </c>
      <c r="L17" s="1">
        <v>46143</v>
      </c>
      <c r="M17" s="1">
        <v>46173</v>
      </c>
      <c r="N17">
        <v>18.4600288486</v>
      </c>
      <c r="O17" t="s">
        <v>56</v>
      </c>
      <c r="P17" t="s">
        <v>63</v>
      </c>
      <c r="Q17" t="s">
        <v>2015</v>
      </c>
      <c r="R17" t="s">
        <v>2020</v>
      </c>
      <c r="S17" t="s">
        <v>67</v>
      </c>
      <c r="T17" t="s">
        <v>2057</v>
      </c>
      <c r="U17" t="s">
        <v>2186</v>
      </c>
      <c r="V17">
        <v>16</v>
      </c>
      <c r="W17" s="2">
        <v>3220.5322369753999</v>
      </c>
    </row>
    <row r="18" spans="1:23" x14ac:dyDescent="0.2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1141685</v>
      </c>
      <c r="H18" t="s">
        <v>87</v>
      </c>
      <c r="I18" t="s">
        <v>87</v>
      </c>
      <c r="J18" t="s">
        <v>87</v>
      </c>
      <c r="K18" t="s">
        <v>131</v>
      </c>
      <c r="L18" s="1">
        <v>46143</v>
      </c>
      <c r="M18" s="1">
        <v>46173</v>
      </c>
      <c r="N18">
        <v>68.048817041299998</v>
      </c>
      <c r="O18" t="s">
        <v>56</v>
      </c>
      <c r="P18" t="s">
        <v>63</v>
      </c>
      <c r="Q18" t="s">
        <v>2015</v>
      </c>
      <c r="R18" t="s">
        <v>158</v>
      </c>
      <c r="S18" t="s">
        <v>67</v>
      </c>
      <c r="T18" t="s">
        <v>2058</v>
      </c>
      <c r="U18" t="s">
        <v>2187</v>
      </c>
      <c r="V18">
        <v>12</v>
      </c>
      <c r="W18" s="2">
        <v>5935.9005132534003</v>
      </c>
    </row>
    <row r="19" spans="1:23" x14ac:dyDescent="0.2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1141685</v>
      </c>
      <c r="H19" t="s">
        <v>82</v>
      </c>
      <c r="I19" t="s">
        <v>82</v>
      </c>
      <c r="J19" t="s">
        <v>82</v>
      </c>
      <c r="K19" t="s">
        <v>120</v>
      </c>
      <c r="L19" s="1">
        <v>46143</v>
      </c>
      <c r="M19" s="1">
        <v>46173</v>
      </c>
      <c r="N19">
        <v>1</v>
      </c>
      <c r="O19" t="s">
        <v>61</v>
      </c>
      <c r="P19" t="s">
        <v>63</v>
      </c>
      <c r="Q19" t="s">
        <v>2017</v>
      </c>
      <c r="R19" t="s">
        <v>149</v>
      </c>
      <c r="S19" t="s">
        <v>68</v>
      </c>
      <c r="T19" t="s">
        <v>2059</v>
      </c>
      <c r="U19" t="s">
        <v>2188</v>
      </c>
      <c r="V19">
        <v>7</v>
      </c>
      <c r="W19" s="2">
        <v>2691.9341720419998</v>
      </c>
    </row>
    <row r="20" spans="1:23" x14ac:dyDescent="0.25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1141685</v>
      </c>
      <c r="H20" t="s">
        <v>77</v>
      </c>
      <c r="I20" t="s">
        <v>96</v>
      </c>
      <c r="J20" t="s">
        <v>77</v>
      </c>
      <c r="K20" t="s">
        <v>113</v>
      </c>
      <c r="L20" s="1">
        <v>46143</v>
      </c>
      <c r="M20" s="1">
        <v>46173</v>
      </c>
      <c r="N20">
        <v>78.840783530799996</v>
      </c>
      <c r="O20" t="s">
        <v>56</v>
      </c>
      <c r="P20" t="s">
        <v>63</v>
      </c>
      <c r="Q20" t="s">
        <v>2015</v>
      </c>
      <c r="R20" t="s">
        <v>2020</v>
      </c>
      <c r="S20" t="s">
        <v>67</v>
      </c>
      <c r="T20" t="s">
        <v>2060</v>
      </c>
      <c r="U20" t="s">
        <v>2189</v>
      </c>
      <c r="V20">
        <v>15</v>
      </c>
      <c r="W20" s="2">
        <v>13754.565523416501</v>
      </c>
    </row>
    <row r="21" spans="1:23" x14ac:dyDescent="0.2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1141685</v>
      </c>
      <c r="H21" t="s">
        <v>90</v>
      </c>
      <c r="I21" t="s">
        <v>43</v>
      </c>
      <c r="J21" t="s">
        <v>105</v>
      </c>
      <c r="K21" t="s">
        <v>128</v>
      </c>
      <c r="L21" s="1">
        <v>46143</v>
      </c>
      <c r="M21" s="1">
        <v>46173</v>
      </c>
      <c r="N21">
        <v>0.99865591399999998</v>
      </c>
      <c r="O21" t="s">
        <v>135</v>
      </c>
      <c r="P21" t="s">
        <v>63</v>
      </c>
      <c r="Q21" t="s">
        <v>2018</v>
      </c>
      <c r="R21" t="s">
        <v>2025</v>
      </c>
      <c r="S21" t="s">
        <v>67</v>
      </c>
      <c r="T21" t="s">
        <v>2061</v>
      </c>
      <c r="U21" t="s">
        <v>2190</v>
      </c>
      <c r="V21">
        <v>7</v>
      </c>
      <c r="W21" s="2">
        <v>261338.2641935455</v>
      </c>
    </row>
    <row r="22" spans="1:23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1141685</v>
      </c>
      <c r="H22" t="s">
        <v>82</v>
      </c>
      <c r="I22" t="s">
        <v>82</v>
      </c>
      <c r="J22" t="s">
        <v>82</v>
      </c>
      <c r="K22" t="s">
        <v>120</v>
      </c>
      <c r="L22" s="1">
        <v>46143</v>
      </c>
      <c r="M22" s="1">
        <v>46173</v>
      </c>
      <c r="N22">
        <v>1</v>
      </c>
      <c r="O22" t="s">
        <v>61</v>
      </c>
      <c r="P22" t="s">
        <v>63</v>
      </c>
      <c r="Q22" t="s">
        <v>2017</v>
      </c>
      <c r="R22" t="s">
        <v>148</v>
      </c>
      <c r="S22" t="s">
        <v>68</v>
      </c>
      <c r="T22" t="s">
        <v>2062</v>
      </c>
      <c r="U22" t="s">
        <v>2191</v>
      </c>
      <c r="V22">
        <v>7</v>
      </c>
      <c r="W22" s="2">
        <v>2701.3181935473999</v>
      </c>
    </row>
    <row r="23" spans="1:23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1141685</v>
      </c>
      <c r="H23" t="s">
        <v>77</v>
      </c>
      <c r="I23" t="s">
        <v>96</v>
      </c>
      <c r="J23" t="s">
        <v>77</v>
      </c>
      <c r="K23" t="s">
        <v>110</v>
      </c>
      <c r="L23" s="1">
        <v>46143</v>
      </c>
      <c r="M23" s="1">
        <v>46173</v>
      </c>
      <c r="N23">
        <v>744</v>
      </c>
      <c r="O23" t="s">
        <v>58</v>
      </c>
      <c r="P23" t="s">
        <v>63</v>
      </c>
      <c r="Q23" t="s">
        <v>2017</v>
      </c>
      <c r="R23" t="s">
        <v>2026</v>
      </c>
      <c r="S23" t="s">
        <v>67</v>
      </c>
      <c r="T23" t="s">
        <v>2051</v>
      </c>
      <c r="U23" t="s">
        <v>2180</v>
      </c>
      <c r="V23">
        <v>7</v>
      </c>
      <c r="W23" s="2">
        <v>129798.2412</v>
      </c>
    </row>
    <row r="24" spans="1:23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1141685</v>
      </c>
      <c r="H24" t="s">
        <v>76</v>
      </c>
      <c r="I24" t="s">
        <v>95</v>
      </c>
      <c r="J24" t="s">
        <v>99</v>
      </c>
      <c r="K24" t="s">
        <v>109</v>
      </c>
      <c r="L24" s="1">
        <v>46143</v>
      </c>
      <c r="M24" s="1">
        <v>46173</v>
      </c>
      <c r="N24">
        <v>0.98335300000000003</v>
      </c>
      <c r="O24" t="s">
        <v>58</v>
      </c>
      <c r="P24" t="s">
        <v>63</v>
      </c>
      <c r="Q24" t="s">
        <v>2016</v>
      </c>
      <c r="R24" t="s">
        <v>2021</v>
      </c>
      <c r="S24" t="s">
        <v>67</v>
      </c>
      <c r="T24" t="s">
        <v>2063</v>
      </c>
      <c r="U24" t="s">
        <v>2192</v>
      </c>
      <c r="V24">
        <v>15</v>
      </c>
      <c r="W24" s="2">
        <v>0</v>
      </c>
    </row>
    <row r="25" spans="1:23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1141685</v>
      </c>
      <c r="H25" t="s">
        <v>76</v>
      </c>
      <c r="I25" t="s">
        <v>95</v>
      </c>
      <c r="J25" t="s">
        <v>99</v>
      </c>
      <c r="K25" t="s">
        <v>109</v>
      </c>
      <c r="L25" s="1">
        <v>46143</v>
      </c>
      <c r="M25" s="1">
        <v>46173</v>
      </c>
      <c r="N25">
        <v>2.950059</v>
      </c>
      <c r="O25" t="s">
        <v>58</v>
      </c>
      <c r="P25" t="s">
        <v>63</v>
      </c>
      <c r="Q25" t="s">
        <v>2016</v>
      </c>
      <c r="R25" t="s">
        <v>2020</v>
      </c>
      <c r="S25" t="s">
        <v>67</v>
      </c>
      <c r="T25" t="s">
        <v>2045</v>
      </c>
      <c r="U25" t="s">
        <v>2174</v>
      </c>
      <c r="V25">
        <v>16</v>
      </c>
      <c r="W25" s="2">
        <v>0</v>
      </c>
    </row>
    <row r="26" spans="1:23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1141685</v>
      </c>
      <c r="H26" t="s">
        <v>76</v>
      </c>
      <c r="I26" t="s">
        <v>95</v>
      </c>
      <c r="J26" t="s">
        <v>99</v>
      </c>
      <c r="K26" t="s">
        <v>109</v>
      </c>
      <c r="L26" s="1">
        <v>46143</v>
      </c>
      <c r="M26" s="1">
        <v>46173</v>
      </c>
      <c r="N26">
        <v>355</v>
      </c>
      <c r="O26" t="s">
        <v>58</v>
      </c>
      <c r="P26" t="s">
        <v>63</v>
      </c>
      <c r="Q26" t="s">
        <v>2016</v>
      </c>
      <c r="R26" t="s">
        <v>2020</v>
      </c>
      <c r="S26" t="s">
        <v>67</v>
      </c>
      <c r="T26" t="s">
        <v>2045</v>
      </c>
      <c r="U26" t="s">
        <v>2174</v>
      </c>
      <c r="V26">
        <v>16</v>
      </c>
      <c r="W26" s="2">
        <v>0</v>
      </c>
    </row>
    <row r="27" spans="1:23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1141685</v>
      </c>
      <c r="H27" t="s">
        <v>80</v>
      </c>
      <c r="I27" t="s">
        <v>96</v>
      </c>
      <c r="J27" t="s">
        <v>80</v>
      </c>
      <c r="K27" t="s">
        <v>115</v>
      </c>
      <c r="L27" s="1">
        <v>46143</v>
      </c>
      <c r="M27" s="1">
        <v>46173</v>
      </c>
      <c r="N27">
        <v>0.62047416720000004</v>
      </c>
      <c r="O27" t="s">
        <v>56</v>
      </c>
      <c r="P27" t="s">
        <v>63</v>
      </c>
      <c r="Q27" t="s">
        <v>2015</v>
      </c>
      <c r="R27" t="s">
        <v>2021</v>
      </c>
      <c r="S27" t="s">
        <v>67</v>
      </c>
      <c r="T27" t="s">
        <v>2064</v>
      </c>
      <c r="U27" t="s">
        <v>2193</v>
      </c>
      <c r="V27">
        <v>16</v>
      </c>
      <c r="W27" s="2">
        <v>108.2481724175</v>
      </c>
    </row>
    <row r="28" spans="1:23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1141685</v>
      </c>
      <c r="H28" t="s">
        <v>75</v>
      </c>
      <c r="I28" t="s">
        <v>94</v>
      </c>
      <c r="J28" t="s">
        <v>98</v>
      </c>
      <c r="K28" t="s">
        <v>108</v>
      </c>
      <c r="L28" s="1">
        <v>46143</v>
      </c>
      <c r="M28" s="1">
        <v>46173</v>
      </c>
      <c r="N28">
        <v>0.1722947266</v>
      </c>
      <c r="O28" t="s">
        <v>56</v>
      </c>
      <c r="P28" t="s">
        <v>63</v>
      </c>
      <c r="Q28" t="s">
        <v>2015</v>
      </c>
      <c r="R28" t="s">
        <v>2020</v>
      </c>
      <c r="S28" t="s">
        <v>67</v>
      </c>
      <c r="T28" t="s">
        <v>2065</v>
      </c>
      <c r="U28" t="s">
        <v>2194</v>
      </c>
      <c r="V28">
        <v>16</v>
      </c>
      <c r="W28" s="2">
        <v>360.69816129750001</v>
      </c>
    </row>
    <row r="29" spans="1:23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1141685</v>
      </c>
      <c r="H29" t="s">
        <v>87</v>
      </c>
      <c r="I29" t="s">
        <v>87</v>
      </c>
      <c r="J29" t="s">
        <v>87</v>
      </c>
      <c r="K29" t="s">
        <v>125</v>
      </c>
      <c r="L29" s="1">
        <v>46143</v>
      </c>
      <c r="M29" s="1">
        <v>46173</v>
      </c>
      <c r="N29">
        <v>744</v>
      </c>
      <c r="O29" t="s">
        <v>58</v>
      </c>
      <c r="P29" t="s">
        <v>63</v>
      </c>
      <c r="Q29" t="s">
        <v>2015</v>
      </c>
      <c r="R29" t="s">
        <v>164</v>
      </c>
      <c r="S29" t="s">
        <v>67</v>
      </c>
      <c r="T29" t="s">
        <v>2066</v>
      </c>
      <c r="U29" t="s">
        <v>2195</v>
      </c>
      <c r="V29">
        <v>12</v>
      </c>
      <c r="W29" s="2">
        <v>324495.598</v>
      </c>
    </row>
    <row r="30" spans="1:23" x14ac:dyDescent="0.25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1141685</v>
      </c>
      <c r="H30" t="s">
        <v>75</v>
      </c>
      <c r="I30" t="s">
        <v>94</v>
      </c>
      <c r="J30" t="s">
        <v>98</v>
      </c>
      <c r="K30" t="s">
        <v>108</v>
      </c>
      <c r="L30" s="1">
        <v>46143</v>
      </c>
      <c r="M30" s="1">
        <v>46173</v>
      </c>
      <c r="N30">
        <v>4.2462629999999999E-4</v>
      </c>
      <c r="O30" t="s">
        <v>56</v>
      </c>
      <c r="P30" t="s">
        <v>63</v>
      </c>
      <c r="Q30" t="s">
        <v>2015</v>
      </c>
      <c r="R30" t="s">
        <v>2019</v>
      </c>
      <c r="S30" t="s">
        <v>67</v>
      </c>
      <c r="T30" t="s">
        <v>2067</v>
      </c>
      <c r="U30" t="s">
        <v>2196</v>
      </c>
      <c r="V30">
        <v>16</v>
      </c>
      <c r="W30" s="2">
        <v>0.89228798269999998</v>
      </c>
    </row>
    <row r="31" spans="1:23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1141685</v>
      </c>
      <c r="H31" t="s">
        <v>80</v>
      </c>
      <c r="I31" t="s">
        <v>96</v>
      </c>
      <c r="J31" t="s">
        <v>80</v>
      </c>
      <c r="K31" t="s">
        <v>115</v>
      </c>
      <c r="L31" s="1">
        <v>46143</v>
      </c>
      <c r="M31" s="1">
        <v>46173</v>
      </c>
      <c r="N31">
        <v>0.26202991599999997</v>
      </c>
      <c r="O31" t="s">
        <v>56</v>
      </c>
      <c r="P31" t="s">
        <v>63</v>
      </c>
      <c r="Q31" t="s">
        <v>2015</v>
      </c>
      <c r="R31" t="s">
        <v>2020</v>
      </c>
      <c r="S31" t="s">
        <v>67</v>
      </c>
      <c r="T31" t="s">
        <v>2068</v>
      </c>
      <c r="U31" t="s">
        <v>2197</v>
      </c>
      <c r="V31">
        <v>15</v>
      </c>
      <c r="W31" s="2">
        <v>45.718090454600002</v>
      </c>
    </row>
    <row r="32" spans="1:23" x14ac:dyDescent="0.25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1141685</v>
      </c>
      <c r="H32" t="s">
        <v>38</v>
      </c>
      <c r="I32" t="s">
        <v>38</v>
      </c>
      <c r="J32" t="s">
        <v>38</v>
      </c>
      <c r="K32" t="s">
        <v>55</v>
      </c>
      <c r="L32" s="1">
        <v>46143</v>
      </c>
      <c r="M32" s="1">
        <v>46173</v>
      </c>
      <c r="N32">
        <v>2498</v>
      </c>
      <c r="O32" t="s">
        <v>61</v>
      </c>
      <c r="P32" t="s">
        <v>63</v>
      </c>
      <c r="Q32" t="s">
        <v>2018</v>
      </c>
      <c r="R32" t="s">
        <v>2027</v>
      </c>
      <c r="S32" t="s">
        <v>66</v>
      </c>
      <c r="T32" t="s">
        <v>2069</v>
      </c>
      <c r="U32" t="s">
        <v>2198</v>
      </c>
      <c r="V32">
        <v>6</v>
      </c>
      <c r="W32" s="2">
        <v>6362.6922758399996</v>
      </c>
    </row>
    <row r="33" spans="1:23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1141685</v>
      </c>
      <c r="H33" t="s">
        <v>81</v>
      </c>
      <c r="I33" t="s">
        <v>97</v>
      </c>
      <c r="J33" t="s">
        <v>102</v>
      </c>
      <c r="K33" t="s">
        <v>117</v>
      </c>
      <c r="L33" s="1">
        <v>46143</v>
      </c>
      <c r="M33" s="1">
        <v>46173</v>
      </c>
      <c r="N33">
        <v>824</v>
      </c>
      <c r="O33" t="s">
        <v>58</v>
      </c>
      <c r="P33" t="s">
        <v>63</v>
      </c>
      <c r="Q33" t="s">
        <v>2018</v>
      </c>
      <c r="R33" t="s">
        <v>2028</v>
      </c>
      <c r="S33" t="s">
        <v>67</v>
      </c>
      <c r="T33" t="s">
        <v>2070</v>
      </c>
      <c r="U33" t="s">
        <v>2199</v>
      </c>
      <c r="V33">
        <v>7</v>
      </c>
      <c r="W33" s="2">
        <v>0</v>
      </c>
    </row>
    <row r="34" spans="1:23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>
        <v>1141685</v>
      </c>
      <c r="H34" t="s">
        <v>76</v>
      </c>
      <c r="I34" t="s">
        <v>95</v>
      </c>
      <c r="J34" t="s">
        <v>99</v>
      </c>
      <c r="K34" t="s">
        <v>109</v>
      </c>
      <c r="L34" s="1">
        <v>46143</v>
      </c>
      <c r="M34" s="1">
        <v>46173</v>
      </c>
      <c r="N34">
        <v>0.150003</v>
      </c>
      <c r="O34" t="s">
        <v>58</v>
      </c>
      <c r="P34" t="s">
        <v>63</v>
      </c>
      <c r="Q34" t="s">
        <v>2016</v>
      </c>
      <c r="R34" t="s">
        <v>2021</v>
      </c>
      <c r="S34" t="s">
        <v>67</v>
      </c>
      <c r="T34" t="s">
        <v>2071</v>
      </c>
      <c r="U34" t="s">
        <v>2200</v>
      </c>
      <c r="V34">
        <v>16</v>
      </c>
      <c r="W34" s="2">
        <v>0</v>
      </c>
    </row>
    <row r="35" spans="1:23" x14ac:dyDescent="0.25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>
        <v>1141685</v>
      </c>
      <c r="H35" t="s">
        <v>76</v>
      </c>
      <c r="I35" t="s">
        <v>95</v>
      </c>
      <c r="J35" t="s">
        <v>99</v>
      </c>
      <c r="K35" t="s">
        <v>109</v>
      </c>
      <c r="L35" s="1">
        <v>46143</v>
      </c>
      <c r="M35" s="1">
        <v>46173</v>
      </c>
      <c r="N35">
        <v>1.9667060000000001</v>
      </c>
      <c r="O35" t="s">
        <v>58</v>
      </c>
      <c r="P35" t="s">
        <v>63</v>
      </c>
      <c r="Q35" t="s">
        <v>2016</v>
      </c>
      <c r="R35" t="s">
        <v>2019</v>
      </c>
      <c r="S35" t="s">
        <v>67</v>
      </c>
      <c r="T35" t="s">
        <v>2072</v>
      </c>
      <c r="U35" t="s">
        <v>2201</v>
      </c>
      <c r="V35">
        <v>16</v>
      </c>
      <c r="W35" s="2">
        <v>0</v>
      </c>
    </row>
    <row r="36" spans="1:23" x14ac:dyDescent="0.25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>
        <v>1141685</v>
      </c>
      <c r="H36" t="s">
        <v>77</v>
      </c>
      <c r="I36" t="s">
        <v>96</v>
      </c>
      <c r="J36" t="s">
        <v>77</v>
      </c>
      <c r="K36" t="s">
        <v>110</v>
      </c>
      <c r="L36" s="1">
        <v>46143</v>
      </c>
      <c r="M36" s="1">
        <v>46173</v>
      </c>
      <c r="N36">
        <v>744</v>
      </c>
      <c r="O36" t="s">
        <v>58</v>
      </c>
      <c r="P36" t="s">
        <v>63</v>
      </c>
      <c r="Q36" t="s">
        <v>1358</v>
      </c>
      <c r="R36" t="s">
        <v>2029</v>
      </c>
      <c r="S36" t="s">
        <v>67</v>
      </c>
      <c r="T36" t="s">
        <v>1361</v>
      </c>
      <c r="U36" t="s">
        <v>1364</v>
      </c>
      <c r="V36">
        <v>6</v>
      </c>
      <c r="W36" s="2">
        <v>129798.2412</v>
      </c>
    </row>
    <row r="37" spans="1:23" x14ac:dyDescent="0.25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>
        <v>1141685</v>
      </c>
      <c r="H37" t="s">
        <v>77</v>
      </c>
      <c r="I37" t="s">
        <v>96</v>
      </c>
      <c r="J37" t="s">
        <v>77</v>
      </c>
      <c r="K37" t="s">
        <v>113</v>
      </c>
      <c r="L37" s="1">
        <v>46143</v>
      </c>
      <c r="M37" s="1">
        <v>46173</v>
      </c>
      <c r="N37">
        <v>1.0947315000000001E-2</v>
      </c>
      <c r="O37" t="s">
        <v>56</v>
      </c>
      <c r="P37" t="s">
        <v>63</v>
      </c>
      <c r="Q37" t="s">
        <v>2015</v>
      </c>
      <c r="R37" t="s">
        <v>2019</v>
      </c>
      <c r="S37" t="s">
        <v>67</v>
      </c>
      <c r="T37" t="s">
        <v>2073</v>
      </c>
      <c r="U37" t="s">
        <v>2202</v>
      </c>
      <c r="V37">
        <v>16</v>
      </c>
      <c r="W37" s="2">
        <v>1.9106843492000001</v>
      </c>
    </row>
    <row r="38" spans="1:23" x14ac:dyDescent="0.25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>
        <v>1141685</v>
      </c>
      <c r="H38" t="s">
        <v>77</v>
      </c>
      <c r="I38" t="s">
        <v>96</v>
      </c>
      <c r="J38" t="s">
        <v>77</v>
      </c>
      <c r="K38" t="s">
        <v>113</v>
      </c>
      <c r="L38" s="1">
        <v>46143</v>
      </c>
      <c r="M38" s="1">
        <v>46173</v>
      </c>
      <c r="N38">
        <v>961.56194335589998</v>
      </c>
      <c r="O38" t="s">
        <v>56</v>
      </c>
      <c r="P38" t="s">
        <v>63</v>
      </c>
      <c r="Q38" t="s">
        <v>2015</v>
      </c>
      <c r="R38" t="s">
        <v>2019</v>
      </c>
      <c r="S38" t="s">
        <v>67</v>
      </c>
      <c r="T38" t="s">
        <v>2074</v>
      </c>
      <c r="U38" t="s">
        <v>2203</v>
      </c>
      <c r="V38">
        <v>16</v>
      </c>
      <c r="W38" s="2">
        <v>167754.0950413332</v>
      </c>
    </row>
    <row r="39" spans="1:23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>
        <v>1141685</v>
      </c>
      <c r="H39" t="s">
        <v>77</v>
      </c>
      <c r="I39" t="s">
        <v>96</v>
      </c>
      <c r="J39" t="s">
        <v>77</v>
      </c>
      <c r="K39" t="s">
        <v>113</v>
      </c>
      <c r="L39" s="1">
        <v>46143</v>
      </c>
      <c r="M39" s="1">
        <v>46173</v>
      </c>
      <c r="N39">
        <v>6.2680291000000001E-3</v>
      </c>
      <c r="O39" t="s">
        <v>56</v>
      </c>
      <c r="P39" t="s">
        <v>63</v>
      </c>
      <c r="Q39" t="s">
        <v>2015</v>
      </c>
      <c r="R39" t="s">
        <v>2020</v>
      </c>
      <c r="S39" t="s">
        <v>67</v>
      </c>
      <c r="T39" t="s">
        <v>2075</v>
      </c>
      <c r="U39" t="s">
        <v>2204</v>
      </c>
      <c r="V39">
        <v>16</v>
      </c>
      <c r="W39" s="2">
        <v>1.0922979142</v>
      </c>
    </row>
    <row r="40" spans="1:23" x14ac:dyDescent="0.25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>
        <v>1141685</v>
      </c>
      <c r="H40" t="s">
        <v>77</v>
      </c>
      <c r="I40" t="s">
        <v>96</v>
      </c>
      <c r="J40" t="s">
        <v>77</v>
      </c>
      <c r="K40" t="s">
        <v>113</v>
      </c>
      <c r="L40" s="1">
        <v>46143</v>
      </c>
      <c r="M40" s="1">
        <v>46173</v>
      </c>
      <c r="N40">
        <v>102.3081127498</v>
      </c>
      <c r="O40" t="s">
        <v>56</v>
      </c>
      <c r="P40" t="s">
        <v>63</v>
      </c>
      <c r="Q40" t="s">
        <v>2015</v>
      </c>
      <c r="R40" t="s">
        <v>2020</v>
      </c>
      <c r="S40" t="s">
        <v>67</v>
      </c>
      <c r="T40" t="s">
        <v>2076</v>
      </c>
      <c r="U40" t="s">
        <v>2205</v>
      </c>
      <c r="V40">
        <v>16</v>
      </c>
      <c r="W40" s="2">
        <v>17848.672548295101</v>
      </c>
    </row>
    <row r="41" spans="1:23" x14ac:dyDescent="0.25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>
        <v>1141685</v>
      </c>
      <c r="H41" t="s">
        <v>77</v>
      </c>
      <c r="I41" t="s">
        <v>96</v>
      </c>
      <c r="J41" t="s">
        <v>77</v>
      </c>
      <c r="K41" t="s">
        <v>113</v>
      </c>
      <c r="L41" s="1">
        <v>46143</v>
      </c>
      <c r="M41" s="1">
        <v>46173</v>
      </c>
      <c r="N41">
        <v>111.9407658782</v>
      </c>
      <c r="O41" t="s">
        <v>56</v>
      </c>
      <c r="P41" t="s">
        <v>63</v>
      </c>
      <c r="Q41" t="s">
        <v>2015</v>
      </c>
      <c r="R41" t="s">
        <v>2019</v>
      </c>
      <c r="S41" t="s">
        <v>67</v>
      </c>
      <c r="T41" t="s">
        <v>2077</v>
      </c>
      <c r="U41" t="s">
        <v>2206</v>
      </c>
      <c r="V41">
        <v>15</v>
      </c>
      <c r="W41" s="2">
        <v>19529.183693295301</v>
      </c>
    </row>
    <row r="42" spans="1:23" x14ac:dyDescent="0.25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>
        <v>1141685</v>
      </c>
      <c r="H42" t="s">
        <v>79</v>
      </c>
      <c r="I42" t="s">
        <v>94</v>
      </c>
      <c r="J42" t="s">
        <v>101</v>
      </c>
      <c r="K42" t="s">
        <v>114</v>
      </c>
      <c r="L42" s="1">
        <v>46143</v>
      </c>
      <c r="M42" s="1">
        <v>46173</v>
      </c>
      <c r="N42">
        <v>1.4909700999999999E-3</v>
      </c>
      <c r="O42" t="s">
        <v>56</v>
      </c>
      <c r="P42" t="s">
        <v>63</v>
      </c>
      <c r="Q42" t="s">
        <v>2015</v>
      </c>
      <c r="R42" t="s">
        <v>2021</v>
      </c>
      <c r="S42" t="s">
        <v>67</v>
      </c>
      <c r="T42" t="s">
        <v>2078</v>
      </c>
      <c r="U42" t="s">
        <v>2207</v>
      </c>
      <c r="V42">
        <v>15</v>
      </c>
      <c r="W42" s="2">
        <v>2.0812071425999998</v>
      </c>
    </row>
    <row r="43" spans="1:23" x14ac:dyDescent="0.2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>
        <v>1141685</v>
      </c>
      <c r="H43" t="s">
        <v>79</v>
      </c>
      <c r="I43" t="s">
        <v>94</v>
      </c>
      <c r="J43" t="s">
        <v>101</v>
      </c>
      <c r="K43" t="s">
        <v>114</v>
      </c>
      <c r="L43" s="1">
        <v>46143</v>
      </c>
      <c r="M43" s="1">
        <v>46173</v>
      </c>
      <c r="N43">
        <v>0.17628261170000001</v>
      </c>
      <c r="O43" t="s">
        <v>56</v>
      </c>
      <c r="P43" t="s">
        <v>63</v>
      </c>
      <c r="Q43" t="s">
        <v>2015</v>
      </c>
      <c r="R43" t="s">
        <v>2020</v>
      </c>
      <c r="S43" t="s">
        <v>67</v>
      </c>
      <c r="T43" t="s">
        <v>2079</v>
      </c>
      <c r="U43" t="s">
        <v>2208</v>
      </c>
      <c r="V43">
        <v>15</v>
      </c>
      <c r="W43" s="2">
        <v>246.03002160720001</v>
      </c>
    </row>
    <row r="44" spans="1:23" x14ac:dyDescent="0.25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>
        <v>1141685</v>
      </c>
      <c r="H44" t="s">
        <v>79</v>
      </c>
      <c r="I44" t="s">
        <v>94</v>
      </c>
      <c r="J44" t="s">
        <v>101</v>
      </c>
      <c r="K44" t="s">
        <v>114</v>
      </c>
      <c r="L44" s="1">
        <v>46143</v>
      </c>
      <c r="M44" s="1">
        <v>46173</v>
      </c>
      <c r="N44">
        <v>1.3048455147</v>
      </c>
      <c r="O44" t="s">
        <v>56</v>
      </c>
      <c r="P44" t="s">
        <v>63</v>
      </c>
      <c r="Q44" t="s">
        <v>2015</v>
      </c>
      <c r="R44" t="s">
        <v>2020</v>
      </c>
      <c r="S44" t="s">
        <v>67</v>
      </c>
      <c r="T44" t="s">
        <v>2080</v>
      </c>
      <c r="U44" t="s">
        <v>2209</v>
      </c>
      <c r="V44">
        <v>16</v>
      </c>
      <c r="W44" s="2">
        <v>1821.1491734082001</v>
      </c>
    </row>
    <row r="45" spans="1:23" x14ac:dyDescent="0.25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>
        <v>1141685</v>
      </c>
      <c r="H45" t="s">
        <v>79</v>
      </c>
      <c r="I45" t="s">
        <v>94</v>
      </c>
      <c r="J45" t="s">
        <v>101</v>
      </c>
      <c r="K45" t="s">
        <v>114</v>
      </c>
      <c r="L45" s="1">
        <v>46143</v>
      </c>
      <c r="M45" s="1">
        <v>46173</v>
      </c>
      <c r="N45">
        <v>2.7939999999999997E-7</v>
      </c>
      <c r="O45" t="s">
        <v>56</v>
      </c>
      <c r="P45" t="s">
        <v>63</v>
      </c>
      <c r="Q45" t="s">
        <v>2015</v>
      </c>
      <c r="R45" t="s">
        <v>2020</v>
      </c>
      <c r="S45" t="s">
        <v>67</v>
      </c>
      <c r="T45" t="s">
        <v>2081</v>
      </c>
      <c r="U45" t="s">
        <v>2210</v>
      </c>
      <c r="V45">
        <v>16</v>
      </c>
      <c r="W45" s="2">
        <v>3.431547E-4</v>
      </c>
    </row>
    <row r="46" spans="1:23" x14ac:dyDescent="0.25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>
        <v>1141685</v>
      </c>
      <c r="H46" t="s">
        <v>79</v>
      </c>
      <c r="I46" t="s">
        <v>94</v>
      </c>
      <c r="J46" t="s">
        <v>101</v>
      </c>
      <c r="K46" t="s">
        <v>116</v>
      </c>
      <c r="L46" s="1">
        <v>46143</v>
      </c>
      <c r="M46" s="1">
        <v>46173</v>
      </c>
      <c r="N46">
        <v>6.6805599999999996E-5</v>
      </c>
      <c r="O46" t="s">
        <v>56</v>
      </c>
      <c r="P46" t="s">
        <v>63</v>
      </c>
      <c r="Q46" t="s">
        <v>2015</v>
      </c>
      <c r="R46" t="s">
        <v>2030</v>
      </c>
      <c r="S46" t="s">
        <v>67</v>
      </c>
      <c r="T46" t="s">
        <v>2082</v>
      </c>
      <c r="U46" t="s">
        <v>2211</v>
      </c>
      <c r="V46">
        <v>17</v>
      </c>
      <c r="W46" s="2">
        <v>9.2050568999999999E-2</v>
      </c>
    </row>
    <row r="47" spans="1:23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>
        <v>1141685</v>
      </c>
      <c r="H47" t="s">
        <v>93</v>
      </c>
      <c r="I47" t="s">
        <v>93</v>
      </c>
      <c r="J47" t="s">
        <v>93</v>
      </c>
      <c r="K47" t="s">
        <v>133</v>
      </c>
      <c r="L47" s="1">
        <v>46143</v>
      </c>
      <c r="M47" s="1">
        <v>46173</v>
      </c>
      <c r="N47">
        <v>743.97283662919995</v>
      </c>
      <c r="O47" t="s">
        <v>58</v>
      </c>
      <c r="P47" t="s">
        <v>63</v>
      </c>
      <c r="Q47" t="s">
        <v>2018</v>
      </c>
      <c r="R47" t="s">
        <v>2031</v>
      </c>
      <c r="S47" t="s">
        <v>67</v>
      </c>
      <c r="T47" t="s">
        <v>2083</v>
      </c>
      <c r="U47" t="s">
        <v>2212</v>
      </c>
      <c r="V47">
        <v>10</v>
      </c>
      <c r="W47" s="2">
        <v>1297935.009489377</v>
      </c>
    </row>
    <row r="48" spans="1:23" x14ac:dyDescent="0.25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>
        <v>1141685</v>
      </c>
      <c r="H48" t="s">
        <v>79</v>
      </c>
      <c r="I48" t="s">
        <v>94</v>
      </c>
      <c r="J48" t="s">
        <v>101</v>
      </c>
      <c r="K48" t="s">
        <v>116</v>
      </c>
      <c r="L48" s="1">
        <v>46143</v>
      </c>
      <c r="M48" s="1">
        <v>46173</v>
      </c>
      <c r="N48">
        <v>0.28719733469999997</v>
      </c>
      <c r="O48" t="s">
        <v>56</v>
      </c>
      <c r="P48" t="s">
        <v>63</v>
      </c>
      <c r="Q48" t="s">
        <v>2015</v>
      </c>
      <c r="R48" t="s">
        <v>2021</v>
      </c>
      <c r="S48" t="s">
        <v>67</v>
      </c>
      <c r="T48" t="s">
        <v>2084</v>
      </c>
      <c r="U48" t="s">
        <v>2213</v>
      </c>
      <c r="V48">
        <v>15</v>
      </c>
      <c r="W48" s="2">
        <v>333.35474898770002</v>
      </c>
    </row>
    <row r="49" spans="1:23" x14ac:dyDescent="0.25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>
        <v>1141685</v>
      </c>
      <c r="H49" t="s">
        <v>79</v>
      </c>
      <c r="I49" t="s">
        <v>94</v>
      </c>
      <c r="J49" t="s">
        <v>101</v>
      </c>
      <c r="K49" t="s">
        <v>116</v>
      </c>
      <c r="L49" s="1">
        <v>46143</v>
      </c>
      <c r="M49" s="1">
        <v>46173</v>
      </c>
      <c r="N49">
        <v>0.18752903030000001</v>
      </c>
      <c r="O49" t="s">
        <v>56</v>
      </c>
      <c r="P49" t="s">
        <v>63</v>
      </c>
      <c r="Q49" t="s">
        <v>2015</v>
      </c>
      <c r="R49" t="s">
        <v>2020</v>
      </c>
      <c r="S49" t="s">
        <v>67</v>
      </c>
      <c r="T49" t="s">
        <v>2085</v>
      </c>
      <c r="U49" t="s">
        <v>2214</v>
      </c>
      <c r="V49">
        <v>15</v>
      </c>
      <c r="W49" s="2">
        <v>215.8806019484</v>
      </c>
    </row>
    <row r="50" spans="1:23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>
        <v>1141685</v>
      </c>
      <c r="H50" t="s">
        <v>77</v>
      </c>
      <c r="I50" t="s">
        <v>96</v>
      </c>
      <c r="J50" t="s">
        <v>77</v>
      </c>
      <c r="K50" t="s">
        <v>113</v>
      </c>
      <c r="L50" s="1">
        <v>46143</v>
      </c>
      <c r="M50" s="1">
        <v>46173</v>
      </c>
      <c r="N50">
        <v>7.3302157199999995E-2</v>
      </c>
      <c r="O50" t="s">
        <v>56</v>
      </c>
      <c r="P50" t="s">
        <v>63</v>
      </c>
      <c r="Q50" t="s">
        <v>2017</v>
      </c>
      <c r="R50" t="s">
        <v>2026</v>
      </c>
      <c r="S50" t="s">
        <v>67</v>
      </c>
      <c r="T50" t="s">
        <v>2086</v>
      </c>
      <c r="U50" t="s">
        <v>2215</v>
      </c>
      <c r="V50">
        <v>7</v>
      </c>
      <c r="W50" s="2">
        <v>12.783699025100001</v>
      </c>
    </row>
    <row r="51" spans="1:23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>
        <v>1141685</v>
      </c>
      <c r="H51" t="s">
        <v>80</v>
      </c>
      <c r="I51" t="s">
        <v>96</v>
      </c>
      <c r="J51" t="s">
        <v>80</v>
      </c>
      <c r="K51" t="s">
        <v>122</v>
      </c>
      <c r="L51" s="1">
        <v>46143</v>
      </c>
      <c r="M51" s="1">
        <v>46173</v>
      </c>
      <c r="N51">
        <v>0.20980522970000001</v>
      </c>
      <c r="O51" t="s">
        <v>56</v>
      </c>
      <c r="P51" t="s">
        <v>63</v>
      </c>
      <c r="Q51" t="s">
        <v>2015</v>
      </c>
      <c r="R51" t="s">
        <v>2021</v>
      </c>
      <c r="S51" t="s">
        <v>67</v>
      </c>
      <c r="T51" t="s">
        <v>2087</v>
      </c>
      <c r="U51" t="s">
        <v>2216</v>
      </c>
      <c r="V51">
        <v>15</v>
      </c>
      <c r="W51" s="2">
        <v>36.600305924700002</v>
      </c>
    </row>
    <row r="52" spans="1:23" x14ac:dyDescent="0.25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>
        <v>1141685</v>
      </c>
      <c r="H52" t="s">
        <v>80</v>
      </c>
      <c r="I52" t="s">
        <v>96</v>
      </c>
      <c r="J52" t="s">
        <v>80</v>
      </c>
      <c r="K52" t="s">
        <v>122</v>
      </c>
      <c r="L52" s="1">
        <v>46143</v>
      </c>
      <c r="M52" s="1">
        <v>46173</v>
      </c>
      <c r="N52">
        <v>0.41936854369999998</v>
      </c>
      <c r="O52" t="s">
        <v>56</v>
      </c>
      <c r="P52" t="s">
        <v>63</v>
      </c>
      <c r="Q52" t="s">
        <v>2015</v>
      </c>
      <c r="R52" t="s">
        <v>2019</v>
      </c>
      <c r="S52" t="s">
        <v>67</v>
      </c>
      <c r="T52" t="s">
        <v>2088</v>
      </c>
      <c r="U52" t="s">
        <v>2217</v>
      </c>
      <c r="V52">
        <v>15</v>
      </c>
      <c r="W52" s="2">
        <v>73.163471791299997</v>
      </c>
    </row>
    <row r="53" spans="1:23" x14ac:dyDescent="0.25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>
        <v>1141685</v>
      </c>
      <c r="H53" t="s">
        <v>80</v>
      </c>
      <c r="I53" t="s">
        <v>96</v>
      </c>
      <c r="J53" t="s">
        <v>80</v>
      </c>
      <c r="K53" t="s">
        <v>115</v>
      </c>
      <c r="L53" s="1">
        <v>46143</v>
      </c>
      <c r="M53" s="1">
        <v>46173</v>
      </c>
      <c r="N53">
        <v>1.6643000000000001E-6</v>
      </c>
      <c r="O53" t="s">
        <v>56</v>
      </c>
      <c r="P53" t="s">
        <v>63</v>
      </c>
      <c r="Q53" t="s">
        <v>2015</v>
      </c>
      <c r="R53" t="s">
        <v>2030</v>
      </c>
      <c r="S53" t="s">
        <v>67</v>
      </c>
      <c r="T53" t="s">
        <v>2089</v>
      </c>
      <c r="U53" t="s">
        <v>2218</v>
      </c>
      <c r="V53">
        <v>17</v>
      </c>
      <c r="W53" s="2">
        <v>2.5550719999999999E-4</v>
      </c>
    </row>
    <row r="54" spans="1:23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>
        <v>1141685</v>
      </c>
      <c r="H54" t="s">
        <v>80</v>
      </c>
      <c r="I54" t="s">
        <v>96</v>
      </c>
      <c r="J54" t="s">
        <v>80</v>
      </c>
      <c r="K54" t="s">
        <v>115</v>
      </c>
      <c r="L54" s="1">
        <v>46143</v>
      </c>
      <c r="M54" s="1">
        <v>46173</v>
      </c>
      <c r="N54">
        <v>0.23789584450000001</v>
      </c>
      <c r="O54" t="s">
        <v>56</v>
      </c>
      <c r="P54" t="s">
        <v>63</v>
      </c>
      <c r="Q54" t="s">
        <v>2015</v>
      </c>
      <c r="R54" t="s">
        <v>2021</v>
      </c>
      <c r="S54" t="s">
        <v>67</v>
      </c>
      <c r="T54" t="s">
        <v>2090</v>
      </c>
      <c r="U54" t="s">
        <v>2219</v>
      </c>
      <c r="V54">
        <v>15</v>
      </c>
      <c r="W54" s="2">
        <v>41.502911948100007</v>
      </c>
    </row>
    <row r="55" spans="1:23" x14ac:dyDescent="0.25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>
        <v>1141685</v>
      </c>
      <c r="H55" t="s">
        <v>80</v>
      </c>
      <c r="I55" t="s">
        <v>96</v>
      </c>
      <c r="J55" t="s">
        <v>80</v>
      </c>
      <c r="K55" t="s">
        <v>115</v>
      </c>
      <c r="L55" s="1">
        <v>46143</v>
      </c>
      <c r="M55" s="1">
        <v>46173</v>
      </c>
      <c r="N55">
        <v>4.2901551443999999</v>
      </c>
      <c r="O55" t="s">
        <v>56</v>
      </c>
      <c r="P55" t="s">
        <v>63</v>
      </c>
      <c r="Q55" t="s">
        <v>2015</v>
      </c>
      <c r="R55" t="s">
        <v>2019</v>
      </c>
      <c r="S55" t="s">
        <v>67</v>
      </c>
      <c r="T55" t="s">
        <v>2091</v>
      </c>
      <c r="U55" t="s">
        <v>2220</v>
      </c>
      <c r="V55">
        <v>16</v>
      </c>
      <c r="W55" s="2">
        <v>748.46521051249988</v>
      </c>
    </row>
    <row r="56" spans="1:23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>
        <v>1141685</v>
      </c>
      <c r="H56" t="s">
        <v>80</v>
      </c>
      <c r="I56" t="s">
        <v>96</v>
      </c>
      <c r="J56" t="s">
        <v>80</v>
      </c>
      <c r="K56" t="s">
        <v>115</v>
      </c>
      <c r="L56" s="1">
        <v>46143</v>
      </c>
      <c r="M56" s="1">
        <v>46173</v>
      </c>
      <c r="N56">
        <v>1.4051330000000001E-4</v>
      </c>
      <c r="O56" t="s">
        <v>56</v>
      </c>
      <c r="P56" t="s">
        <v>63</v>
      </c>
      <c r="Q56" t="s">
        <v>2015</v>
      </c>
      <c r="R56" t="s">
        <v>2019</v>
      </c>
      <c r="S56" t="s">
        <v>67</v>
      </c>
      <c r="T56" t="s">
        <v>2092</v>
      </c>
      <c r="U56" t="s">
        <v>2221</v>
      </c>
      <c r="V56">
        <v>16</v>
      </c>
      <c r="W56" s="2">
        <v>2.1572275200000001E-2</v>
      </c>
    </row>
    <row r="57" spans="1:23" x14ac:dyDescent="0.25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>
        <v>1141685</v>
      </c>
      <c r="H57" t="s">
        <v>80</v>
      </c>
      <c r="I57" t="s">
        <v>96</v>
      </c>
      <c r="J57" t="s">
        <v>80</v>
      </c>
      <c r="K57" t="s">
        <v>115</v>
      </c>
      <c r="L57" s="1">
        <v>46143</v>
      </c>
      <c r="M57" s="1">
        <v>46173</v>
      </c>
      <c r="N57">
        <v>1.0348688709</v>
      </c>
      <c r="O57" t="s">
        <v>56</v>
      </c>
      <c r="P57" t="s">
        <v>63</v>
      </c>
      <c r="Q57" t="s">
        <v>2015</v>
      </c>
      <c r="R57" t="s">
        <v>2020</v>
      </c>
      <c r="S57" t="s">
        <v>67</v>
      </c>
      <c r="T57" t="s">
        <v>2093</v>
      </c>
      <c r="U57" t="s">
        <v>2222</v>
      </c>
      <c r="V57">
        <v>16</v>
      </c>
      <c r="W57" s="2">
        <v>180.54803642319999</v>
      </c>
    </row>
    <row r="58" spans="1:23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>
        <v>1141685</v>
      </c>
      <c r="H58" t="s">
        <v>80</v>
      </c>
      <c r="I58" t="s">
        <v>96</v>
      </c>
      <c r="J58" t="s">
        <v>80</v>
      </c>
      <c r="K58" t="s">
        <v>115</v>
      </c>
      <c r="L58" s="1">
        <v>46143</v>
      </c>
      <c r="M58" s="1">
        <v>46173</v>
      </c>
      <c r="N58">
        <v>9.5246000000000003E-6</v>
      </c>
      <c r="O58" t="s">
        <v>56</v>
      </c>
      <c r="P58" t="s">
        <v>63</v>
      </c>
      <c r="Q58" t="s">
        <v>2015</v>
      </c>
      <c r="R58" t="s">
        <v>2020</v>
      </c>
      <c r="S58" t="s">
        <v>67</v>
      </c>
      <c r="T58" t="s">
        <v>2094</v>
      </c>
      <c r="U58" t="s">
        <v>2223</v>
      </c>
      <c r="V58">
        <v>16</v>
      </c>
      <c r="W58" s="2">
        <v>1.4622677E-3</v>
      </c>
    </row>
    <row r="59" spans="1:23" x14ac:dyDescent="0.25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>
        <v>1141685</v>
      </c>
      <c r="H59" t="s">
        <v>79</v>
      </c>
      <c r="I59" t="s">
        <v>94</v>
      </c>
      <c r="J59" t="s">
        <v>101</v>
      </c>
      <c r="K59" t="s">
        <v>116</v>
      </c>
      <c r="L59" s="1">
        <v>46143</v>
      </c>
      <c r="M59" s="1">
        <v>46173</v>
      </c>
      <c r="N59">
        <v>2.6709120000000002E-4</v>
      </c>
      <c r="O59" t="s">
        <v>56</v>
      </c>
      <c r="P59" t="s">
        <v>63</v>
      </c>
      <c r="Q59" t="s">
        <v>2015</v>
      </c>
      <c r="R59" t="s">
        <v>2020</v>
      </c>
      <c r="S59" t="s">
        <v>67</v>
      </c>
      <c r="T59" t="s">
        <v>2095</v>
      </c>
      <c r="U59" t="s">
        <v>2224</v>
      </c>
      <c r="V59">
        <v>16</v>
      </c>
      <c r="W59" s="2">
        <v>0.36804099330000001</v>
      </c>
    </row>
    <row r="60" spans="1:23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>
        <v>1141685</v>
      </c>
      <c r="H60" t="s">
        <v>79</v>
      </c>
      <c r="I60" t="s">
        <v>94</v>
      </c>
      <c r="J60" t="s">
        <v>101</v>
      </c>
      <c r="K60" t="s">
        <v>116</v>
      </c>
      <c r="L60" s="1">
        <v>46143</v>
      </c>
      <c r="M60" s="1">
        <v>46173</v>
      </c>
      <c r="N60">
        <v>1.1424659984000001</v>
      </c>
      <c r="O60" t="s">
        <v>56</v>
      </c>
      <c r="P60" t="s">
        <v>63</v>
      </c>
      <c r="Q60" t="s">
        <v>2015</v>
      </c>
      <c r="R60" t="s">
        <v>2021</v>
      </c>
      <c r="S60" t="s">
        <v>67</v>
      </c>
      <c r="T60" t="s">
        <v>2096</v>
      </c>
      <c r="U60" t="s">
        <v>2225</v>
      </c>
      <c r="V60">
        <v>16</v>
      </c>
      <c r="W60" s="2">
        <v>1594.5149113094999</v>
      </c>
    </row>
    <row r="61" spans="1:23" x14ac:dyDescent="0.25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>
        <v>1141685</v>
      </c>
      <c r="H61" t="s">
        <v>77</v>
      </c>
      <c r="I61" t="s">
        <v>96</v>
      </c>
      <c r="J61" t="s">
        <v>77</v>
      </c>
      <c r="K61" t="s">
        <v>110</v>
      </c>
      <c r="L61" s="1">
        <v>46143</v>
      </c>
      <c r="M61" s="1">
        <v>46173</v>
      </c>
      <c r="N61">
        <v>744</v>
      </c>
      <c r="O61" t="s">
        <v>58</v>
      </c>
      <c r="P61" t="s">
        <v>63</v>
      </c>
      <c r="Q61" t="s">
        <v>2017</v>
      </c>
      <c r="R61" t="s">
        <v>2032</v>
      </c>
      <c r="S61" t="s">
        <v>67</v>
      </c>
      <c r="T61" t="s">
        <v>2051</v>
      </c>
      <c r="U61" t="s">
        <v>2180</v>
      </c>
      <c r="V61">
        <v>7</v>
      </c>
      <c r="W61" s="2">
        <v>129798.2412</v>
      </c>
    </row>
    <row r="62" spans="1:23" x14ac:dyDescent="0.25">
      <c r="A62" t="s">
        <v>31</v>
      </c>
      <c r="B62" t="s">
        <v>32</v>
      </c>
      <c r="C62" t="s">
        <v>33</v>
      </c>
      <c r="D62" t="s">
        <v>34</v>
      </c>
      <c r="E62" t="s">
        <v>35</v>
      </c>
      <c r="F62" t="s">
        <v>36</v>
      </c>
      <c r="G62">
        <v>1141685</v>
      </c>
      <c r="H62" t="s">
        <v>77</v>
      </c>
      <c r="I62" t="s">
        <v>96</v>
      </c>
      <c r="J62" t="s">
        <v>77</v>
      </c>
      <c r="K62" t="s">
        <v>110</v>
      </c>
      <c r="L62" s="1">
        <v>46143</v>
      </c>
      <c r="M62" s="1">
        <v>46173</v>
      </c>
      <c r="N62">
        <v>744</v>
      </c>
      <c r="O62" t="s">
        <v>58</v>
      </c>
      <c r="P62" t="s">
        <v>63</v>
      </c>
      <c r="Q62" t="s">
        <v>2017</v>
      </c>
      <c r="R62" t="s">
        <v>2033</v>
      </c>
      <c r="S62" t="s">
        <v>67</v>
      </c>
      <c r="T62" t="s">
        <v>172</v>
      </c>
      <c r="U62" t="s">
        <v>327</v>
      </c>
      <c r="V62">
        <v>7</v>
      </c>
      <c r="W62" s="2">
        <v>129798.2412</v>
      </c>
    </row>
    <row r="63" spans="1:23" x14ac:dyDescent="0.25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>
        <v>1141685</v>
      </c>
      <c r="H63" t="s">
        <v>79</v>
      </c>
      <c r="I63" t="s">
        <v>94</v>
      </c>
      <c r="J63" t="s">
        <v>101</v>
      </c>
      <c r="K63" t="s">
        <v>114</v>
      </c>
      <c r="L63" s="1">
        <v>46143</v>
      </c>
      <c r="M63" s="1">
        <v>46173</v>
      </c>
      <c r="N63">
        <v>2.6539173000000001E-3</v>
      </c>
      <c r="O63" t="s">
        <v>56</v>
      </c>
      <c r="P63" t="s">
        <v>63</v>
      </c>
      <c r="Q63" t="s">
        <v>2015</v>
      </c>
      <c r="R63" t="s">
        <v>2030</v>
      </c>
      <c r="S63" t="s">
        <v>67</v>
      </c>
      <c r="T63" t="s">
        <v>2097</v>
      </c>
      <c r="U63" t="s">
        <v>2226</v>
      </c>
      <c r="V63">
        <v>17</v>
      </c>
      <c r="W63" s="2">
        <v>3.6995369764000001</v>
      </c>
    </row>
    <row r="64" spans="1:23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36</v>
      </c>
      <c r="G64">
        <v>1141685</v>
      </c>
      <c r="H64" t="s">
        <v>79</v>
      </c>
      <c r="I64" t="s">
        <v>94</v>
      </c>
      <c r="J64" t="s">
        <v>101</v>
      </c>
      <c r="K64" t="s">
        <v>114</v>
      </c>
      <c r="L64" s="1">
        <v>46143</v>
      </c>
      <c r="M64" s="1">
        <v>46173</v>
      </c>
      <c r="N64">
        <v>1.118E-7</v>
      </c>
      <c r="O64" t="s">
        <v>56</v>
      </c>
      <c r="P64" t="s">
        <v>63</v>
      </c>
      <c r="Q64" t="s">
        <v>2015</v>
      </c>
      <c r="R64" t="s">
        <v>2019</v>
      </c>
      <c r="S64" t="s">
        <v>67</v>
      </c>
      <c r="T64" t="s">
        <v>2098</v>
      </c>
      <c r="U64" t="s">
        <v>2227</v>
      </c>
      <c r="V64">
        <v>16</v>
      </c>
      <c r="W64" s="2">
        <v>1.3726179999999999E-4</v>
      </c>
    </row>
    <row r="65" spans="1:23" x14ac:dyDescent="0.25">
      <c r="A65" t="s">
        <v>31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>
        <v>1141685</v>
      </c>
      <c r="H65" t="s">
        <v>77</v>
      </c>
      <c r="I65" t="s">
        <v>96</v>
      </c>
      <c r="J65" t="s">
        <v>77</v>
      </c>
      <c r="K65" t="s">
        <v>113</v>
      </c>
      <c r="L65" s="1">
        <v>46143</v>
      </c>
      <c r="M65" s="1">
        <v>46173</v>
      </c>
      <c r="N65">
        <v>75.604989977599999</v>
      </c>
      <c r="O65" t="s">
        <v>56</v>
      </c>
      <c r="P65" t="s">
        <v>63</v>
      </c>
      <c r="Q65" t="s">
        <v>2015</v>
      </c>
      <c r="R65" t="s">
        <v>2020</v>
      </c>
      <c r="S65" t="s">
        <v>67</v>
      </c>
      <c r="T65" t="s">
        <v>2099</v>
      </c>
      <c r="U65" t="s">
        <v>2228</v>
      </c>
      <c r="V65">
        <v>15</v>
      </c>
      <c r="W65" s="2">
        <v>13190.0509653059</v>
      </c>
    </row>
    <row r="66" spans="1:23" x14ac:dyDescent="0.25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s">
        <v>36</v>
      </c>
      <c r="G66">
        <v>1141685</v>
      </c>
      <c r="H66" t="s">
        <v>79</v>
      </c>
      <c r="I66" t="s">
        <v>94</v>
      </c>
      <c r="J66" t="s">
        <v>101</v>
      </c>
      <c r="K66" t="s">
        <v>114</v>
      </c>
      <c r="L66" s="1">
        <v>46143</v>
      </c>
      <c r="M66" s="1">
        <v>46173</v>
      </c>
      <c r="N66">
        <v>1.5090000000000001E-7</v>
      </c>
      <c r="O66" t="s">
        <v>56</v>
      </c>
      <c r="P66" t="s">
        <v>63</v>
      </c>
      <c r="Q66" t="s">
        <v>2015</v>
      </c>
      <c r="R66" t="s">
        <v>2021</v>
      </c>
      <c r="S66" t="s">
        <v>67</v>
      </c>
      <c r="T66" t="s">
        <v>2100</v>
      </c>
      <c r="U66" t="s">
        <v>2229</v>
      </c>
      <c r="V66">
        <v>16</v>
      </c>
      <c r="W66" s="2">
        <v>1.8530329999999999E-4</v>
      </c>
    </row>
    <row r="67" spans="1:23" x14ac:dyDescent="0.25">
      <c r="A67" t="s">
        <v>31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>
        <v>1141685</v>
      </c>
      <c r="H67" t="s">
        <v>77</v>
      </c>
      <c r="I67" t="s">
        <v>96</v>
      </c>
      <c r="J67" t="s">
        <v>77</v>
      </c>
      <c r="K67" t="s">
        <v>111</v>
      </c>
      <c r="L67" s="1">
        <v>46143</v>
      </c>
      <c r="M67" s="1">
        <v>46173</v>
      </c>
      <c r="N67">
        <v>19.708234446100001</v>
      </c>
      <c r="O67" t="s">
        <v>56</v>
      </c>
      <c r="P67" t="s">
        <v>63</v>
      </c>
      <c r="Q67" t="s">
        <v>2015</v>
      </c>
      <c r="R67" t="s">
        <v>2020</v>
      </c>
      <c r="S67" t="s">
        <v>67</v>
      </c>
      <c r="T67" t="s">
        <v>2101</v>
      </c>
      <c r="U67" t="s">
        <v>2230</v>
      </c>
      <c r="V67">
        <v>16</v>
      </c>
      <c r="W67" s="2">
        <v>3438.3027516922002</v>
      </c>
    </row>
    <row r="68" spans="1:23" x14ac:dyDescent="0.25">
      <c r="A68" t="s">
        <v>31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>
        <v>1141685</v>
      </c>
      <c r="H68" t="s">
        <v>77</v>
      </c>
      <c r="I68" t="s">
        <v>96</v>
      </c>
      <c r="J68" t="s">
        <v>77</v>
      </c>
      <c r="K68" t="s">
        <v>113</v>
      </c>
      <c r="L68" s="1">
        <v>46143</v>
      </c>
      <c r="M68" s="1">
        <v>46173</v>
      </c>
      <c r="N68">
        <v>3.00020706E-2</v>
      </c>
      <c r="O68" t="s">
        <v>56</v>
      </c>
      <c r="P68" t="s">
        <v>63</v>
      </c>
      <c r="Q68" t="s">
        <v>2017</v>
      </c>
      <c r="R68" t="s">
        <v>2026</v>
      </c>
      <c r="S68" t="s">
        <v>67</v>
      </c>
      <c r="T68" t="s">
        <v>2102</v>
      </c>
      <c r="U68" t="s">
        <v>2231</v>
      </c>
      <c r="V68">
        <v>7</v>
      </c>
      <c r="W68" s="2">
        <v>5.2360618862999999</v>
      </c>
    </row>
    <row r="69" spans="1:23" x14ac:dyDescent="0.25">
      <c r="A69" t="s">
        <v>31</v>
      </c>
      <c r="B69" t="s">
        <v>32</v>
      </c>
      <c r="C69" t="s">
        <v>33</v>
      </c>
      <c r="D69" t="s">
        <v>34</v>
      </c>
      <c r="E69" t="s">
        <v>35</v>
      </c>
      <c r="F69" t="s">
        <v>36</v>
      </c>
      <c r="G69">
        <v>1141685</v>
      </c>
      <c r="H69" t="s">
        <v>1349</v>
      </c>
      <c r="I69" t="s">
        <v>97</v>
      </c>
      <c r="J69" t="s">
        <v>1354</v>
      </c>
      <c r="K69" t="s">
        <v>119</v>
      </c>
      <c r="L69" s="1">
        <v>46143</v>
      </c>
      <c r="M69" s="1">
        <v>46173</v>
      </c>
      <c r="N69">
        <v>1132</v>
      </c>
      <c r="O69" t="s">
        <v>58</v>
      </c>
      <c r="P69" t="s">
        <v>63</v>
      </c>
      <c r="Q69" t="s">
        <v>2018</v>
      </c>
      <c r="R69" t="s">
        <v>2028</v>
      </c>
      <c r="S69" t="s">
        <v>67</v>
      </c>
      <c r="T69" t="s">
        <v>2103</v>
      </c>
      <c r="U69" t="s">
        <v>2232</v>
      </c>
      <c r="V69">
        <v>7</v>
      </c>
      <c r="W69" s="2">
        <v>3577271.1751756798</v>
      </c>
    </row>
    <row r="70" spans="1:23" x14ac:dyDescent="0.25">
      <c r="A70" t="s">
        <v>31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>
        <v>1141685</v>
      </c>
      <c r="H70" t="s">
        <v>77</v>
      </c>
      <c r="I70" t="s">
        <v>96</v>
      </c>
      <c r="J70" t="s">
        <v>77</v>
      </c>
      <c r="K70" t="s">
        <v>113</v>
      </c>
      <c r="L70" s="1">
        <v>46143</v>
      </c>
      <c r="M70" s="1">
        <v>46173</v>
      </c>
      <c r="N70">
        <v>101.81659192310001</v>
      </c>
      <c r="O70" t="s">
        <v>56</v>
      </c>
      <c r="P70" t="s">
        <v>63</v>
      </c>
      <c r="Q70" t="s">
        <v>2015</v>
      </c>
      <c r="R70" t="s">
        <v>2021</v>
      </c>
      <c r="S70" t="s">
        <v>67</v>
      </c>
      <c r="T70" t="s">
        <v>2104</v>
      </c>
      <c r="U70" t="s">
        <v>2233</v>
      </c>
      <c r="V70">
        <v>16</v>
      </c>
      <c r="W70" s="2">
        <v>17762.921911679401</v>
      </c>
    </row>
    <row r="71" spans="1:23" x14ac:dyDescent="0.25">
      <c r="A71" t="s">
        <v>31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>
        <v>1141685</v>
      </c>
      <c r="H71" t="s">
        <v>77</v>
      </c>
      <c r="I71" t="s">
        <v>96</v>
      </c>
      <c r="J71" t="s">
        <v>77</v>
      </c>
      <c r="K71" t="s">
        <v>113</v>
      </c>
      <c r="L71" s="1">
        <v>46143</v>
      </c>
      <c r="M71" s="1">
        <v>46173</v>
      </c>
      <c r="N71">
        <v>124.8925179495</v>
      </c>
      <c r="O71" t="s">
        <v>56</v>
      </c>
      <c r="P71" t="s">
        <v>63</v>
      </c>
      <c r="Q71" t="s">
        <v>2015</v>
      </c>
      <c r="R71" t="s">
        <v>2020</v>
      </c>
      <c r="S71" t="s">
        <v>67</v>
      </c>
      <c r="T71" t="s">
        <v>2105</v>
      </c>
      <c r="U71" t="s">
        <v>2234</v>
      </c>
      <c r="V71">
        <v>16</v>
      </c>
      <c r="W71" s="2">
        <v>21788.748839686399</v>
      </c>
    </row>
    <row r="72" spans="1:23" x14ac:dyDescent="0.2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>
        <v>1141685</v>
      </c>
      <c r="H72" t="s">
        <v>76</v>
      </c>
      <c r="I72" t="s">
        <v>95</v>
      </c>
      <c r="J72" t="s">
        <v>99</v>
      </c>
      <c r="K72" t="s">
        <v>109</v>
      </c>
      <c r="L72" s="1">
        <v>46143</v>
      </c>
      <c r="M72" s="1">
        <v>46173</v>
      </c>
      <c r="N72">
        <v>166</v>
      </c>
      <c r="O72" t="s">
        <v>58</v>
      </c>
      <c r="P72" t="s">
        <v>63</v>
      </c>
      <c r="Q72" t="s">
        <v>2016</v>
      </c>
      <c r="R72" t="s">
        <v>2021</v>
      </c>
      <c r="S72" t="s">
        <v>67</v>
      </c>
      <c r="T72" t="s">
        <v>2071</v>
      </c>
      <c r="U72" t="s">
        <v>2200</v>
      </c>
      <c r="V72">
        <v>16</v>
      </c>
      <c r="W72" s="2">
        <v>0</v>
      </c>
    </row>
    <row r="73" spans="1:23" x14ac:dyDescent="0.25">
      <c r="A73" t="s">
        <v>31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>
        <v>1141685</v>
      </c>
      <c r="H73" t="s">
        <v>76</v>
      </c>
      <c r="I73" t="s">
        <v>95</v>
      </c>
      <c r="J73" t="s">
        <v>99</v>
      </c>
      <c r="K73" t="s">
        <v>109</v>
      </c>
      <c r="L73" s="1">
        <v>46143</v>
      </c>
      <c r="M73" s="1">
        <v>46173</v>
      </c>
      <c r="N73">
        <v>76</v>
      </c>
      <c r="O73" t="s">
        <v>58</v>
      </c>
      <c r="P73" t="s">
        <v>63</v>
      </c>
      <c r="Q73" t="s">
        <v>2016</v>
      </c>
      <c r="R73" t="s">
        <v>2021</v>
      </c>
      <c r="S73" t="s">
        <v>67</v>
      </c>
      <c r="T73" t="s">
        <v>2071</v>
      </c>
      <c r="U73" t="s">
        <v>2200</v>
      </c>
      <c r="V73">
        <v>16</v>
      </c>
      <c r="W73" s="2">
        <v>0</v>
      </c>
    </row>
    <row r="74" spans="1:23" x14ac:dyDescent="0.25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>
        <v>1141685</v>
      </c>
      <c r="H74" t="s">
        <v>79</v>
      </c>
      <c r="I74" t="s">
        <v>94</v>
      </c>
      <c r="J74" t="s">
        <v>101</v>
      </c>
      <c r="K74" t="s">
        <v>114</v>
      </c>
      <c r="L74" s="1">
        <v>46143</v>
      </c>
      <c r="M74" s="1">
        <v>46173</v>
      </c>
      <c r="N74">
        <v>1.7535387836</v>
      </c>
      <c r="O74" t="s">
        <v>56</v>
      </c>
      <c r="P74" t="s">
        <v>63</v>
      </c>
      <c r="Q74" t="s">
        <v>2015</v>
      </c>
      <c r="R74" t="s">
        <v>2021</v>
      </c>
      <c r="S74" t="s">
        <v>67</v>
      </c>
      <c r="T74" t="s">
        <v>2106</v>
      </c>
      <c r="U74" t="s">
        <v>2235</v>
      </c>
      <c r="V74">
        <v>16</v>
      </c>
      <c r="W74" s="2">
        <v>2447.3835284019001</v>
      </c>
    </row>
    <row r="75" spans="1:23" x14ac:dyDescent="0.25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>
        <v>1141685</v>
      </c>
      <c r="H75" t="s">
        <v>76</v>
      </c>
      <c r="I75" t="s">
        <v>95</v>
      </c>
      <c r="J75" t="s">
        <v>99</v>
      </c>
      <c r="K75" t="s">
        <v>109</v>
      </c>
      <c r="L75" s="1">
        <v>46143</v>
      </c>
      <c r="M75" s="1">
        <v>46173</v>
      </c>
      <c r="N75">
        <v>6.883464</v>
      </c>
      <c r="O75" t="s">
        <v>58</v>
      </c>
      <c r="P75" t="s">
        <v>63</v>
      </c>
      <c r="Q75" t="s">
        <v>2016</v>
      </c>
      <c r="R75" t="s">
        <v>2020</v>
      </c>
      <c r="S75" t="s">
        <v>67</v>
      </c>
      <c r="T75" t="s">
        <v>2045</v>
      </c>
      <c r="U75" t="s">
        <v>2174</v>
      </c>
      <c r="V75">
        <v>16</v>
      </c>
      <c r="W75" s="2">
        <v>0</v>
      </c>
    </row>
    <row r="76" spans="1:23" x14ac:dyDescent="0.25">
      <c r="A76" t="s">
        <v>31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>
        <v>1141685</v>
      </c>
      <c r="H76" t="s">
        <v>76</v>
      </c>
      <c r="I76" t="s">
        <v>95</v>
      </c>
      <c r="J76" t="s">
        <v>99</v>
      </c>
      <c r="K76" t="s">
        <v>109</v>
      </c>
      <c r="L76" s="1">
        <v>46143</v>
      </c>
      <c r="M76" s="1">
        <v>46173</v>
      </c>
      <c r="N76">
        <v>163</v>
      </c>
      <c r="O76" t="s">
        <v>58</v>
      </c>
      <c r="P76" t="s">
        <v>63</v>
      </c>
      <c r="Q76" t="s">
        <v>2016</v>
      </c>
      <c r="R76" t="s">
        <v>2020</v>
      </c>
      <c r="S76" t="s">
        <v>67</v>
      </c>
      <c r="T76" t="s">
        <v>2045</v>
      </c>
      <c r="U76" t="s">
        <v>2174</v>
      </c>
      <c r="V76">
        <v>16</v>
      </c>
      <c r="W76" s="2">
        <v>0</v>
      </c>
    </row>
    <row r="77" spans="1:23" x14ac:dyDescent="0.25">
      <c r="A77" t="s">
        <v>31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>
        <v>1141685</v>
      </c>
      <c r="H77" t="s">
        <v>75</v>
      </c>
      <c r="I77" t="s">
        <v>94</v>
      </c>
      <c r="J77" t="s">
        <v>98</v>
      </c>
      <c r="K77" t="s">
        <v>108</v>
      </c>
      <c r="L77" s="1">
        <v>46143</v>
      </c>
      <c r="M77" s="1">
        <v>46173</v>
      </c>
      <c r="N77">
        <v>0.13806593140000001</v>
      </c>
      <c r="O77" t="s">
        <v>56</v>
      </c>
      <c r="P77" t="s">
        <v>63</v>
      </c>
      <c r="Q77" t="s">
        <v>2015</v>
      </c>
      <c r="R77" t="s">
        <v>2020</v>
      </c>
      <c r="S77" t="s">
        <v>67</v>
      </c>
      <c r="T77" t="s">
        <v>2107</v>
      </c>
      <c r="U77" t="s">
        <v>2236</v>
      </c>
      <c r="V77">
        <v>16</v>
      </c>
      <c r="W77" s="2">
        <v>289.04853403380002</v>
      </c>
    </row>
    <row r="78" spans="1:23" x14ac:dyDescent="0.25">
      <c r="A78" t="s">
        <v>31</v>
      </c>
      <c r="B78" t="s">
        <v>32</v>
      </c>
      <c r="C78" t="s">
        <v>33</v>
      </c>
      <c r="D78" t="s">
        <v>34</v>
      </c>
      <c r="E78" t="s">
        <v>35</v>
      </c>
      <c r="F78" t="s">
        <v>36</v>
      </c>
      <c r="G78">
        <v>1141685</v>
      </c>
      <c r="H78" t="s">
        <v>82</v>
      </c>
      <c r="I78" t="s">
        <v>82</v>
      </c>
      <c r="J78" t="s">
        <v>82</v>
      </c>
      <c r="K78" t="s">
        <v>118</v>
      </c>
      <c r="L78" s="1">
        <v>46143</v>
      </c>
      <c r="M78" s="1">
        <v>46173</v>
      </c>
      <c r="N78">
        <v>0.140208</v>
      </c>
      <c r="O78" t="s">
        <v>60</v>
      </c>
      <c r="P78" t="s">
        <v>63</v>
      </c>
      <c r="Q78" t="s">
        <v>2017</v>
      </c>
      <c r="R78" t="s">
        <v>148</v>
      </c>
      <c r="S78" t="s">
        <v>68</v>
      </c>
      <c r="T78" t="s">
        <v>2108</v>
      </c>
      <c r="U78" t="s">
        <v>2237</v>
      </c>
      <c r="V78">
        <v>7</v>
      </c>
      <c r="W78" s="2">
        <v>978.42620633599995</v>
      </c>
    </row>
    <row r="79" spans="1:23" x14ac:dyDescent="0.25">
      <c r="A79" t="s">
        <v>31</v>
      </c>
      <c r="B79" t="s">
        <v>32</v>
      </c>
      <c r="C79" t="s">
        <v>33</v>
      </c>
      <c r="D79" t="s">
        <v>34</v>
      </c>
      <c r="E79" t="s">
        <v>35</v>
      </c>
      <c r="F79" t="s">
        <v>36</v>
      </c>
      <c r="G79">
        <v>1141685</v>
      </c>
      <c r="H79" t="s">
        <v>88</v>
      </c>
      <c r="I79" t="s">
        <v>88</v>
      </c>
      <c r="J79" t="s">
        <v>88</v>
      </c>
      <c r="K79" t="s">
        <v>126</v>
      </c>
      <c r="L79" s="1">
        <v>46143</v>
      </c>
      <c r="M79" s="1">
        <v>46173</v>
      </c>
      <c r="N79">
        <v>744</v>
      </c>
      <c r="O79" t="s">
        <v>58</v>
      </c>
      <c r="P79" t="s">
        <v>63</v>
      </c>
      <c r="Q79" t="s">
        <v>2018</v>
      </c>
      <c r="R79" t="s">
        <v>2034</v>
      </c>
      <c r="S79" t="s">
        <v>67</v>
      </c>
      <c r="T79" t="s">
        <v>2109</v>
      </c>
      <c r="U79" t="s">
        <v>2238</v>
      </c>
      <c r="V79">
        <v>8</v>
      </c>
      <c r="W79" s="2">
        <v>389394.72360000003</v>
      </c>
    </row>
    <row r="80" spans="1:23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>
        <v>1141685</v>
      </c>
      <c r="H80" t="s">
        <v>83</v>
      </c>
      <c r="I80" t="s">
        <v>97</v>
      </c>
      <c r="J80" t="s">
        <v>103</v>
      </c>
      <c r="K80" t="s">
        <v>119</v>
      </c>
      <c r="L80" s="1">
        <v>46143</v>
      </c>
      <c r="M80" s="1">
        <v>46173</v>
      </c>
      <c r="N80">
        <v>1956</v>
      </c>
      <c r="O80" t="s">
        <v>58</v>
      </c>
      <c r="P80" t="s">
        <v>63</v>
      </c>
      <c r="Q80" t="s">
        <v>2018</v>
      </c>
      <c r="R80" t="s">
        <v>2028</v>
      </c>
      <c r="S80" t="s">
        <v>67</v>
      </c>
      <c r="T80" t="s">
        <v>2110</v>
      </c>
      <c r="U80" t="s">
        <v>2239</v>
      </c>
      <c r="V80">
        <v>7</v>
      </c>
      <c r="W80" s="2">
        <v>3411277.36667008</v>
      </c>
    </row>
    <row r="81" spans="1:23" x14ac:dyDescent="0.25">
      <c r="A81" t="s">
        <v>31</v>
      </c>
      <c r="B81" t="s">
        <v>32</v>
      </c>
      <c r="C81" t="s">
        <v>33</v>
      </c>
      <c r="D81" t="s">
        <v>34</v>
      </c>
      <c r="E81" t="s">
        <v>35</v>
      </c>
      <c r="F81" t="s">
        <v>36</v>
      </c>
      <c r="G81">
        <v>1141685</v>
      </c>
      <c r="H81" t="s">
        <v>77</v>
      </c>
      <c r="I81" t="s">
        <v>96</v>
      </c>
      <c r="J81" t="s">
        <v>77</v>
      </c>
      <c r="K81" t="s">
        <v>110</v>
      </c>
      <c r="L81" s="1">
        <v>46143</v>
      </c>
      <c r="M81" s="1">
        <v>46173</v>
      </c>
      <c r="N81">
        <v>744</v>
      </c>
      <c r="O81" t="s">
        <v>58</v>
      </c>
      <c r="P81" t="s">
        <v>63</v>
      </c>
      <c r="Q81" t="s">
        <v>2017</v>
      </c>
      <c r="R81" t="s">
        <v>2035</v>
      </c>
      <c r="S81" t="s">
        <v>67</v>
      </c>
      <c r="T81" t="s">
        <v>2111</v>
      </c>
      <c r="U81" t="s">
        <v>2240</v>
      </c>
      <c r="V81">
        <v>8</v>
      </c>
      <c r="W81" s="2">
        <v>129798.2412</v>
      </c>
    </row>
    <row r="82" spans="1:23" x14ac:dyDescent="0.25">
      <c r="A82" t="s">
        <v>31</v>
      </c>
      <c r="B82" t="s">
        <v>32</v>
      </c>
      <c r="C82" t="s">
        <v>33</v>
      </c>
      <c r="D82" t="s">
        <v>34</v>
      </c>
      <c r="E82" t="s">
        <v>35</v>
      </c>
      <c r="F82" t="s">
        <v>36</v>
      </c>
      <c r="G82">
        <v>1141685</v>
      </c>
      <c r="H82" t="s">
        <v>80</v>
      </c>
      <c r="I82" t="s">
        <v>96</v>
      </c>
      <c r="J82" t="s">
        <v>80</v>
      </c>
      <c r="K82" t="s">
        <v>115</v>
      </c>
      <c r="L82" s="1">
        <v>46143</v>
      </c>
      <c r="M82" s="1">
        <v>46173</v>
      </c>
      <c r="N82">
        <v>0.33012808110000003</v>
      </c>
      <c r="O82" t="s">
        <v>56</v>
      </c>
      <c r="P82" t="s">
        <v>63</v>
      </c>
      <c r="Q82" t="s">
        <v>2015</v>
      </c>
      <c r="R82" t="s">
        <v>2020</v>
      </c>
      <c r="S82" t="s">
        <v>67</v>
      </c>
      <c r="T82" t="s">
        <v>2112</v>
      </c>
      <c r="U82" t="s">
        <v>2241</v>
      </c>
      <c r="V82">
        <v>15</v>
      </c>
      <c r="W82" s="2">
        <v>57.592847631200002</v>
      </c>
    </row>
    <row r="83" spans="1:23" x14ac:dyDescent="0.25">
      <c r="A83" t="s">
        <v>31</v>
      </c>
      <c r="B83" t="s">
        <v>32</v>
      </c>
      <c r="C83" t="s">
        <v>33</v>
      </c>
      <c r="D83" t="s">
        <v>34</v>
      </c>
      <c r="E83" t="s">
        <v>35</v>
      </c>
      <c r="F83" t="s">
        <v>36</v>
      </c>
      <c r="G83">
        <v>1141685</v>
      </c>
      <c r="H83" t="s">
        <v>80</v>
      </c>
      <c r="I83" t="s">
        <v>96</v>
      </c>
      <c r="J83" t="s">
        <v>80</v>
      </c>
      <c r="K83" t="s">
        <v>115</v>
      </c>
      <c r="L83" s="1">
        <v>46143</v>
      </c>
      <c r="M83" s="1">
        <v>46173</v>
      </c>
      <c r="N83">
        <v>0.80380679479999995</v>
      </c>
      <c r="O83" t="s">
        <v>56</v>
      </c>
      <c r="P83" t="s">
        <v>63</v>
      </c>
      <c r="Q83" t="s">
        <v>2015</v>
      </c>
      <c r="R83" t="s">
        <v>2019</v>
      </c>
      <c r="S83" t="s">
        <v>67</v>
      </c>
      <c r="T83" t="s">
        <v>2113</v>
      </c>
      <c r="U83" t="s">
        <v>2242</v>
      </c>
      <c r="V83">
        <v>15</v>
      </c>
      <c r="W83" s="2">
        <v>140.23427741099999</v>
      </c>
    </row>
    <row r="84" spans="1:23" x14ac:dyDescent="0.25">
      <c r="A84" t="s">
        <v>31</v>
      </c>
      <c r="B84" t="s">
        <v>32</v>
      </c>
      <c r="C84" t="s">
        <v>33</v>
      </c>
      <c r="D84" t="s">
        <v>34</v>
      </c>
      <c r="E84" t="s">
        <v>35</v>
      </c>
      <c r="F84" t="s">
        <v>36</v>
      </c>
      <c r="G84">
        <v>1141685</v>
      </c>
      <c r="H84" t="s">
        <v>76</v>
      </c>
      <c r="I84" t="s">
        <v>95</v>
      </c>
      <c r="J84" t="s">
        <v>99</v>
      </c>
      <c r="K84" t="s">
        <v>109</v>
      </c>
      <c r="L84" s="1">
        <v>46143</v>
      </c>
      <c r="M84" s="1">
        <v>46173</v>
      </c>
      <c r="N84">
        <v>360</v>
      </c>
      <c r="O84" t="s">
        <v>58</v>
      </c>
      <c r="P84" t="s">
        <v>63</v>
      </c>
      <c r="Q84" t="s">
        <v>2016</v>
      </c>
      <c r="R84" t="s">
        <v>2020</v>
      </c>
      <c r="S84" t="s">
        <v>67</v>
      </c>
      <c r="T84" t="s">
        <v>2045</v>
      </c>
      <c r="U84" t="s">
        <v>2174</v>
      </c>
      <c r="V84">
        <v>16</v>
      </c>
      <c r="W84" s="2">
        <v>0</v>
      </c>
    </row>
    <row r="85" spans="1:23" x14ac:dyDescent="0.25">
      <c r="A85" t="s">
        <v>31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>
        <v>1141685</v>
      </c>
      <c r="H85" t="s">
        <v>76</v>
      </c>
      <c r="I85" t="s">
        <v>95</v>
      </c>
      <c r="J85" t="s">
        <v>99</v>
      </c>
      <c r="K85" t="s">
        <v>109</v>
      </c>
      <c r="L85" s="1">
        <v>46143</v>
      </c>
      <c r="M85" s="1">
        <v>46173</v>
      </c>
      <c r="N85">
        <v>0.183337</v>
      </c>
      <c r="O85" t="s">
        <v>58</v>
      </c>
      <c r="P85" t="s">
        <v>63</v>
      </c>
      <c r="Q85" t="s">
        <v>2016</v>
      </c>
      <c r="R85" t="s">
        <v>2019</v>
      </c>
      <c r="S85" t="s">
        <v>67</v>
      </c>
      <c r="T85" t="s">
        <v>2072</v>
      </c>
      <c r="U85" t="s">
        <v>2201</v>
      </c>
      <c r="V85">
        <v>16</v>
      </c>
      <c r="W85" s="2">
        <v>0</v>
      </c>
    </row>
    <row r="86" spans="1:23" x14ac:dyDescent="0.25">
      <c r="A86" t="s">
        <v>31</v>
      </c>
      <c r="B86" t="s">
        <v>32</v>
      </c>
      <c r="C86" t="s">
        <v>33</v>
      </c>
      <c r="D86" t="s">
        <v>34</v>
      </c>
      <c r="E86" t="s">
        <v>35</v>
      </c>
      <c r="F86" t="s">
        <v>36</v>
      </c>
      <c r="G86">
        <v>1141685</v>
      </c>
      <c r="H86" t="s">
        <v>80</v>
      </c>
      <c r="I86" t="s">
        <v>96</v>
      </c>
      <c r="J86" t="s">
        <v>80</v>
      </c>
      <c r="K86" t="s">
        <v>115</v>
      </c>
      <c r="L86" s="1">
        <v>46143</v>
      </c>
      <c r="M86" s="1">
        <v>46173</v>
      </c>
      <c r="N86">
        <v>0.9921559244</v>
      </c>
      <c r="O86" t="s">
        <v>56</v>
      </c>
      <c r="P86" t="s">
        <v>63</v>
      </c>
      <c r="Q86" t="s">
        <v>2015</v>
      </c>
      <c r="R86" t="s">
        <v>2020</v>
      </c>
      <c r="S86" t="s">
        <v>67</v>
      </c>
      <c r="T86" t="s">
        <v>2114</v>
      </c>
      <c r="U86" t="s">
        <v>2243</v>
      </c>
      <c r="V86">
        <v>16</v>
      </c>
      <c r="W86" s="2">
        <v>173.09053986590001</v>
      </c>
    </row>
    <row r="87" spans="1:23" x14ac:dyDescent="0.25">
      <c r="A87" t="s">
        <v>31</v>
      </c>
      <c r="B87" t="s">
        <v>32</v>
      </c>
      <c r="C87" t="s">
        <v>33</v>
      </c>
      <c r="D87" t="s">
        <v>34</v>
      </c>
      <c r="E87" t="s">
        <v>35</v>
      </c>
      <c r="F87" t="s">
        <v>36</v>
      </c>
      <c r="G87">
        <v>1141685</v>
      </c>
      <c r="H87" t="s">
        <v>76</v>
      </c>
      <c r="I87" t="s">
        <v>95</v>
      </c>
      <c r="J87" t="s">
        <v>99</v>
      </c>
      <c r="K87" t="s">
        <v>109</v>
      </c>
      <c r="L87" s="1">
        <v>46143</v>
      </c>
      <c r="M87" s="1">
        <v>46173</v>
      </c>
      <c r="N87">
        <v>140</v>
      </c>
      <c r="O87" t="s">
        <v>58</v>
      </c>
      <c r="P87" t="s">
        <v>63</v>
      </c>
      <c r="Q87" t="s">
        <v>2016</v>
      </c>
      <c r="R87" t="s">
        <v>2019</v>
      </c>
      <c r="S87" t="s">
        <v>67</v>
      </c>
      <c r="T87" t="s">
        <v>2115</v>
      </c>
      <c r="U87" t="s">
        <v>2244</v>
      </c>
      <c r="V87">
        <v>15</v>
      </c>
      <c r="W87" s="2">
        <v>0</v>
      </c>
    </row>
    <row r="88" spans="1:23" x14ac:dyDescent="0.25">
      <c r="A88" t="s">
        <v>31</v>
      </c>
      <c r="B88" t="s">
        <v>32</v>
      </c>
      <c r="C88" t="s">
        <v>33</v>
      </c>
      <c r="D88" t="s">
        <v>34</v>
      </c>
      <c r="E88" t="s">
        <v>35</v>
      </c>
      <c r="F88" t="s">
        <v>36</v>
      </c>
      <c r="G88">
        <v>1141685</v>
      </c>
      <c r="H88" t="s">
        <v>76</v>
      </c>
      <c r="I88" t="s">
        <v>95</v>
      </c>
      <c r="J88" t="s">
        <v>99</v>
      </c>
      <c r="K88" t="s">
        <v>109</v>
      </c>
      <c r="L88" s="1">
        <v>46143</v>
      </c>
      <c r="M88" s="1">
        <v>46173</v>
      </c>
      <c r="N88">
        <v>75.983351999999996</v>
      </c>
      <c r="O88" t="s">
        <v>58</v>
      </c>
      <c r="P88" t="s">
        <v>63</v>
      </c>
      <c r="Q88" t="s">
        <v>2016</v>
      </c>
      <c r="R88" t="s">
        <v>2019</v>
      </c>
      <c r="S88" t="s">
        <v>67</v>
      </c>
      <c r="T88" t="s">
        <v>2072</v>
      </c>
      <c r="U88" t="s">
        <v>2201</v>
      </c>
      <c r="V88">
        <v>16</v>
      </c>
      <c r="W88" s="2">
        <v>0</v>
      </c>
    </row>
    <row r="89" spans="1:23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36</v>
      </c>
      <c r="G89">
        <v>1141685</v>
      </c>
      <c r="H89" t="s">
        <v>76</v>
      </c>
      <c r="I89" t="s">
        <v>95</v>
      </c>
      <c r="J89" t="s">
        <v>99</v>
      </c>
      <c r="K89" t="s">
        <v>109</v>
      </c>
      <c r="L89" s="1">
        <v>46143</v>
      </c>
      <c r="M89" s="1">
        <v>46173</v>
      </c>
      <c r="N89">
        <v>0.96668500000000002</v>
      </c>
      <c r="O89" t="s">
        <v>58</v>
      </c>
      <c r="P89" t="s">
        <v>63</v>
      </c>
      <c r="Q89" t="s">
        <v>2016</v>
      </c>
      <c r="R89" t="s">
        <v>2021</v>
      </c>
      <c r="S89" t="s">
        <v>67</v>
      </c>
      <c r="T89" t="s">
        <v>2071</v>
      </c>
      <c r="U89" t="s">
        <v>2200</v>
      </c>
      <c r="V89">
        <v>16</v>
      </c>
      <c r="W89" s="2">
        <v>0</v>
      </c>
    </row>
    <row r="90" spans="1:23" x14ac:dyDescent="0.25">
      <c r="A90" t="s">
        <v>31</v>
      </c>
      <c r="B90" t="s">
        <v>32</v>
      </c>
      <c r="C90" t="s">
        <v>33</v>
      </c>
      <c r="D90" t="s">
        <v>34</v>
      </c>
      <c r="E90" t="s">
        <v>35</v>
      </c>
      <c r="F90" t="s">
        <v>36</v>
      </c>
      <c r="G90">
        <v>1141685</v>
      </c>
      <c r="H90" t="s">
        <v>76</v>
      </c>
      <c r="I90" t="s">
        <v>95</v>
      </c>
      <c r="J90" t="s">
        <v>99</v>
      </c>
      <c r="K90" t="s">
        <v>109</v>
      </c>
      <c r="L90" s="1">
        <v>46143</v>
      </c>
      <c r="M90" s="1">
        <v>46173</v>
      </c>
      <c r="N90">
        <v>165</v>
      </c>
      <c r="O90" t="s">
        <v>58</v>
      </c>
      <c r="P90" t="s">
        <v>63</v>
      </c>
      <c r="Q90" t="s">
        <v>2016</v>
      </c>
      <c r="R90" t="s">
        <v>2020</v>
      </c>
      <c r="S90" t="s">
        <v>67</v>
      </c>
      <c r="T90" t="s">
        <v>2045</v>
      </c>
      <c r="U90" t="s">
        <v>2174</v>
      </c>
      <c r="V90">
        <v>16</v>
      </c>
      <c r="W90" s="2">
        <v>0</v>
      </c>
    </row>
    <row r="91" spans="1:23" x14ac:dyDescent="0.25">
      <c r="A91" t="s">
        <v>31</v>
      </c>
      <c r="B91" t="s">
        <v>32</v>
      </c>
      <c r="C91" t="s">
        <v>33</v>
      </c>
      <c r="D91" t="s">
        <v>34</v>
      </c>
      <c r="E91" t="s">
        <v>35</v>
      </c>
      <c r="F91" t="s">
        <v>36</v>
      </c>
      <c r="G91">
        <v>1141685</v>
      </c>
      <c r="H91" t="s">
        <v>77</v>
      </c>
      <c r="I91" t="s">
        <v>96</v>
      </c>
      <c r="J91" t="s">
        <v>77</v>
      </c>
      <c r="K91" t="s">
        <v>111</v>
      </c>
      <c r="L91" s="1">
        <v>46143</v>
      </c>
      <c r="M91" s="1">
        <v>46173</v>
      </c>
      <c r="N91">
        <v>7.1035558293000003</v>
      </c>
      <c r="O91" t="s">
        <v>56</v>
      </c>
      <c r="P91" t="s">
        <v>63</v>
      </c>
      <c r="Q91" t="s">
        <v>2015</v>
      </c>
      <c r="R91" t="s">
        <v>2020</v>
      </c>
      <c r="S91" t="s">
        <v>67</v>
      </c>
      <c r="T91" t="s">
        <v>2116</v>
      </c>
      <c r="U91" t="s">
        <v>2245</v>
      </c>
      <c r="V91">
        <v>15</v>
      </c>
      <c r="W91" s="2">
        <v>1239.2819879758999</v>
      </c>
    </row>
    <row r="92" spans="1:23" x14ac:dyDescent="0.25">
      <c r="A92" t="s">
        <v>31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>
        <v>1141685</v>
      </c>
      <c r="H92" t="s">
        <v>77</v>
      </c>
      <c r="I92" t="s">
        <v>96</v>
      </c>
      <c r="J92" t="s">
        <v>77</v>
      </c>
      <c r="K92" t="s">
        <v>110</v>
      </c>
      <c r="L92" s="1">
        <v>46143</v>
      </c>
      <c r="M92" s="1">
        <v>46173</v>
      </c>
      <c r="N92">
        <v>744</v>
      </c>
      <c r="O92" t="s">
        <v>58</v>
      </c>
      <c r="P92" t="s">
        <v>63</v>
      </c>
      <c r="Q92" t="s">
        <v>2017</v>
      </c>
      <c r="R92" t="s">
        <v>2036</v>
      </c>
      <c r="S92" t="s">
        <v>67</v>
      </c>
      <c r="T92" t="s">
        <v>2117</v>
      </c>
      <c r="U92" t="s">
        <v>2246</v>
      </c>
      <c r="V92">
        <v>7</v>
      </c>
      <c r="W92" s="2">
        <v>129798.2412</v>
      </c>
    </row>
    <row r="93" spans="1:23" x14ac:dyDescent="0.25">
      <c r="A93" t="s">
        <v>31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>
        <v>1141685</v>
      </c>
      <c r="H93" t="s">
        <v>79</v>
      </c>
      <c r="I93" t="s">
        <v>94</v>
      </c>
      <c r="J93" t="s">
        <v>101</v>
      </c>
      <c r="K93" t="s">
        <v>114</v>
      </c>
      <c r="L93" s="1">
        <v>46143</v>
      </c>
      <c r="M93" s="1">
        <v>46173</v>
      </c>
      <c r="N93">
        <v>1.6759999999999999E-7</v>
      </c>
      <c r="O93" t="s">
        <v>56</v>
      </c>
      <c r="P93" t="s">
        <v>63</v>
      </c>
      <c r="Q93" t="s">
        <v>2015</v>
      </c>
      <c r="R93" t="s">
        <v>2030</v>
      </c>
      <c r="S93" t="s">
        <v>67</v>
      </c>
      <c r="T93" t="s">
        <v>2118</v>
      </c>
      <c r="U93" t="s">
        <v>2247</v>
      </c>
      <c r="V93">
        <v>17</v>
      </c>
      <c r="W93" s="2">
        <v>2.0589269999999999E-4</v>
      </c>
    </row>
    <row r="94" spans="1:23" x14ac:dyDescent="0.25">
      <c r="A94" t="s">
        <v>31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>
        <v>1141685</v>
      </c>
      <c r="H94" t="s">
        <v>79</v>
      </c>
      <c r="I94" t="s">
        <v>94</v>
      </c>
      <c r="J94" t="s">
        <v>101</v>
      </c>
      <c r="K94" t="s">
        <v>114</v>
      </c>
      <c r="L94" s="1">
        <v>46143</v>
      </c>
      <c r="M94" s="1">
        <v>46173</v>
      </c>
      <c r="N94">
        <v>5.3806980000000002E-4</v>
      </c>
      <c r="O94" t="s">
        <v>56</v>
      </c>
      <c r="P94" t="s">
        <v>63</v>
      </c>
      <c r="Q94" t="s">
        <v>2015</v>
      </c>
      <c r="R94" t="s">
        <v>2030</v>
      </c>
      <c r="S94" t="s">
        <v>67</v>
      </c>
      <c r="T94" t="s">
        <v>2119</v>
      </c>
      <c r="U94" t="s">
        <v>2248</v>
      </c>
      <c r="V94">
        <v>16</v>
      </c>
      <c r="W94" s="2">
        <v>0.75085641149999993</v>
      </c>
    </row>
    <row r="95" spans="1:23" x14ac:dyDescent="0.25">
      <c r="A95" t="s">
        <v>31</v>
      </c>
      <c r="B95" t="s">
        <v>32</v>
      </c>
      <c r="C95" t="s">
        <v>33</v>
      </c>
      <c r="D95" t="s">
        <v>34</v>
      </c>
      <c r="E95" t="s">
        <v>35</v>
      </c>
      <c r="F95" t="s">
        <v>36</v>
      </c>
      <c r="G95">
        <v>1141685</v>
      </c>
      <c r="H95" t="s">
        <v>92</v>
      </c>
      <c r="I95" t="s">
        <v>97</v>
      </c>
      <c r="J95" t="s">
        <v>107</v>
      </c>
      <c r="K95" t="s">
        <v>130</v>
      </c>
      <c r="L95" s="1">
        <v>46143</v>
      </c>
      <c r="M95" s="1">
        <v>46173</v>
      </c>
      <c r="N95">
        <v>39</v>
      </c>
      <c r="O95" t="s">
        <v>57</v>
      </c>
      <c r="P95" t="s">
        <v>63</v>
      </c>
      <c r="Q95" t="s">
        <v>2018</v>
      </c>
      <c r="R95" t="s">
        <v>2028</v>
      </c>
      <c r="S95" t="s">
        <v>67</v>
      </c>
      <c r="T95" t="s">
        <v>2120</v>
      </c>
      <c r="U95" t="s">
        <v>2249</v>
      </c>
      <c r="V95">
        <v>7</v>
      </c>
      <c r="W95" s="2">
        <v>93894.367359996104</v>
      </c>
    </row>
    <row r="96" spans="1:23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>
        <v>1141685</v>
      </c>
      <c r="H96" t="s">
        <v>85</v>
      </c>
      <c r="I96" t="s">
        <v>85</v>
      </c>
      <c r="J96" t="s">
        <v>85</v>
      </c>
      <c r="K96" t="s">
        <v>123</v>
      </c>
      <c r="L96" s="1">
        <v>46143</v>
      </c>
      <c r="M96" s="1">
        <v>46173</v>
      </c>
      <c r="N96">
        <v>33120</v>
      </c>
      <c r="O96" t="s">
        <v>61</v>
      </c>
      <c r="P96" t="s">
        <v>63</v>
      </c>
      <c r="Q96" t="s">
        <v>2018</v>
      </c>
      <c r="R96" t="s">
        <v>2037</v>
      </c>
      <c r="S96" t="s">
        <v>66</v>
      </c>
      <c r="T96" t="s">
        <v>625</v>
      </c>
      <c r="U96" t="s">
        <v>810</v>
      </c>
      <c r="V96">
        <v>6</v>
      </c>
      <c r="W96" s="2">
        <v>338019.74049599998</v>
      </c>
    </row>
    <row r="97" spans="1:23" x14ac:dyDescent="0.25">
      <c r="A97" t="s">
        <v>31</v>
      </c>
      <c r="B97" t="s">
        <v>32</v>
      </c>
      <c r="C97" t="s">
        <v>33</v>
      </c>
      <c r="D97" t="s">
        <v>34</v>
      </c>
      <c r="E97" t="s">
        <v>35</v>
      </c>
      <c r="F97" t="s">
        <v>36</v>
      </c>
      <c r="G97">
        <v>1141685</v>
      </c>
      <c r="H97" t="s">
        <v>38</v>
      </c>
      <c r="I97" t="s">
        <v>38</v>
      </c>
      <c r="J97" t="s">
        <v>38</v>
      </c>
      <c r="K97" t="s">
        <v>53</v>
      </c>
      <c r="L97" s="1">
        <v>46143</v>
      </c>
      <c r="M97" s="1">
        <v>46173</v>
      </c>
      <c r="N97">
        <v>1.7671002099999999E-2</v>
      </c>
      <c r="O97" t="s">
        <v>57</v>
      </c>
      <c r="P97" t="s">
        <v>63</v>
      </c>
      <c r="Q97" t="s">
        <v>2018</v>
      </c>
      <c r="R97" t="s">
        <v>2027</v>
      </c>
      <c r="S97" t="s">
        <v>66</v>
      </c>
      <c r="T97" t="s">
        <v>2121</v>
      </c>
      <c r="U97" t="s">
        <v>2250</v>
      </c>
      <c r="V97">
        <v>6</v>
      </c>
      <c r="W97" s="2">
        <v>43.279636313099999</v>
      </c>
    </row>
    <row r="98" spans="1:23" x14ac:dyDescent="0.25">
      <c r="A98" t="s">
        <v>31</v>
      </c>
      <c r="B98" t="s">
        <v>32</v>
      </c>
      <c r="C98" t="s">
        <v>33</v>
      </c>
      <c r="D98" t="s">
        <v>34</v>
      </c>
      <c r="E98" t="s">
        <v>35</v>
      </c>
      <c r="F98" t="s">
        <v>36</v>
      </c>
      <c r="G98">
        <v>1141685</v>
      </c>
      <c r="H98" t="s">
        <v>77</v>
      </c>
      <c r="I98" t="s">
        <v>96</v>
      </c>
      <c r="J98" t="s">
        <v>77</v>
      </c>
      <c r="K98" t="s">
        <v>111</v>
      </c>
      <c r="L98" s="1">
        <v>46143</v>
      </c>
      <c r="M98" s="1">
        <v>46173</v>
      </c>
      <c r="N98">
        <v>13.8378245616</v>
      </c>
      <c r="O98" t="s">
        <v>56</v>
      </c>
      <c r="P98" t="s">
        <v>63</v>
      </c>
      <c r="Q98" t="s">
        <v>2015</v>
      </c>
      <c r="R98" t="s">
        <v>2019</v>
      </c>
      <c r="S98" t="s">
        <v>67</v>
      </c>
      <c r="T98" t="s">
        <v>2122</v>
      </c>
      <c r="U98" t="s">
        <v>2251</v>
      </c>
      <c r="V98">
        <v>15</v>
      </c>
      <c r="W98" s="2">
        <v>2414.1492482598001</v>
      </c>
    </row>
    <row r="99" spans="1:23" x14ac:dyDescent="0.25">
      <c r="A99" t="s">
        <v>31</v>
      </c>
      <c r="B99" t="s">
        <v>32</v>
      </c>
      <c r="C99" t="s">
        <v>33</v>
      </c>
      <c r="D99" t="s">
        <v>34</v>
      </c>
      <c r="E99" t="s">
        <v>35</v>
      </c>
      <c r="F99" t="s">
        <v>36</v>
      </c>
      <c r="G99">
        <v>1141685</v>
      </c>
      <c r="H99" t="s">
        <v>87</v>
      </c>
      <c r="I99" t="s">
        <v>87</v>
      </c>
      <c r="J99" t="s">
        <v>87</v>
      </c>
      <c r="K99" t="s">
        <v>131</v>
      </c>
      <c r="L99" s="1">
        <v>46143</v>
      </c>
      <c r="M99" s="1">
        <v>46173</v>
      </c>
      <c r="N99">
        <v>2600.8352845842001</v>
      </c>
      <c r="O99" t="s">
        <v>56</v>
      </c>
      <c r="P99" t="s">
        <v>63</v>
      </c>
      <c r="Q99" t="s">
        <v>2015</v>
      </c>
      <c r="R99" t="s">
        <v>164</v>
      </c>
      <c r="S99" t="s">
        <v>67</v>
      </c>
      <c r="T99" t="s">
        <v>2123</v>
      </c>
      <c r="U99" t="s">
        <v>2252</v>
      </c>
      <c r="V99">
        <v>12</v>
      </c>
      <c r="W99" s="2">
        <v>226870.85844936629</v>
      </c>
    </row>
    <row r="100" spans="1:23" x14ac:dyDescent="0.25">
      <c r="A100" t="s">
        <v>31</v>
      </c>
      <c r="B100" t="s">
        <v>32</v>
      </c>
      <c r="C100" t="s">
        <v>33</v>
      </c>
      <c r="D100" t="s">
        <v>34</v>
      </c>
      <c r="E100" t="s">
        <v>35</v>
      </c>
      <c r="F100" t="s">
        <v>36</v>
      </c>
      <c r="G100">
        <v>1141685</v>
      </c>
      <c r="H100" t="s">
        <v>75</v>
      </c>
      <c r="I100" t="s">
        <v>94</v>
      </c>
      <c r="J100" t="s">
        <v>98</v>
      </c>
      <c r="K100" t="s">
        <v>108</v>
      </c>
      <c r="L100" s="1">
        <v>46143</v>
      </c>
      <c r="M100" s="1">
        <v>46173</v>
      </c>
      <c r="N100">
        <v>0.90409553610000004</v>
      </c>
      <c r="O100" t="s">
        <v>56</v>
      </c>
      <c r="P100" t="s">
        <v>63</v>
      </c>
      <c r="Q100" t="s">
        <v>2015</v>
      </c>
      <c r="R100" t="s">
        <v>2019</v>
      </c>
      <c r="S100" t="s">
        <v>67</v>
      </c>
      <c r="T100" t="s">
        <v>2124</v>
      </c>
      <c r="U100" t="s">
        <v>2253</v>
      </c>
      <c r="V100">
        <v>16</v>
      </c>
      <c r="W100" s="2">
        <v>1892.7430363212</v>
      </c>
    </row>
    <row r="101" spans="1:23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>
        <v>1141685</v>
      </c>
      <c r="H101" t="s">
        <v>75</v>
      </c>
      <c r="I101" t="s">
        <v>94</v>
      </c>
      <c r="J101" t="s">
        <v>98</v>
      </c>
      <c r="K101" t="s">
        <v>108</v>
      </c>
      <c r="L101" s="1">
        <v>46143</v>
      </c>
      <c r="M101" s="1">
        <v>46173</v>
      </c>
      <c r="N101">
        <v>0.5408169022</v>
      </c>
      <c r="O101" t="s">
        <v>56</v>
      </c>
      <c r="P101" t="s">
        <v>63</v>
      </c>
      <c r="Q101" t="s">
        <v>2015</v>
      </c>
      <c r="R101" t="s">
        <v>2030</v>
      </c>
      <c r="S101" t="s">
        <v>67</v>
      </c>
      <c r="T101" t="s">
        <v>2125</v>
      </c>
      <c r="U101" t="s">
        <v>2254</v>
      </c>
      <c r="V101">
        <v>16</v>
      </c>
      <c r="W101" s="2">
        <v>1035.8300150661</v>
      </c>
    </row>
    <row r="102" spans="1:23" x14ac:dyDescent="0.25">
      <c r="A102" t="s">
        <v>31</v>
      </c>
      <c r="B102" t="s">
        <v>32</v>
      </c>
      <c r="C102" t="s">
        <v>33</v>
      </c>
      <c r="D102" t="s">
        <v>34</v>
      </c>
      <c r="E102" t="s">
        <v>35</v>
      </c>
      <c r="F102" t="s">
        <v>36</v>
      </c>
      <c r="G102">
        <v>1141685</v>
      </c>
      <c r="H102" t="s">
        <v>75</v>
      </c>
      <c r="I102" t="s">
        <v>94</v>
      </c>
      <c r="J102" t="s">
        <v>98</v>
      </c>
      <c r="K102" t="s">
        <v>108</v>
      </c>
      <c r="L102" s="1">
        <v>46143</v>
      </c>
      <c r="M102" s="1">
        <v>46173</v>
      </c>
      <c r="N102">
        <v>2.0577600000000001E-5</v>
      </c>
      <c r="O102" t="s">
        <v>56</v>
      </c>
      <c r="P102" t="s">
        <v>63</v>
      </c>
      <c r="Q102" t="s">
        <v>2015</v>
      </c>
      <c r="R102" t="s">
        <v>2030</v>
      </c>
      <c r="S102" t="s">
        <v>67</v>
      </c>
      <c r="T102" t="s">
        <v>2126</v>
      </c>
      <c r="U102" t="s">
        <v>2255</v>
      </c>
      <c r="V102">
        <v>17</v>
      </c>
      <c r="W102" s="2">
        <v>4.7910012000000002E-2</v>
      </c>
    </row>
    <row r="103" spans="1:23" x14ac:dyDescent="0.25">
      <c r="A103" t="s">
        <v>31</v>
      </c>
      <c r="B103" t="s">
        <v>32</v>
      </c>
      <c r="C103" t="s">
        <v>33</v>
      </c>
      <c r="D103" t="s">
        <v>34</v>
      </c>
      <c r="E103" t="s">
        <v>35</v>
      </c>
      <c r="F103" t="s">
        <v>36</v>
      </c>
      <c r="G103">
        <v>1141685</v>
      </c>
      <c r="H103" t="s">
        <v>89</v>
      </c>
      <c r="I103" t="s">
        <v>89</v>
      </c>
      <c r="J103" t="s">
        <v>89</v>
      </c>
      <c r="K103" t="s">
        <v>127</v>
      </c>
      <c r="L103" s="1">
        <v>46143</v>
      </c>
      <c r="M103" s="1">
        <v>46173</v>
      </c>
      <c r="N103">
        <v>3.6299999999999999E-4</v>
      </c>
      <c r="O103" t="s">
        <v>60</v>
      </c>
      <c r="P103" t="s">
        <v>63</v>
      </c>
      <c r="Q103" t="s">
        <v>2018</v>
      </c>
      <c r="R103" t="s">
        <v>2034</v>
      </c>
      <c r="S103" t="s">
        <v>67</v>
      </c>
      <c r="T103" t="s">
        <v>2127</v>
      </c>
      <c r="U103" t="s">
        <v>2256</v>
      </c>
      <c r="V103">
        <v>8</v>
      </c>
      <c r="W103" s="2">
        <v>0</v>
      </c>
    </row>
    <row r="104" spans="1:23" x14ac:dyDescent="0.25">
      <c r="A104" t="s">
        <v>31</v>
      </c>
      <c r="B104" t="s">
        <v>32</v>
      </c>
      <c r="C104" t="s">
        <v>33</v>
      </c>
      <c r="D104" t="s">
        <v>34</v>
      </c>
      <c r="E104" t="s">
        <v>35</v>
      </c>
      <c r="F104" t="s">
        <v>36</v>
      </c>
      <c r="G104">
        <v>1141685</v>
      </c>
      <c r="H104" t="s">
        <v>84</v>
      </c>
      <c r="I104" t="s">
        <v>97</v>
      </c>
      <c r="J104" t="s">
        <v>104</v>
      </c>
      <c r="K104" t="s">
        <v>121</v>
      </c>
      <c r="L104" s="1">
        <v>46143</v>
      </c>
      <c r="M104" s="1">
        <v>46173</v>
      </c>
      <c r="N104">
        <v>42.372155630500004</v>
      </c>
      <c r="O104" t="s">
        <v>57</v>
      </c>
      <c r="P104" t="s">
        <v>63</v>
      </c>
      <c r="Q104" t="s">
        <v>2018</v>
      </c>
      <c r="R104" t="s">
        <v>2028</v>
      </c>
      <c r="S104" t="s">
        <v>67</v>
      </c>
      <c r="T104" t="s">
        <v>2128</v>
      </c>
      <c r="U104" t="s">
        <v>2257</v>
      </c>
      <c r="V104">
        <v>7</v>
      </c>
      <c r="W104" s="2">
        <v>177413.9112496429</v>
      </c>
    </row>
    <row r="105" spans="1:23" x14ac:dyDescent="0.25">
      <c r="A105" t="s">
        <v>31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>
        <v>1141685</v>
      </c>
      <c r="H105" t="s">
        <v>83</v>
      </c>
      <c r="I105" t="s">
        <v>97</v>
      </c>
      <c r="J105" t="s">
        <v>103</v>
      </c>
      <c r="K105" t="s">
        <v>119</v>
      </c>
      <c r="L105" s="1">
        <v>46143</v>
      </c>
      <c r="M105" s="1">
        <v>46173</v>
      </c>
      <c r="N105">
        <v>510</v>
      </c>
      <c r="O105" t="s">
        <v>58</v>
      </c>
      <c r="P105" t="s">
        <v>63</v>
      </c>
      <c r="Q105" t="s">
        <v>2018</v>
      </c>
      <c r="R105" t="s">
        <v>2028</v>
      </c>
      <c r="S105" t="s">
        <v>67</v>
      </c>
      <c r="T105" t="s">
        <v>2129</v>
      </c>
      <c r="U105" t="s">
        <v>2258</v>
      </c>
      <c r="V105">
        <v>7</v>
      </c>
      <c r="W105" s="2">
        <v>889443.48799679999</v>
      </c>
    </row>
    <row r="106" spans="1:23" x14ac:dyDescent="0.25">
      <c r="A106" t="s">
        <v>31</v>
      </c>
      <c r="B106" t="s">
        <v>32</v>
      </c>
      <c r="C106" t="s">
        <v>33</v>
      </c>
      <c r="D106" t="s">
        <v>34</v>
      </c>
      <c r="E106" t="s">
        <v>35</v>
      </c>
      <c r="F106" t="s">
        <v>36</v>
      </c>
      <c r="G106">
        <v>1141685</v>
      </c>
      <c r="H106" t="s">
        <v>88</v>
      </c>
      <c r="I106" t="s">
        <v>88</v>
      </c>
      <c r="J106" t="s">
        <v>88</v>
      </c>
      <c r="K106" t="s">
        <v>134</v>
      </c>
      <c r="L106" s="1">
        <v>46143</v>
      </c>
      <c r="M106" s="1">
        <v>46173</v>
      </c>
      <c r="N106">
        <v>2.2965710000000001</v>
      </c>
      <c r="O106" t="s">
        <v>60</v>
      </c>
      <c r="P106" t="s">
        <v>63</v>
      </c>
      <c r="Q106" t="s">
        <v>2018</v>
      </c>
      <c r="R106" t="s">
        <v>2034</v>
      </c>
      <c r="S106" t="s">
        <v>67</v>
      </c>
      <c r="T106" t="s">
        <v>2130</v>
      </c>
      <c r="U106" t="s">
        <v>2259</v>
      </c>
      <c r="V106">
        <v>8</v>
      </c>
      <c r="W106" s="2">
        <v>1121.8456896896</v>
      </c>
    </row>
    <row r="107" spans="1:23" x14ac:dyDescent="0.25">
      <c r="A107" t="s">
        <v>31</v>
      </c>
      <c r="B107" t="s">
        <v>32</v>
      </c>
      <c r="C107" t="s">
        <v>33</v>
      </c>
      <c r="D107" t="s">
        <v>34</v>
      </c>
      <c r="E107" t="s">
        <v>35</v>
      </c>
      <c r="F107" t="s">
        <v>36</v>
      </c>
      <c r="G107">
        <v>1141685</v>
      </c>
      <c r="H107" t="s">
        <v>82</v>
      </c>
      <c r="I107" t="s">
        <v>82</v>
      </c>
      <c r="J107" t="s">
        <v>82</v>
      </c>
      <c r="K107" t="s">
        <v>120</v>
      </c>
      <c r="L107" s="1">
        <v>46143</v>
      </c>
      <c r="M107" s="1">
        <v>46173</v>
      </c>
      <c r="N107">
        <v>1</v>
      </c>
      <c r="O107" t="s">
        <v>61</v>
      </c>
      <c r="P107" t="s">
        <v>63</v>
      </c>
      <c r="Q107" t="s">
        <v>2017</v>
      </c>
      <c r="R107" t="s">
        <v>147</v>
      </c>
      <c r="S107" t="s">
        <v>68</v>
      </c>
      <c r="T107" t="s">
        <v>256</v>
      </c>
      <c r="U107" t="s">
        <v>411</v>
      </c>
      <c r="V107">
        <v>6</v>
      </c>
      <c r="W107" s="2">
        <v>2691.9341720419998</v>
      </c>
    </row>
    <row r="108" spans="1:23" x14ac:dyDescent="0.25">
      <c r="A108" t="s">
        <v>31</v>
      </c>
      <c r="B108" t="s">
        <v>32</v>
      </c>
      <c r="C108" t="s">
        <v>33</v>
      </c>
      <c r="D108" t="s">
        <v>34</v>
      </c>
      <c r="E108" t="s">
        <v>35</v>
      </c>
      <c r="F108" t="s">
        <v>36</v>
      </c>
      <c r="G108">
        <v>1141685</v>
      </c>
      <c r="H108" t="s">
        <v>38</v>
      </c>
      <c r="I108" t="s">
        <v>38</v>
      </c>
      <c r="J108" t="s">
        <v>38</v>
      </c>
      <c r="K108" t="s">
        <v>50</v>
      </c>
      <c r="L108" s="1">
        <v>46143</v>
      </c>
      <c r="M108" s="1">
        <v>46173</v>
      </c>
      <c r="N108">
        <v>414</v>
      </c>
      <c r="O108" t="s">
        <v>61</v>
      </c>
      <c r="P108" t="s">
        <v>63</v>
      </c>
      <c r="Q108" t="s">
        <v>2018</v>
      </c>
      <c r="R108" t="s">
        <v>2027</v>
      </c>
      <c r="S108" t="s">
        <v>66</v>
      </c>
      <c r="T108" t="s">
        <v>1362</v>
      </c>
      <c r="U108" t="s">
        <v>1365</v>
      </c>
      <c r="V108">
        <v>6</v>
      </c>
      <c r="W108" s="2">
        <v>209.45187487999999</v>
      </c>
    </row>
    <row r="109" spans="1:23" x14ac:dyDescent="0.25">
      <c r="A109" t="s">
        <v>31</v>
      </c>
      <c r="B109" t="s">
        <v>32</v>
      </c>
      <c r="C109" t="s">
        <v>33</v>
      </c>
      <c r="D109" t="s">
        <v>34</v>
      </c>
      <c r="E109" t="s">
        <v>35</v>
      </c>
      <c r="F109" t="s">
        <v>36</v>
      </c>
      <c r="G109">
        <v>1141685</v>
      </c>
      <c r="H109" t="s">
        <v>86</v>
      </c>
      <c r="I109" t="s">
        <v>42</v>
      </c>
      <c r="J109" t="s">
        <v>86</v>
      </c>
      <c r="K109" t="s">
        <v>124</v>
      </c>
      <c r="L109" s="1">
        <v>46143</v>
      </c>
      <c r="M109" s="1">
        <v>46173</v>
      </c>
      <c r="N109">
        <v>1.44E-4</v>
      </c>
      <c r="O109" t="s">
        <v>135</v>
      </c>
      <c r="P109" t="s">
        <v>63</v>
      </c>
      <c r="Q109" t="s">
        <v>2016</v>
      </c>
      <c r="R109" t="s">
        <v>2038</v>
      </c>
      <c r="S109" t="s">
        <v>67</v>
      </c>
      <c r="T109" t="s">
        <v>2131</v>
      </c>
      <c r="U109" t="s">
        <v>2260</v>
      </c>
      <c r="V109">
        <v>17</v>
      </c>
      <c r="W109" s="2">
        <v>49.514022835200002</v>
      </c>
    </row>
    <row r="110" spans="1:23" x14ac:dyDescent="0.25">
      <c r="A110" t="s">
        <v>31</v>
      </c>
      <c r="B110" t="s">
        <v>32</v>
      </c>
      <c r="C110" t="s">
        <v>33</v>
      </c>
      <c r="D110" t="s">
        <v>34</v>
      </c>
      <c r="E110" t="s">
        <v>35</v>
      </c>
      <c r="F110" t="s">
        <v>36</v>
      </c>
      <c r="G110">
        <v>1141685</v>
      </c>
      <c r="H110" t="s">
        <v>79</v>
      </c>
      <c r="I110" t="s">
        <v>94</v>
      </c>
      <c r="J110" t="s">
        <v>101</v>
      </c>
      <c r="K110" t="s">
        <v>116</v>
      </c>
      <c r="L110" s="1">
        <v>46143</v>
      </c>
      <c r="M110" s="1">
        <v>46173</v>
      </c>
      <c r="N110">
        <v>1.5344499999999999E-5</v>
      </c>
      <c r="O110" t="s">
        <v>56</v>
      </c>
      <c r="P110" t="s">
        <v>63</v>
      </c>
      <c r="Q110" t="s">
        <v>2015</v>
      </c>
      <c r="R110" t="s">
        <v>2021</v>
      </c>
      <c r="S110" t="s">
        <v>67</v>
      </c>
      <c r="T110" t="s">
        <v>2132</v>
      </c>
      <c r="U110" t="s">
        <v>2261</v>
      </c>
      <c r="V110">
        <v>16</v>
      </c>
      <c r="W110" s="2">
        <v>1.8846054399999999E-2</v>
      </c>
    </row>
    <row r="111" spans="1:23" x14ac:dyDescent="0.25">
      <c r="A111" t="s">
        <v>31</v>
      </c>
      <c r="B111" t="s">
        <v>32</v>
      </c>
      <c r="C111" t="s">
        <v>33</v>
      </c>
      <c r="D111" t="s">
        <v>34</v>
      </c>
      <c r="E111" t="s">
        <v>35</v>
      </c>
      <c r="F111" t="s">
        <v>36</v>
      </c>
      <c r="G111">
        <v>1141685</v>
      </c>
      <c r="H111" t="s">
        <v>79</v>
      </c>
      <c r="I111" t="s">
        <v>94</v>
      </c>
      <c r="J111" t="s">
        <v>101</v>
      </c>
      <c r="K111" t="s">
        <v>116</v>
      </c>
      <c r="L111" s="1">
        <v>46143</v>
      </c>
      <c r="M111" s="1">
        <v>46173</v>
      </c>
      <c r="N111">
        <v>0.97545011709999996</v>
      </c>
      <c r="O111" t="s">
        <v>56</v>
      </c>
      <c r="P111" t="s">
        <v>63</v>
      </c>
      <c r="Q111" t="s">
        <v>2015</v>
      </c>
      <c r="R111" t="s">
        <v>2020</v>
      </c>
      <c r="S111" t="s">
        <v>67</v>
      </c>
      <c r="T111" t="s">
        <v>2133</v>
      </c>
      <c r="U111" t="s">
        <v>2262</v>
      </c>
      <c r="V111">
        <v>16</v>
      </c>
      <c r="W111" s="2">
        <v>1361.4162731499</v>
      </c>
    </row>
    <row r="112" spans="1:23" x14ac:dyDescent="0.25">
      <c r="A112" t="s">
        <v>31</v>
      </c>
      <c r="B112" t="s">
        <v>32</v>
      </c>
      <c r="C112" t="s">
        <v>33</v>
      </c>
      <c r="D112" t="s">
        <v>34</v>
      </c>
      <c r="E112" t="s">
        <v>35</v>
      </c>
      <c r="F112" t="s">
        <v>36</v>
      </c>
      <c r="G112">
        <v>1141685</v>
      </c>
      <c r="H112" t="s">
        <v>80</v>
      </c>
      <c r="I112" t="s">
        <v>96</v>
      </c>
      <c r="J112" t="s">
        <v>80</v>
      </c>
      <c r="K112" t="s">
        <v>122</v>
      </c>
      <c r="L112" s="1">
        <v>46143</v>
      </c>
      <c r="M112" s="1">
        <v>46173</v>
      </c>
      <c r="N112">
        <v>6.1085E-6</v>
      </c>
      <c r="O112" t="s">
        <v>56</v>
      </c>
      <c r="P112" t="s">
        <v>63</v>
      </c>
      <c r="Q112" t="s">
        <v>2015</v>
      </c>
      <c r="R112" t="s">
        <v>2020</v>
      </c>
      <c r="S112" t="s">
        <v>67</v>
      </c>
      <c r="T112" t="s">
        <v>2134</v>
      </c>
      <c r="U112" t="s">
        <v>2263</v>
      </c>
      <c r="V112">
        <v>16</v>
      </c>
      <c r="W112" s="2">
        <v>9.3781310000000005E-4</v>
      </c>
    </row>
    <row r="113" spans="1:23" x14ac:dyDescent="0.25">
      <c r="A113" t="s">
        <v>31</v>
      </c>
      <c r="B113" t="s">
        <v>32</v>
      </c>
      <c r="C113" t="s">
        <v>33</v>
      </c>
      <c r="D113" t="s">
        <v>34</v>
      </c>
      <c r="E113" t="s">
        <v>35</v>
      </c>
      <c r="F113" t="s">
        <v>36</v>
      </c>
      <c r="G113">
        <v>1141685</v>
      </c>
      <c r="H113" t="s">
        <v>80</v>
      </c>
      <c r="I113" t="s">
        <v>96</v>
      </c>
      <c r="J113" t="s">
        <v>80</v>
      </c>
      <c r="K113" t="s">
        <v>122</v>
      </c>
      <c r="L113" s="1">
        <v>46143</v>
      </c>
      <c r="M113" s="1">
        <v>46173</v>
      </c>
      <c r="N113">
        <v>0.1536129685</v>
      </c>
      <c r="O113" t="s">
        <v>56</v>
      </c>
      <c r="P113" t="s">
        <v>63</v>
      </c>
      <c r="Q113" t="s">
        <v>2015</v>
      </c>
      <c r="R113" t="s">
        <v>2020</v>
      </c>
      <c r="S113" t="s">
        <v>67</v>
      </c>
      <c r="T113" t="s">
        <v>2135</v>
      </c>
      <c r="U113" t="s">
        <v>2264</v>
      </c>
      <c r="V113">
        <v>15</v>
      </c>
      <c r="W113" s="2">
        <v>26.803400267600001</v>
      </c>
    </row>
    <row r="114" spans="1:23" x14ac:dyDescent="0.25">
      <c r="A114" t="s">
        <v>31</v>
      </c>
      <c r="B114" t="s">
        <v>32</v>
      </c>
      <c r="C114" t="s">
        <v>33</v>
      </c>
      <c r="D114" t="s">
        <v>34</v>
      </c>
      <c r="E114" t="s">
        <v>35</v>
      </c>
      <c r="F114" t="s">
        <v>36</v>
      </c>
      <c r="G114">
        <v>1141685</v>
      </c>
      <c r="H114" t="s">
        <v>80</v>
      </c>
      <c r="I114" t="s">
        <v>96</v>
      </c>
      <c r="J114" t="s">
        <v>80</v>
      </c>
      <c r="K114" t="s">
        <v>122</v>
      </c>
      <c r="L114" s="1">
        <v>46143</v>
      </c>
      <c r="M114" s="1">
        <v>46173</v>
      </c>
      <c r="N114">
        <v>2.2796811387</v>
      </c>
      <c r="O114" t="s">
        <v>56</v>
      </c>
      <c r="P114" t="s">
        <v>63</v>
      </c>
      <c r="Q114" t="s">
        <v>2015</v>
      </c>
      <c r="R114" t="s">
        <v>2019</v>
      </c>
      <c r="S114" t="s">
        <v>67</v>
      </c>
      <c r="T114" t="s">
        <v>2136</v>
      </c>
      <c r="U114" t="s">
        <v>2265</v>
      </c>
      <c r="V114">
        <v>16</v>
      </c>
      <c r="W114" s="2">
        <v>397.71759087930002</v>
      </c>
    </row>
    <row r="115" spans="1:23" x14ac:dyDescent="0.25">
      <c r="A115" t="s">
        <v>31</v>
      </c>
      <c r="B115" t="s">
        <v>32</v>
      </c>
      <c r="C115" t="s">
        <v>33</v>
      </c>
      <c r="D115" t="s">
        <v>34</v>
      </c>
      <c r="E115" t="s">
        <v>35</v>
      </c>
      <c r="F115" t="s">
        <v>36</v>
      </c>
      <c r="G115">
        <v>1141685</v>
      </c>
      <c r="H115" t="s">
        <v>77</v>
      </c>
      <c r="I115" t="s">
        <v>96</v>
      </c>
      <c r="J115" t="s">
        <v>77</v>
      </c>
      <c r="K115" t="s">
        <v>113</v>
      </c>
      <c r="L115" s="1">
        <v>46143</v>
      </c>
      <c r="M115" s="1">
        <v>46173</v>
      </c>
      <c r="N115">
        <v>3.9816649035</v>
      </c>
      <c r="O115" t="s">
        <v>56</v>
      </c>
      <c r="P115" t="s">
        <v>63</v>
      </c>
      <c r="Q115" t="s">
        <v>2015</v>
      </c>
      <c r="R115" t="s">
        <v>2021</v>
      </c>
      <c r="S115" t="s">
        <v>67</v>
      </c>
      <c r="T115" t="s">
        <v>2137</v>
      </c>
      <c r="U115" t="s">
        <v>2266</v>
      </c>
      <c r="V115">
        <v>15</v>
      </c>
      <c r="W115" s="2">
        <v>694.64430797060004</v>
      </c>
    </row>
    <row r="116" spans="1:23" x14ac:dyDescent="0.25">
      <c r="A116" t="s">
        <v>31</v>
      </c>
      <c r="B116" t="s">
        <v>32</v>
      </c>
      <c r="C116" t="s">
        <v>33</v>
      </c>
      <c r="D116" t="s">
        <v>34</v>
      </c>
      <c r="E116" t="s">
        <v>35</v>
      </c>
      <c r="F116" t="s">
        <v>36</v>
      </c>
      <c r="G116">
        <v>1141685</v>
      </c>
      <c r="H116" t="s">
        <v>77</v>
      </c>
      <c r="I116" t="s">
        <v>96</v>
      </c>
      <c r="J116" t="s">
        <v>77</v>
      </c>
      <c r="K116" t="s">
        <v>111</v>
      </c>
      <c r="L116" s="1">
        <v>46143</v>
      </c>
      <c r="M116" s="1">
        <v>46173</v>
      </c>
      <c r="N116">
        <v>3.2139326999999999E-3</v>
      </c>
      <c r="O116" t="s">
        <v>56</v>
      </c>
      <c r="P116" t="s">
        <v>63</v>
      </c>
      <c r="Q116" t="s">
        <v>2015</v>
      </c>
      <c r="R116" t="s">
        <v>2019</v>
      </c>
      <c r="S116" t="s">
        <v>67</v>
      </c>
      <c r="T116" t="s">
        <v>2138</v>
      </c>
      <c r="U116" t="s">
        <v>2267</v>
      </c>
      <c r="V116">
        <v>16</v>
      </c>
      <c r="W116" s="2">
        <v>0.56341838079999995</v>
      </c>
    </row>
    <row r="117" spans="1:23" x14ac:dyDescent="0.25">
      <c r="A117" t="s">
        <v>31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>
        <v>1141685</v>
      </c>
      <c r="H117" t="s">
        <v>76</v>
      </c>
      <c r="I117" t="s">
        <v>95</v>
      </c>
      <c r="J117" t="s">
        <v>99</v>
      </c>
      <c r="K117" t="s">
        <v>109</v>
      </c>
      <c r="L117" s="1">
        <v>46143</v>
      </c>
      <c r="M117" s="1">
        <v>46173</v>
      </c>
      <c r="N117">
        <v>362</v>
      </c>
      <c r="O117" t="s">
        <v>58</v>
      </c>
      <c r="P117" t="s">
        <v>63</v>
      </c>
      <c r="Q117" t="s">
        <v>2016</v>
      </c>
      <c r="R117" t="s">
        <v>2030</v>
      </c>
      <c r="S117" t="s">
        <v>67</v>
      </c>
      <c r="T117" t="s">
        <v>2139</v>
      </c>
      <c r="U117" t="s">
        <v>2268</v>
      </c>
      <c r="V117">
        <v>17</v>
      </c>
      <c r="W117" s="2">
        <v>0</v>
      </c>
    </row>
    <row r="118" spans="1:23" x14ac:dyDescent="0.25">
      <c r="A118" t="s">
        <v>31</v>
      </c>
      <c r="B118" t="s">
        <v>32</v>
      </c>
      <c r="C118" t="s">
        <v>33</v>
      </c>
      <c r="D118" t="s">
        <v>34</v>
      </c>
      <c r="E118" t="s">
        <v>35</v>
      </c>
      <c r="F118" t="s">
        <v>36</v>
      </c>
      <c r="G118">
        <v>1141685</v>
      </c>
      <c r="H118" t="s">
        <v>76</v>
      </c>
      <c r="I118" t="s">
        <v>95</v>
      </c>
      <c r="J118" t="s">
        <v>99</v>
      </c>
      <c r="K118" t="s">
        <v>109</v>
      </c>
      <c r="L118" s="1">
        <v>46143</v>
      </c>
      <c r="M118" s="1">
        <v>46173</v>
      </c>
      <c r="N118">
        <v>166</v>
      </c>
      <c r="O118" t="s">
        <v>58</v>
      </c>
      <c r="P118" t="s">
        <v>63</v>
      </c>
      <c r="Q118" t="s">
        <v>2016</v>
      </c>
      <c r="R118" t="s">
        <v>2030</v>
      </c>
      <c r="S118" t="s">
        <v>67</v>
      </c>
      <c r="T118" t="s">
        <v>2139</v>
      </c>
      <c r="U118" t="s">
        <v>2268</v>
      </c>
      <c r="V118">
        <v>17</v>
      </c>
      <c r="W118" s="2">
        <v>0</v>
      </c>
    </row>
    <row r="119" spans="1:23" x14ac:dyDescent="0.25">
      <c r="A119" t="s">
        <v>31</v>
      </c>
      <c r="B119" t="s">
        <v>32</v>
      </c>
      <c r="C119" t="s">
        <v>33</v>
      </c>
      <c r="D119" t="s">
        <v>34</v>
      </c>
      <c r="E119" t="s">
        <v>35</v>
      </c>
      <c r="F119" t="s">
        <v>36</v>
      </c>
      <c r="G119">
        <v>1141685</v>
      </c>
      <c r="H119" t="s">
        <v>76</v>
      </c>
      <c r="I119" t="s">
        <v>95</v>
      </c>
      <c r="J119" t="s">
        <v>99</v>
      </c>
      <c r="K119" t="s">
        <v>109</v>
      </c>
      <c r="L119" s="1">
        <v>46143</v>
      </c>
      <c r="M119" s="1">
        <v>46173</v>
      </c>
      <c r="N119">
        <v>0.183337</v>
      </c>
      <c r="O119" t="s">
        <v>58</v>
      </c>
      <c r="P119" t="s">
        <v>63</v>
      </c>
      <c r="Q119" t="s">
        <v>2016</v>
      </c>
      <c r="R119" t="s">
        <v>2030</v>
      </c>
      <c r="S119" t="s">
        <v>67</v>
      </c>
      <c r="T119" t="s">
        <v>2139</v>
      </c>
      <c r="U119" t="s">
        <v>2268</v>
      </c>
      <c r="V119">
        <v>17</v>
      </c>
      <c r="W119" s="2">
        <v>0</v>
      </c>
    </row>
    <row r="120" spans="1:23" x14ac:dyDescent="0.25">
      <c r="A120" t="s">
        <v>31</v>
      </c>
      <c r="B120" t="s">
        <v>32</v>
      </c>
      <c r="C120" t="s">
        <v>33</v>
      </c>
      <c r="D120" t="s">
        <v>34</v>
      </c>
      <c r="E120" t="s">
        <v>35</v>
      </c>
      <c r="F120" t="s">
        <v>36</v>
      </c>
      <c r="G120">
        <v>1141685</v>
      </c>
      <c r="H120" t="s">
        <v>76</v>
      </c>
      <c r="I120" t="s">
        <v>95</v>
      </c>
      <c r="J120" t="s">
        <v>99</v>
      </c>
      <c r="K120" t="s">
        <v>109</v>
      </c>
      <c r="L120" s="1">
        <v>46143</v>
      </c>
      <c r="M120" s="1">
        <v>46173</v>
      </c>
      <c r="N120">
        <v>75.983351999999996</v>
      </c>
      <c r="O120" t="s">
        <v>58</v>
      </c>
      <c r="P120" t="s">
        <v>63</v>
      </c>
      <c r="Q120" t="s">
        <v>2016</v>
      </c>
      <c r="R120" t="s">
        <v>2020</v>
      </c>
      <c r="S120" t="s">
        <v>67</v>
      </c>
      <c r="T120" t="s">
        <v>2045</v>
      </c>
      <c r="U120" t="s">
        <v>2174</v>
      </c>
      <c r="V120">
        <v>16</v>
      </c>
      <c r="W120" s="2">
        <v>0</v>
      </c>
    </row>
    <row r="121" spans="1:23" x14ac:dyDescent="0.25">
      <c r="A121" t="s">
        <v>31</v>
      </c>
      <c r="B121" t="s">
        <v>32</v>
      </c>
      <c r="C121" t="s">
        <v>33</v>
      </c>
      <c r="D121" t="s">
        <v>34</v>
      </c>
      <c r="E121" t="s">
        <v>35</v>
      </c>
      <c r="F121" t="s">
        <v>36</v>
      </c>
      <c r="G121">
        <v>1141685</v>
      </c>
      <c r="H121" t="s">
        <v>76</v>
      </c>
      <c r="I121" t="s">
        <v>95</v>
      </c>
      <c r="J121" t="s">
        <v>99</v>
      </c>
      <c r="K121" t="s">
        <v>109</v>
      </c>
      <c r="L121" s="1">
        <v>46143</v>
      </c>
      <c r="M121" s="1">
        <v>46173</v>
      </c>
      <c r="N121">
        <v>360</v>
      </c>
      <c r="O121" t="s">
        <v>58</v>
      </c>
      <c r="P121" t="s">
        <v>63</v>
      </c>
      <c r="Q121" t="s">
        <v>2016</v>
      </c>
      <c r="R121" t="s">
        <v>2019</v>
      </c>
      <c r="S121" t="s">
        <v>67</v>
      </c>
      <c r="T121" t="s">
        <v>2072</v>
      </c>
      <c r="U121" t="s">
        <v>2201</v>
      </c>
      <c r="V121">
        <v>16</v>
      </c>
      <c r="W121" s="2">
        <v>0</v>
      </c>
    </row>
    <row r="122" spans="1:23" x14ac:dyDescent="0.25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36</v>
      </c>
      <c r="G122">
        <v>1141685</v>
      </c>
      <c r="H122" t="s">
        <v>77</v>
      </c>
      <c r="I122" t="s">
        <v>96</v>
      </c>
      <c r="J122" t="s">
        <v>77</v>
      </c>
      <c r="K122" t="s">
        <v>113</v>
      </c>
      <c r="L122" s="1">
        <v>46143</v>
      </c>
      <c r="M122" s="1">
        <v>46173</v>
      </c>
      <c r="N122">
        <v>3.7924479999999999E-4</v>
      </c>
      <c r="O122" t="s">
        <v>56</v>
      </c>
      <c r="P122" t="s">
        <v>63</v>
      </c>
      <c r="Q122" t="s">
        <v>2017</v>
      </c>
      <c r="R122" t="s">
        <v>2026</v>
      </c>
      <c r="S122" t="s">
        <v>67</v>
      </c>
      <c r="T122" t="s">
        <v>2140</v>
      </c>
      <c r="U122" t="s">
        <v>2269</v>
      </c>
      <c r="V122">
        <v>7</v>
      </c>
      <c r="W122" s="2">
        <v>6.8223481500000002E-2</v>
      </c>
    </row>
    <row r="123" spans="1:23" x14ac:dyDescent="0.25">
      <c r="A123" t="s">
        <v>31</v>
      </c>
      <c r="B123" t="s">
        <v>32</v>
      </c>
      <c r="C123" t="s">
        <v>33</v>
      </c>
      <c r="D123" t="s">
        <v>34</v>
      </c>
      <c r="E123" t="s">
        <v>35</v>
      </c>
      <c r="F123" t="s">
        <v>36</v>
      </c>
      <c r="G123">
        <v>1141685</v>
      </c>
      <c r="H123" t="s">
        <v>77</v>
      </c>
      <c r="I123" t="s">
        <v>96</v>
      </c>
      <c r="J123" t="s">
        <v>77</v>
      </c>
      <c r="K123" t="s">
        <v>111</v>
      </c>
      <c r="L123" s="1">
        <v>46143</v>
      </c>
      <c r="M123" s="1">
        <v>46173</v>
      </c>
      <c r="N123">
        <v>6.3306320499999999E-2</v>
      </c>
      <c r="O123" t="s">
        <v>56</v>
      </c>
      <c r="P123" t="s">
        <v>63</v>
      </c>
      <c r="Q123" t="s">
        <v>2017</v>
      </c>
      <c r="R123" t="s">
        <v>2026</v>
      </c>
      <c r="S123" t="s">
        <v>67</v>
      </c>
      <c r="T123" t="s">
        <v>2141</v>
      </c>
      <c r="U123" t="s">
        <v>2270</v>
      </c>
      <c r="V123">
        <v>7</v>
      </c>
      <c r="W123" s="2">
        <v>11.049090185500001</v>
      </c>
    </row>
    <row r="124" spans="1:23" x14ac:dyDescent="0.25">
      <c r="A124" t="s">
        <v>31</v>
      </c>
      <c r="B124" t="s">
        <v>32</v>
      </c>
      <c r="C124" t="s">
        <v>33</v>
      </c>
      <c r="D124" t="s">
        <v>34</v>
      </c>
      <c r="E124" t="s">
        <v>35</v>
      </c>
      <c r="F124" t="s">
        <v>36</v>
      </c>
      <c r="G124">
        <v>1141685</v>
      </c>
      <c r="H124" t="s">
        <v>77</v>
      </c>
      <c r="I124" t="s">
        <v>96</v>
      </c>
      <c r="J124" t="s">
        <v>77</v>
      </c>
      <c r="K124" t="s">
        <v>111</v>
      </c>
      <c r="L124" s="1">
        <v>46143</v>
      </c>
      <c r="M124" s="1">
        <v>46173</v>
      </c>
      <c r="N124">
        <v>15.2695148094</v>
      </c>
      <c r="O124" t="s">
        <v>56</v>
      </c>
      <c r="P124" t="s">
        <v>63</v>
      </c>
      <c r="Q124" t="s">
        <v>2015</v>
      </c>
      <c r="R124" t="s">
        <v>2021</v>
      </c>
      <c r="S124" t="s">
        <v>67</v>
      </c>
      <c r="T124" t="s">
        <v>2142</v>
      </c>
      <c r="U124" t="s">
        <v>2271</v>
      </c>
      <c r="V124">
        <v>16</v>
      </c>
      <c r="W124" s="2">
        <v>2663.9192072013998</v>
      </c>
    </row>
    <row r="125" spans="1:23" x14ac:dyDescent="0.25">
      <c r="A125" t="s">
        <v>31</v>
      </c>
      <c r="B125" t="s">
        <v>32</v>
      </c>
      <c r="C125" t="s">
        <v>33</v>
      </c>
      <c r="D125" t="s">
        <v>34</v>
      </c>
      <c r="E125" t="s">
        <v>35</v>
      </c>
      <c r="F125" t="s">
        <v>36</v>
      </c>
      <c r="G125">
        <v>1141685</v>
      </c>
      <c r="H125" t="s">
        <v>77</v>
      </c>
      <c r="I125" t="s">
        <v>96</v>
      </c>
      <c r="J125" t="s">
        <v>77</v>
      </c>
      <c r="K125" t="s">
        <v>111</v>
      </c>
      <c r="L125" s="1">
        <v>46143</v>
      </c>
      <c r="M125" s="1">
        <v>46173</v>
      </c>
      <c r="N125">
        <v>9.1362999999999992E-6</v>
      </c>
      <c r="O125" t="s">
        <v>56</v>
      </c>
      <c r="P125" t="s">
        <v>63</v>
      </c>
      <c r="Q125" t="s">
        <v>2017</v>
      </c>
      <c r="R125" t="s">
        <v>2026</v>
      </c>
      <c r="S125" t="s">
        <v>67</v>
      </c>
      <c r="T125" t="s">
        <v>2143</v>
      </c>
      <c r="U125" t="s">
        <v>2272</v>
      </c>
      <c r="V125">
        <v>7</v>
      </c>
      <c r="W125" s="2">
        <v>1.4026447E-3</v>
      </c>
    </row>
    <row r="126" spans="1:23" x14ac:dyDescent="0.25">
      <c r="A126" t="s">
        <v>31</v>
      </c>
      <c r="B126" t="s">
        <v>32</v>
      </c>
      <c r="C126" t="s">
        <v>33</v>
      </c>
      <c r="D126" t="s">
        <v>34</v>
      </c>
      <c r="E126" t="s">
        <v>35</v>
      </c>
      <c r="F126" t="s">
        <v>36</v>
      </c>
      <c r="G126">
        <v>1141685</v>
      </c>
      <c r="H126" t="s">
        <v>82</v>
      </c>
      <c r="I126" t="s">
        <v>82</v>
      </c>
      <c r="J126" t="s">
        <v>82</v>
      </c>
      <c r="K126" t="s">
        <v>118</v>
      </c>
      <c r="L126" s="1">
        <v>46143</v>
      </c>
      <c r="M126" s="1">
        <v>46173</v>
      </c>
      <c r="N126">
        <v>0.31361299999999998</v>
      </c>
      <c r="O126" t="s">
        <v>60</v>
      </c>
      <c r="P126" t="s">
        <v>63</v>
      </c>
      <c r="Q126" t="s">
        <v>2017</v>
      </c>
      <c r="R126" t="s">
        <v>149</v>
      </c>
      <c r="S126" t="s">
        <v>68</v>
      </c>
      <c r="T126" t="s">
        <v>2144</v>
      </c>
      <c r="U126" t="s">
        <v>2273</v>
      </c>
      <c r="V126">
        <v>7</v>
      </c>
      <c r="W126" s="2">
        <v>2188.5149240953001</v>
      </c>
    </row>
    <row r="127" spans="1:23" x14ac:dyDescent="0.25">
      <c r="A127" t="s">
        <v>31</v>
      </c>
      <c r="B127" t="s">
        <v>32</v>
      </c>
      <c r="C127" t="s">
        <v>33</v>
      </c>
      <c r="D127" t="s">
        <v>34</v>
      </c>
      <c r="E127" t="s">
        <v>35</v>
      </c>
      <c r="F127" t="s">
        <v>36</v>
      </c>
      <c r="G127">
        <v>1141685</v>
      </c>
      <c r="H127" t="s">
        <v>75</v>
      </c>
      <c r="I127" t="s">
        <v>94</v>
      </c>
      <c r="J127" t="s">
        <v>98</v>
      </c>
      <c r="K127" t="s">
        <v>108</v>
      </c>
      <c r="L127" s="1">
        <v>46143</v>
      </c>
      <c r="M127" s="1">
        <v>46173</v>
      </c>
      <c r="N127">
        <v>0.15194057580000001</v>
      </c>
      <c r="O127" t="s">
        <v>56</v>
      </c>
      <c r="P127" t="s">
        <v>63</v>
      </c>
      <c r="Q127" t="s">
        <v>2015</v>
      </c>
      <c r="R127" t="s">
        <v>2021</v>
      </c>
      <c r="S127" t="s">
        <v>67</v>
      </c>
      <c r="T127" t="s">
        <v>2145</v>
      </c>
      <c r="U127" t="s">
        <v>2274</v>
      </c>
      <c r="V127">
        <v>16</v>
      </c>
      <c r="W127" s="2">
        <v>318.08975813810002</v>
      </c>
    </row>
    <row r="128" spans="1:23" x14ac:dyDescent="0.25">
      <c r="A128" t="s">
        <v>31</v>
      </c>
      <c r="B128" t="s">
        <v>32</v>
      </c>
      <c r="C128" t="s">
        <v>33</v>
      </c>
      <c r="D128" t="s">
        <v>34</v>
      </c>
      <c r="E128" t="s">
        <v>35</v>
      </c>
      <c r="F128" t="s">
        <v>36</v>
      </c>
      <c r="G128">
        <v>1141685</v>
      </c>
      <c r="H128" t="s">
        <v>86</v>
      </c>
      <c r="I128" t="s">
        <v>42</v>
      </c>
      <c r="J128" t="s">
        <v>86</v>
      </c>
      <c r="K128" t="s">
        <v>132</v>
      </c>
      <c r="L128" s="1">
        <v>46143</v>
      </c>
      <c r="M128" s="1">
        <v>46173</v>
      </c>
      <c r="N128">
        <v>0.99993600000000005</v>
      </c>
      <c r="O128" t="s">
        <v>135</v>
      </c>
      <c r="P128" t="s">
        <v>63</v>
      </c>
      <c r="Q128" t="s">
        <v>2016</v>
      </c>
      <c r="R128" t="s">
        <v>2039</v>
      </c>
      <c r="S128" t="s">
        <v>67</v>
      </c>
      <c r="T128" t="s">
        <v>2146</v>
      </c>
      <c r="U128" t="s">
        <v>2275</v>
      </c>
      <c r="V128">
        <v>10</v>
      </c>
      <c r="W128" s="2">
        <v>178059.92438314491</v>
      </c>
    </row>
    <row r="129" spans="1:23" x14ac:dyDescent="0.25">
      <c r="A129" t="s">
        <v>31</v>
      </c>
      <c r="B129" t="s">
        <v>32</v>
      </c>
      <c r="C129" t="s">
        <v>33</v>
      </c>
      <c r="D129" t="s">
        <v>34</v>
      </c>
      <c r="E129" t="s">
        <v>35</v>
      </c>
      <c r="F129" t="s">
        <v>36</v>
      </c>
      <c r="G129">
        <v>1141685</v>
      </c>
      <c r="H129" t="s">
        <v>81</v>
      </c>
      <c r="I129" t="s">
        <v>97</v>
      </c>
      <c r="J129" t="s">
        <v>102</v>
      </c>
      <c r="K129" t="s">
        <v>117</v>
      </c>
      <c r="L129" s="1">
        <v>46143</v>
      </c>
      <c r="M129" s="1">
        <v>46173</v>
      </c>
      <c r="N129">
        <v>510</v>
      </c>
      <c r="O129" t="s">
        <v>58</v>
      </c>
      <c r="P129" t="s">
        <v>63</v>
      </c>
      <c r="Q129" t="s">
        <v>2018</v>
      </c>
      <c r="R129" t="s">
        <v>2028</v>
      </c>
      <c r="S129" t="s">
        <v>67</v>
      </c>
      <c r="T129" t="s">
        <v>2070</v>
      </c>
      <c r="U129" t="s">
        <v>2199</v>
      </c>
      <c r="V129">
        <v>7</v>
      </c>
      <c r="W129" s="2">
        <v>0</v>
      </c>
    </row>
    <row r="130" spans="1:23" x14ac:dyDescent="0.25">
      <c r="A130" t="s">
        <v>31</v>
      </c>
      <c r="B130" t="s">
        <v>32</v>
      </c>
      <c r="C130" t="s">
        <v>33</v>
      </c>
      <c r="D130" t="s">
        <v>34</v>
      </c>
      <c r="E130" t="s">
        <v>35</v>
      </c>
      <c r="F130" t="s">
        <v>36</v>
      </c>
      <c r="G130">
        <v>1141685</v>
      </c>
      <c r="H130" t="s">
        <v>80</v>
      </c>
      <c r="I130" t="s">
        <v>96</v>
      </c>
      <c r="J130" t="s">
        <v>80</v>
      </c>
      <c r="K130" t="s">
        <v>122</v>
      </c>
      <c r="L130" s="1">
        <v>46143</v>
      </c>
      <c r="M130" s="1">
        <v>46173</v>
      </c>
      <c r="N130">
        <v>0.1031525992</v>
      </c>
      <c r="O130" t="s">
        <v>56</v>
      </c>
      <c r="P130" t="s">
        <v>63</v>
      </c>
      <c r="Q130" t="s">
        <v>2015</v>
      </c>
      <c r="R130" t="s">
        <v>2020</v>
      </c>
      <c r="S130" t="s">
        <v>67</v>
      </c>
      <c r="T130" t="s">
        <v>2147</v>
      </c>
      <c r="U130" t="s">
        <v>2276</v>
      </c>
      <c r="V130">
        <v>15</v>
      </c>
      <c r="W130" s="2">
        <v>17.996482158900001</v>
      </c>
    </row>
    <row r="131" spans="1:23" x14ac:dyDescent="0.25">
      <c r="A131" t="s">
        <v>31</v>
      </c>
      <c r="B131" t="s">
        <v>32</v>
      </c>
      <c r="C131" t="s">
        <v>33</v>
      </c>
      <c r="D131" t="s">
        <v>34</v>
      </c>
      <c r="E131" t="s">
        <v>35</v>
      </c>
      <c r="F131" t="s">
        <v>36</v>
      </c>
      <c r="G131">
        <v>1141685</v>
      </c>
      <c r="H131" t="s">
        <v>80</v>
      </c>
      <c r="I131" t="s">
        <v>96</v>
      </c>
      <c r="J131" t="s">
        <v>80</v>
      </c>
      <c r="K131" t="s">
        <v>122</v>
      </c>
      <c r="L131" s="1">
        <v>46143</v>
      </c>
      <c r="M131" s="1">
        <v>46173</v>
      </c>
      <c r="N131">
        <v>9.7789999999999999E-7</v>
      </c>
      <c r="O131" t="s">
        <v>56</v>
      </c>
      <c r="P131" t="s">
        <v>63</v>
      </c>
      <c r="Q131" t="s">
        <v>2015</v>
      </c>
      <c r="R131" t="s">
        <v>2030</v>
      </c>
      <c r="S131" t="s">
        <v>67</v>
      </c>
      <c r="T131" t="s">
        <v>2148</v>
      </c>
      <c r="U131" t="s">
        <v>2277</v>
      </c>
      <c r="V131">
        <v>17</v>
      </c>
      <c r="W131" s="2">
        <v>1.5013010000000001E-4</v>
      </c>
    </row>
    <row r="132" spans="1:23" x14ac:dyDescent="0.25">
      <c r="A132" t="s">
        <v>31</v>
      </c>
      <c r="B132" t="s">
        <v>32</v>
      </c>
      <c r="C132" t="s">
        <v>33</v>
      </c>
      <c r="D132" t="s">
        <v>34</v>
      </c>
      <c r="E132" t="s">
        <v>35</v>
      </c>
      <c r="F132" t="s">
        <v>36</v>
      </c>
      <c r="G132">
        <v>1141685</v>
      </c>
      <c r="H132" t="s">
        <v>80</v>
      </c>
      <c r="I132" t="s">
        <v>96</v>
      </c>
      <c r="J132" t="s">
        <v>80</v>
      </c>
      <c r="K132" t="s">
        <v>122</v>
      </c>
      <c r="L132" s="1">
        <v>46143</v>
      </c>
      <c r="M132" s="1">
        <v>46173</v>
      </c>
      <c r="N132">
        <v>4.53852E-5</v>
      </c>
      <c r="O132" t="s">
        <v>56</v>
      </c>
      <c r="P132" t="s">
        <v>63</v>
      </c>
      <c r="Q132" t="s">
        <v>2015</v>
      </c>
      <c r="R132" t="s">
        <v>2019</v>
      </c>
      <c r="S132" t="s">
        <v>67</v>
      </c>
      <c r="T132" t="s">
        <v>2149</v>
      </c>
      <c r="U132" t="s">
        <v>2278</v>
      </c>
      <c r="V132">
        <v>16</v>
      </c>
      <c r="W132" s="2">
        <v>6.9677554000000001E-3</v>
      </c>
    </row>
    <row r="133" spans="1:23" x14ac:dyDescent="0.25">
      <c r="A133" t="s">
        <v>31</v>
      </c>
      <c r="B133" t="s">
        <v>32</v>
      </c>
      <c r="C133" t="s">
        <v>33</v>
      </c>
      <c r="D133" t="s">
        <v>34</v>
      </c>
      <c r="E133" t="s">
        <v>35</v>
      </c>
      <c r="F133" t="s">
        <v>36</v>
      </c>
      <c r="G133">
        <v>1141685</v>
      </c>
      <c r="H133" t="s">
        <v>80</v>
      </c>
      <c r="I133" t="s">
        <v>96</v>
      </c>
      <c r="J133" t="s">
        <v>80</v>
      </c>
      <c r="K133" t="s">
        <v>122</v>
      </c>
      <c r="L133" s="1">
        <v>46143</v>
      </c>
      <c r="M133" s="1">
        <v>46173</v>
      </c>
      <c r="N133">
        <v>0.67564302119999997</v>
      </c>
      <c r="O133" t="s">
        <v>56</v>
      </c>
      <c r="P133" t="s">
        <v>63</v>
      </c>
      <c r="Q133" t="s">
        <v>2015</v>
      </c>
      <c r="R133" t="s">
        <v>2020</v>
      </c>
      <c r="S133" t="s">
        <v>67</v>
      </c>
      <c r="T133" t="s">
        <v>2150</v>
      </c>
      <c r="U133" t="s">
        <v>2279</v>
      </c>
      <c r="V133">
        <v>16</v>
      </c>
      <c r="W133" s="2">
        <v>117.86795970510001</v>
      </c>
    </row>
    <row r="134" spans="1:23" x14ac:dyDescent="0.25">
      <c r="A134" t="s">
        <v>31</v>
      </c>
      <c r="B134" t="s">
        <v>32</v>
      </c>
      <c r="C134" t="s">
        <v>33</v>
      </c>
      <c r="D134" t="s">
        <v>34</v>
      </c>
      <c r="E134" t="s">
        <v>35</v>
      </c>
      <c r="F134" t="s">
        <v>36</v>
      </c>
      <c r="G134">
        <v>1141685</v>
      </c>
      <c r="H134" t="s">
        <v>79</v>
      </c>
      <c r="I134" t="s">
        <v>94</v>
      </c>
      <c r="J134" t="s">
        <v>101</v>
      </c>
      <c r="K134" t="s">
        <v>116</v>
      </c>
      <c r="L134" s="1">
        <v>46143</v>
      </c>
      <c r="M134" s="1">
        <v>46173</v>
      </c>
      <c r="N134">
        <v>3.5785155399999997E-2</v>
      </c>
      <c r="O134" t="s">
        <v>56</v>
      </c>
      <c r="P134" t="s">
        <v>63</v>
      </c>
      <c r="Q134" t="s">
        <v>2015</v>
      </c>
      <c r="R134" t="s">
        <v>2030</v>
      </c>
      <c r="S134" t="s">
        <v>67</v>
      </c>
      <c r="T134" t="s">
        <v>2151</v>
      </c>
      <c r="U134" t="s">
        <v>2280</v>
      </c>
      <c r="V134">
        <v>16</v>
      </c>
      <c r="W134" s="2">
        <v>41.927917375200003</v>
      </c>
    </row>
    <row r="135" spans="1:23" x14ac:dyDescent="0.25">
      <c r="A135" t="s">
        <v>31</v>
      </c>
      <c r="B135" t="s">
        <v>32</v>
      </c>
      <c r="C135" t="s">
        <v>33</v>
      </c>
      <c r="D135" t="s">
        <v>34</v>
      </c>
      <c r="E135" t="s">
        <v>35</v>
      </c>
      <c r="F135" t="s">
        <v>36</v>
      </c>
      <c r="G135">
        <v>1141685</v>
      </c>
      <c r="H135" t="s">
        <v>79</v>
      </c>
      <c r="I135" t="s">
        <v>94</v>
      </c>
      <c r="J135" t="s">
        <v>101</v>
      </c>
      <c r="K135" t="s">
        <v>116</v>
      </c>
      <c r="L135" s="1">
        <v>46143</v>
      </c>
      <c r="M135" s="1">
        <v>46173</v>
      </c>
      <c r="N135">
        <v>2.045909822</v>
      </c>
      <c r="O135" t="s">
        <v>56</v>
      </c>
      <c r="P135" t="s">
        <v>63</v>
      </c>
      <c r="Q135" t="s">
        <v>2015</v>
      </c>
      <c r="R135" t="s">
        <v>2019</v>
      </c>
      <c r="S135" t="s">
        <v>67</v>
      </c>
      <c r="T135" t="s">
        <v>2152</v>
      </c>
      <c r="U135" t="s">
        <v>2281</v>
      </c>
      <c r="V135">
        <v>16</v>
      </c>
      <c r="W135" s="2">
        <v>2855.4331699067002</v>
      </c>
    </row>
    <row r="136" spans="1:23" x14ac:dyDescent="0.25">
      <c r="A136" t="s">
        <v>31</v>
      </c>
      <c r="B136" t="s">
        <v>32</v>
      </c>
      <c r="C136" t="s">
        <v>33</v>
      </c>
      <c r="D136" t="s">
        <v>34</v>
      </c>
      <c r="E136" t="s">
        <v>35</v>
      </c>
      <c r="F136" t="s">
        <v>36</v>
      </c>
      <c r="G136">
        <v>1141685</v>
      </c>
      <c r="H136" t="s">
        <v>79</v>
      </c>
      <c r="I136" t="s">
        <v>94</v>
      </c>
      <c r="J136" t="s">
        <v>101</v>
      </c>
      <c r="K136" t="s">
        <v>116</v>
      </c>
      <c r="L136" s="1">
        <v>46143</v>
      </c>
      <c r="M136" s="1">
        <v>46173</v>
      </c>
      <c r="N136">
        <v>2.043247E-4</v>
      </c>
      <c r="O136" t="s">
        <v>56</v>
      </c>
      <c r="P136" t="s">
        <v>63</v>
      </c>
      <c r="Q136" t="s">
        <v>2015</v>
      </c>
      <c r="R136" t="s">
        <v>2019</v>
      </c>
      <c r="S136" t="s">
        <v>67</v>
      </c>
      <c r="T136" t="s">
        <v>2153</v>
      </c>
      <c r="U136" t="s">
        <v>2282</v>
      </c>
      <c r="V136">
        <v>16</v>
      </c>
      <c r="W136" s="2">
        <v>0.28095129689999998</v>
      </c>
    </row>
    <row r="137" spans="1:23" x14ac:dyDescent="0.25">
      <c r="A137" t="s">
        <v>31</v>
      </c>
      <c r="B137" t="s">
        <v>32</v>
      </c>
      <c r="C137" t="s">
        <v>33</v>
      </c>
      <c r="D137" t="s">
        <v>34</v>
      </c>
      <c r="E137" t="s">
        <v>35</v>
      </c>
      <c r="F137" t="s">
        <v>36</v>
      </c>
      <c r="G137">
        <v>1141685</v>
      </c>
      <c r="H137" t="s">
        <v>79</v>
      </c>
      <c r="I137" t="s">
        <v>94</v>
      </c>
      <c r="J137" t="s">
        <v>101</v>
      </c>
      <c r="K137" t="s">
        <v>116</v>
      </c>
      <c r="L137" s="1">
        <v>46143</v>
      </c>
      <c r="M137" s="1">
        <v>46173</v>
      </c>
      <c r="N137">
        <v>0.123294767</v>
      </c>
      <c r="O137" t="s">
        <v>56</v>
      </c>
      <c r="P137" t="s">
        <v>63</v>
      </c>
      <c r="Q137" t="s">
        <v>2015</v>
      </c>
      <c r="R137" t="s">
        <v>2030</v>
      </c>
      <c r="S137" t="s">
        <v>67</v>
      </c>
      <c r="T137" t="s">
        <v>2154</v>
      </c>
      <c r="U137" t="s">
        <v>2283</v>
      </c>
      <c r="V137">
        <v>17</v>
      </c>
      <c r="W137" s="2">
        <v>172.08043554619999</v>
      </c>
    </row>
    <row r="138" spans="1:23" x14ac:dyDescent="0.25">
      <c r="A138" t="s">
        <v>31</v>
      </c>
      <c r="B138" t="s">
        <v>32</v>
      </c>
      <c r="C138" t="s">
        <v>33</v>
      </c>
      <c r="D138" t="s">
        <v>34</v>
      </c>
      <c r="E138" t="s">
        <v>35</v>
      </c>
      <c r="F138" t="s">
        <v>36</v>
      </c>
      <c r="G138">
        <v>1141685</v>
      </c>
      <c r="H138" t="s">
        <v>76</v>
      </c>
      <c r="I138" t="s">
        <v>95</v>
      </c>
      <c r="J138" t="s">
        <v>99</v>
      </c>
      <c r="K138" t="s">
        <v>109</v>
      </c>
      <c r="L138" s="1">
        <v>46143</v>
      </c>
      <c r="M138" s="1">
        <v>46173</v>
      </c>
      <c r="N138">
        <v>75.983351999999996</v>
      </c>
      <c r="O138" t="s">
        <v>58</v>
      </c>
      <c r="P138" t="s">
        <v>63</v>
      </c>
      <c r="Q138" t="s">
        <v>2016</v>
      </c>
      <c r="R138" t="s">
        <v>2030</v>
      </c>
      <c r="S138" t="s">
        <v>67</v>
      </c>
      <c r="T138" t="s">
        <v>2139</v>
      </c>
      <c r="U138" t="s">
        <v>2268</v>
      </c>
      <c r="V138">
        <v>17</v>
      </c>
      <c r="W138" s="2">
        <v>0</v>
      </c>
    </row>
    <row r="139" spans="1:23" x14ac:dyDescent="0.25">
      <c r="A139" t="s">
        <v>31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>
        <v>1141685</v>
      </c>
      <c r="H139" t="s">
        <v>76</v>
      </c>
      <c r="I139" t="s">
        <v>95</v>
      </c>
      <c r="J139" t="s">
        <v>99</v>
      </c>
      <c r="K139" t="s">
        <v>109</v>
      </c>
      <c r="L139" s="1">
        <v>46143</v>
      </c>
      <c r="M139" s="1">
        <v>46173</v>
      </c>
      <c r="N139">
        <v>361</v>
      </c>
      <c r="O139" t="s">
        <v>58</v>
      </c>
      <c r="P139" t="s">
        <v>63</v>
      </c>
      <c r="Q139" t="s">
        <v>2016</v>
      </c>
      <c r="R139" t="s">
        <v>2021</v>
      </c>
      <c r="S139" t="s">
        <v>67</v>
      </c>
      <c r="T139" t="s">
        <v>2071</v>
      </c>
      <c r="U139" t="s">
        <v>2200</v>
      </c>
      <c r="V139">
        <v>16</v>
      </c>
      <c r="W139" s="2">
        <v>0</v>
      </c>
    </row>
    <row r="140" spans="1:23" x14ac:dyDescent="0.25">
      <c r="A140" t="s">
        <v>31</v>
      </c>
      <c r="B140" t="s">
        <v>32</v>
      </c>
      <c r="C140" t="s">
        <v>33</v>
      </c>
      <c r="D140" t="s">
        <v>34</v>
      </c>
      <c r="E140" t="s">
        <v>35</v>
      </c>
      <c r="F140" t="s">
        <v>36</v>
      </c>
      <c r="G140">
        <v>1141685</v>
      </c>
      <c r="H140" t="s">
        <v>76</v>
      </c>
      <c r="I140" t="s">
        <v>95</v>
      </c>
      <c r="J140" t="s">
        <v>99</v>
      </c>
      <c r="K140" t="s">
        <v>109</v>
      </c>
      <c r="L140" s="1">
        <v>46143</v>
      </c>
      <c r="M140" s="1">
        <v>46173</v>
      </c>
      <c r="N140">
        <v>76</v>
      </c>
      <c r="O140" t="s">
        <v>58</v>
      </c>
      <c r="P140" t="s">
        <v>63</v>
      </c>
      <c r="Q140" t="s">
        <v>2016</v>
      </c>
      <c r="R140" t="s">
        <v>2020</v>
      </c>
      <c r="S140" t="s">
        <v>67</v>
      </c>
      <c r="T140" t="s">
        <v>2045</v>
      </c>
      <c r="U140" t="s">
        <v>2174</v>
      </c>
      <c r="V140">
        <v>16</v>
      </c>
      <c r="W140" s="2">
        <v>0</v>
      </c>
    </row>
    <row r="141" spans="1:23" x14ac:dyDescent="0.25">
      <c r="A141" t="s">
        <v>31</v>
      </c>
      <c r="B141" t="s">
        <v>32</v>
      </c>
      <c r="C141" t="s">
        <v>33</v>
      </c>
      <c r="D141" t="s">
        <v>34</v>
      </c>
      <c r="E141" t="s">
        <v>35</v>
      </c>
      <c r="F141" t="s">
        <v>36</v>
      </c>
      <c r="G141">
        <v>1141685</v>
      </c>
      <c r="H141" t="s">
        <v>76</v>
      </c>
      <c r="I141" t="s">
        <v>95</v>
      </c>
      <c r="J141" t="s">
        <v>99</v>
      </c>
      <c r="K141" t="s">
        <v>109</v>
      </c>
      <c r="L141" s="1">
        <v>46143</v>
      </c>
      <c r="M141" s="1">
        <v>46173</v>
      </c>
      <c r="N141">
        <v>140</v>
      </c>
      <c r="O141" t="s">
        <v>58</v>
      </c>
      <c r="P141" t="s">
        <v>63</v>
      </c>
      <c r="Q141" t="s">
        <v>2016</v>
      </c>
      <c r="R141" t="s">
        <v>2020</v>
      </c>
      <c r="S141" t="s">
        <v>67</v>
      </c>
      <c r="T141" t="s">
        <v>2044</v>
      </c>
      <c r="U141" t="s">
        <v>2173</v>
      </c>
      <c r="V141">
        <v>15</v>
      </c>
      <c r="W141" s="2">
        <v>0</v>
      </c>
    </row>
    <row r="142" spans="1:23" x14ac:dyDescent="0.25">
      <c r="A142" t="s">
        <v>31</v>
      </c>
      <c r="B142" t="s">
        <v>32</v>
      </c>
      <c r="C142" t="s">
        <v>33</v>
      </c>
      <c r="D142" t="s">
        <v>34</v>
      </c>
      <c r="E142" t="s">
        <v>35</v>
      </c>
      <c r="F142" t="s">
        <v>36</v>
      </c>
      <c r="G142">
        <v>1141685</v>
      </c>
      <c r="H142" t="s">
        <v>80</v>
      </c>
      <c r="I142" t="s">
        <v>96</v>
      </c>
      <c r="J142" t="s">
        <v>80</v>
      </c>
      <c r="K142" t="s">
        <v>122</v>
      </c>
      <c r="L142" s="1">
        <v>46143</v>
      </c>
      <c r="M142" s="1">
        <v>46173</v>
      </c>
      <c r="N142">
        <v>0.50114872310000003</v>
      </c>
      <c r="O142" t="s">
        <v>56</v>
      </c>
      <c r="P142" t="s">
        <v>63</v>
      </c>
      <c r="Q142" t="s">
        <v>2015</v>
      </c>
      <c r="R142" t="s">
        <v>2021</v>
      </c>
      <c r="S142" t="s">
        <v>67</v>
      </c>
      <c r="T142" t="s">
        <v>2155</v>
      </c>
      <c r="U142" t="s">
        <v>2284</v>
      </c>
      <c r="V142">
        <v>16</v>
      </c>
      <c r="W142" s="2">
        <v>87.428757476599998</v>
      </c>
    </row>
    <row r="143" spans="1:23" x14ac:dyDescent="0.25">
      <c r="A143" t="s">
        <v>31</v>
      </c>
      <c r="B143" t="s">
        <v>32</v>
      </c>
      <c r="C143" t="s">
        <v>33</v>
      </c>
      <c r="D143" t="s">
        <v>34</v>
      </c>
      <c r="E143" t="s">
        <v>35</v>
      </c>
      <c r="F143" t="s">
        <v>36</v>
      </c>
      <c r="G143">
        <v>1141685</v>
      </c>
      <c r="H143" t="s">
        <v>80</v>
      </c>
      <c r="I143" t="s">
        <v>96</v>
      </c>
      <c r="J143" t="s">
        <v>80</v>
      </c>
      <c r="K143" t="s">
        <v>122</v>
      </c>
      <c r="L143" s="1">
        <v>46143</v>
      </c>
      <c r="M143" s="1">
        <v>46173</v>
      </c>
      <c r="N143">
        <v>0.57742278650000001</v>
      </c>
      <c r="O143" t="s">
        <v>56</v>
      </c>
      <c r="P143" t="s">
        <v>63</v>
      </c>
      <c r="Q143" t="s">
        <v>2015</v>
      </c>
      <c r="R143" t="s">
        <v>2020</v>
      </c>
      <c r="S143" t="s">
        <v>67</v>
      </c>
      <c r="T143" t="s">
        <v>2156</v>
      </c>
      <c r="U143" t="s">
        <v>2285</v>
      </c>
      <c r="V143">
        <v>16</v>
      </c>
      <c r="W143" s="2">
        <v>100.7387178109</v>
      </c>
    </row>
    <row r="144" spans="1:23" x14ac:dyDescent="0.25">
      <c r="A144" t="s">
        <v>31</v>
      </c>
      <c r="B144" t="s">
        <v>32</v>
      </c>
      <c r="C144" t="s">
        <v>33</v>
      </c>
      <c r="D144" t="s">
        <v>34</v>
      </c>
      <c r="E144" t="s">
        <v>35</v>
      </c>
      <c r="F144" t="s">
        <v>36</v>
      </c>
      <c r="G144">
        <v>1141685</v>
      </c>
      <c r="H144" t="s">
        <v>76</v>
      </c>
      <c r="I144" t="s">
        <v>95</v>
      </c>
      <c r="J144" t="s">
        <v>99</v>
      </c>
      <c r="K144" t="s">
        <v>109</v>
      </c>
      <c r="L144" s="1">
        <v>46143</v>
      </c>
      <c r="M144" s="1">
        <v>46173</v>
      </c>
      <c r="N144">
        <v>164</v>
      </c>
      <c r="O144" t="s">
        <v>58</v>
      </c>
      <c r="P144" t="s">
        <v>63</v>
      </c>
      <c r="Q144" t="s">
        <v>2016</v>
      </c>
      <c r="R144" t="s">
        <v>2019</v>
      </c>
      <c r="S144" t="s">
        <v>67</v>
      </c>
      <c r="T144" t="s">
        <v>2072</v>
      </c>
      <c r="U144" t="s">
        <v>2201</v>
      </c>
      <c r="V144">
        <v>16</v>
      </c>
      <c r="W144" s="2">
        <v>0</v>
      </c>
    </row>
    <row r="145" spans="1:23" x14ac:dyDescent="0.25">
      <c r="A145" t="s">
        <v>31</v>
      </c>
      <c r="B145" t="s">
        <v>32</v>
      </c>
      <c r="C145" t="s">
        <v>33</v>
      </c>
      <c r="D145" t="s">
        <v>34</v>
      </c>
      <c r="E145" t="s">
        <v>35</v>
      </c>
      <c r="F145" t="s">
        <v>36</v>
      </c>
      <c r="G145">
        <v>1141685</v>
      </c>
      <c r="H145" t="s">
        <v>76</v>
      </c>
      <c r="I145" t="s">
        <v>95</v>
      </c>
      <c r="J145" t="s">
        <v>99</v>
      </c>
      <c r="K145" t="s">
        <v>109</v>
      </c>
      <c r="L145" s="1">
        <v>46143</v>
      </c>
      <c r="M145" s="1">
        <v>46173</v>
      </c>
      <c r="N145">
        <v>1.966704</v>
      </c>
      <c r="O145" t="s">
        <v>58</v>
      </c>
      <c r="P145" t="s">
        <v>63</v>
      </c>
      <c r="Q145" t="s">
        <v>2016</v>
      </c>
      <c r="R145" t="s">
        <v>2019</v>
      </c>
      <c r="S145" t="s">
        <v>67</v>
      </c>
      <c r="T145" t="s">
        <v>2072</v>
      </c>
      <c r="U145" t="s">
        <v>2201</v>
      </c>
      <c r="V145">
        <v>16</v>
      </c>
      <c r="W145" s="2">
        <v>0</v>
      </c>
    </row>
    <row r="146" spans="1:23" x14ac:dyDescent="0.25">
      <c r="A146" t="s">
        <v>31</v>
      </c>
      <c r="B146" t="s">
        <v>32</v>
      </c>
      <c r="C146" t="s">
        <v>33</v>
      </c>
      <c r="D146" t="s">
        <v>34</v>
      </c>
      <c r="E146" t="s">
        <v>35</v>
      </c>
      <c r="F146" t="s">
        <v>36</v>
      </c>
      <c r="G146">
        <v>1141685</v>
      </c>
      <c r="H146" t="s">
        <v>79</v>
      </c>
      <c r="I146" t="s">
        <v>94</v>
      </c>
      <c r="J146" t="s">
        <v>101</v>
      </c>
      <c r="K146" t="s">
        <v>116</v>
      </c>
      <c r="L146" s="1">
        <v>46143</v>
      </c>
      <c r="M146" s="1">
        <v>46173</v>
      </c>
      <c r="N146">
        <v>1.0540765878</v>
      </c>
      <c r="O146" t="s">
        <v>56</v>
      </c>
      <c r="P146" t="s">
        <v>63</v>
      </c>
      <c r="Q146" t="s">
        <v>2015</v>
      </c>
      <c r="R146" t="s">
        <v>2020</v>
      </c>
      <c r="S146" t="s">
        <v>67</v>
      </c>
      <c r="T146" t="s">
        <v>2157</v>
      </c>
      <c r="U146" t="s">
        <v>2286</v>
      </c>
      <c r="V146">
        <v>16</v>
      </c>
      <c r="W146" s="2">
        <v>1471.1551785884001</v>
      </c>
    </row>
    <row r="147" spans="1:23" x14ac:dyDescent="0.25">
      <c r="A147" t="s">
        <v>31</v>
      </c>
      <c r="B147" t="s">
        <v>32</v>
      </c>
      <c r="C147" t="s">
        <v>33</v>
      </c>
      <c r="D147" t="s">
        <v>34</v>
      </c>
      <c r="E147" t="s">
        <v>35</v>
      </c>
      <c r="F147" t="s">
        <v>36</v>
      </c>
      <c r="G147">
        <v>1141685</v>
      </c>
      <c r="H147" t="s">
        <v>79</v>
      </c>
      <c r="I147" t="s">
        <v>94</v>
      </c>
      <c r="J147" t="s">
        <v>101</v>
      </c>
      <c r="K147" t="s">
        <v>114</v>
      </c>
      <c r="L147" s="1">
        <v>46143</v>
      </c>
      <c r="M147" s="1">
        <v>46173</v>
      </c>
      <c r="N147">
        <v>5.2167822187999997</v>
      </c>
      <c r="O147" t="s">
        <v>56</v>
      </c>
      <c r="P147" t="s">
        <v>63</v>
      </c>
      <c r="Q147" t="s">
        <v>2015</v>
      </c>
      <c r="R147" t="s">
        <v>2019</v>
      </c>
      <c r="S147" t="s">
        <v>67</v>
      </c>
      <c r="T147" t="s">
        <v>2158</v>
      </c>
      <c r="U147" t="s">
        <v>2287</v>
      </c>
      <c r="V147">
        <v>16</v>
      </c>
      <c r="W147" s="2">
        <v>7280.9635742473001</v>
      </c>
    </row>
    <row r="148" spans="1:23" x14ac:dyDescent="0.25">
      <c r="A148" t="s">
        <v>31</v>
      </c>
      <c r="B148" t="s">
        <v>32</v>
      </c>
      <c r="C148" t="s">
        <v>33</v>
      </c>
      <c r="D148" t="s">
        <v>34</v>
      </c>
      <c r="E148" t="s">
        <v>35</v>
      </c>
      <c r="F148" t="s">
        <v>36</v>
      </c>
      <c r="G148">
        <v>1141685</v>
      </c>
      <c r="H148" t="s">
        <v>86</v>
      </c>
      <c r="I148" t="s">
        <v>42</v>
      </c>
      <c r="J148" t="s">
        <v>86</v>
      </c>
      <c r="K148" t="s">
        <v>124</v>
      </c>
      <c r="L148" s="1">
        <v>46143</v>
      </c>
      <c r="M148" s="1">
        <v>46173</v>
      </c>
      <c r="N148">
        <v>0.80989299999999997</v>
      </c>
      <c r="O148" t="s">
        <v>135</v>
      </c>
      <c r="P148" t="s">
        <v>63</v>
      </c>
      <c r="Q148" t="s">
        <v>2016</v>
      </c>
      <c r="R148" t="s">
        <v>2040</v>
      </c>
      <c r="S148" t="s">
        <v>67</v>
      </c>
      <c r="T148" t="s">
        <v>2159</v>
      </c>
      <c r="U148" t="s">
        <v>2288</v>
      </c>
      <c r="V148">
        <v>17</v>
      </c>
      <c r="W148" s="2">
        <v>278490.3405282544</v>
      </c>
    </row>
    <row r="149" spans="1:23" x14ac:dyDescent="0.25">
      <c r="A149" t="s">
        <v>31</v>
      </c>
      <c r="B149" t="s">
        <v>32</v>
      </c>
      <c r="C149" t="s">
        <v>33</v>
      </c>
      <c r="D149" t="s">
        <v>34</v>
      </c>
      <c r="E149" t="s">
        <v>35</v>
      </c>
      <c r="F149" t="s">
        <v>36</v>
      </c>
      <c r="G149">
        <v>1141685</v>
      </c>
      <c r="H149" t="s">
        <v>77</v>
      </c>
      <c r="I149" t="s">
        <v>96</v>
      </c>
      <c r="J149" t="s">
        <v>77</v>
      </c>
      <c r="K149" t="s">
        <v>111</v>
      </c>
      <c r="L149" s="1">
        <v>46143</v>
      </c>
      <c r="M149" s="1">
        <v>46173</v>
      </c>
      <c r="N149">
        <v>3.8468362999999998E-3</v>
      </c>
      <c r="O149" t="s">
        <v>56</v>
      </c>
      <c r="P149" t="s">
        <v>63</v>
      </c>
      <c r="Q149" t="s">
        <v>2017</v>
      </c>
      <c r="R149" t="s">
        <v>2026</v>
      </c>
      <c r="S149" t="s">
        <v>67</v>
      </c>
      <c r="T149" t="s">
        <v>2160</v>
      </c>
      <c r="U149" t="s">
        <v>2289</v>
      </c>
      <c r="V149">
        <v>7</v>
      </c>
      <c r="W149" s="2">
        <v>0.67058476929999999</v>
      </c>
    </row>
    <row r="150" spans="1:23" x14ac:dyDescent="0.25">
      <c r="A150" t="s">
        <v>31</v>
      </c>
      <c r="B150" t="s">
        <v>32</v>
      </c>
      <c r="C150" t="s">
        <v>33</v>
      </c>
      <c r="D150" t="s">
        <v>34</v>
      </c>
      <c r="E150" t="s">
        <v>35</v>
      </c>
      <c r="F150" t="s">
        <v>36</v>
      </c>
      <c r="G150">
        <v>1141685</v>
      </c>
      <c r="H150" t="s">
        <v>77</v>
      </c>
      <c r="I150" t="s">
        <v>96</v>
      </c>
      <c r="J150" t="s">
        <v>77</v>
      </c>
      <c r="K150" t="s">
        <v>111</v>
      </c>
      <c r="L150" s="1">
        <v>46143</v>
      </c>
      <c r="M150" s="1">
        <v>46173</v>
      </c>
      <c r="N150">
        <v>7.4055818356999996</v>
      </c>
      <c r="O150" t="s">
        <v>56</v>
      </c>
      <c r="P150" t="s">
        <v>63</v>
      </c>
      <c r="Q150" t="s">
        <v>2015</v>
      </c>
      <c r="R150" t="s">
        <v>2020</v>
      </c>
      <c r="S150" t="s">
        <v>67</v>
      </c>
      <c r="T150" t="s">
        <v>2161</v>
      </c>
      <c r="U150" t="s">
        <v>2290</v>
      </c>
      <c r="V150">
        <v>15</v>
      </c>
      <c r="W150" s="2">
        <v>1291.9804702022</v>
      </c>
    </row>
    <row r="151" spans="1:23" x14ac:dyDescent="0.25">
      <c r="A151" t="s">
        <v>31</v>
      </c>
      <c r="B151" t="s">
        <v>32</v>
      </c>
      <c r="C151" t="s">
        <v>33</v>
      </c>
      <c r="D151" t="s">
        <v>34</v>
      </c>
      <c r="E151" t="s">
        <v>35</v>
      </c>
      <c r="F151" t="s">
        <v>36</v>
      </c>
      <c r="G151">
        <v>1141685</v>
      </c>
      <c r="H151" t="s">
        <v>77</v>
      </c>
      <c r="I151" t="s">
        <v>96</v>
      </c>
      <c r="J151" t="s">
        <v>77</v>
      </c>
      <c r="K151" t="s">
        <v>111</v>
      </c>
      <c r="L151" s="1">
        <v>46143</v>
      </c>
      <c r="M151" s="1">
        <v>46173</v>
      </c>
      <c r="N151">
        <v>1.1925764699000001</v>
      </c>
      <c r="O151" t="s">
        <v>56</v>
      </c>
      <c r="P151" t="s">
        <v>63</v>
      </c>
      <c r="Q151" t="s">
        <v>2015</v>
      </c>
      <c r="R151" t="s">
        <v>2021</v>
      </c>
      <c r="S151" t="s">
        <v>67</v>
      </c>
      <c r="T151" t="s">
        <v>2162</v>
      </c>
      <c r="U151" t="s">
        <v>2291</v>
      </c>
      <c r="V151">
        <v>15</v>
      </c>
      <c r="W151" s="2">
        <v>208.06006401849999</v>
      </c>
    </row>
    <row r="152" spans="1:23" x14ac:dyDescent="0.25">
      <c r="A152" t="s">
        <v>31</v>
      </c>
      <c r="B152" t="s">
        <v>32</v>
      </c>
      <c r="C152" t="s">
        <v>33</v>
      </c>
      <c r="D152" t="s">
        <v>34</v>
      </c>
      <c r="E152" t="s">
        <v>35</v>
      </c>
      <c r="F152" t="s">
        <v>36</v>
      </c>
      <c r="G152">
        <v>1141685</v>
      </c>
      <c r="H152" t="s">
        <v>77</v>
      </c>
      <c r="I152" t="s">
        <v>96</v>
      </c>
      <c r="J152" t="s">
        <v>77</v>
      </c>
      <c r="K152" t="s">
        <v>111</v>
      </c>
      <c r="L152" s="1">
        <v>46143</v>
      </c>
      <c r="M152" s="1">
        <v>46173</v>
      </c>
      <c r="N152">
        <v>110.0602484429</v>
      </c>
      <c r="O152" t="s">
        <v>56</v>
      </c>
      <c r="P152" t="s">
        <v>63</v>
      </c>
      <c r="Q152" t="s">
        <v>2015</v>
      </c>
      <c r="R152" t="s">
        <v>2019</v>
      </c>
      <c r="S152" t="s">
        <v>67</v>
      </c>
      <c r="T152" t="s">
        <v>2163</v>
      </c>
      <c r="U152" t="s">
        <v>2292</v>
      </c>
      <c r="V152">
        <v>16</v>
      </c>
      <c r="W152" s="2">
        <v>19201.107630150502</v>
      </c>
    </row>
    <row r="153" spans="1:23" x14ac:dyDescent="0.25">
      <c r="A153" t="s">
        <v>31</v>
      </c>
      <c r="B153" t="s">
        <v>32</v>
      </c>
      <c r="C153" t="s">
        <v>33</v>
      </c>
      <c r="D153" t="s">
        <v>34</v>
      </c>
      <c r="E153" t="s">
        <v>35</v>
      </c>
      <c r="F153" t="s">
        <v>36</v>
      </c>
      <c r="G153">
        <v>1141685</v>
      </c>
      <c r="H153" t="s">
        <v>87</v>
      </c>
      <c r="I153" t="s">
        <v>87</v>
      </c>
      <c r="J153" t="s">
        <v>87</v>
      </c>
      <c r="K153" t="s">
        <v>125</v>
      </c>
      <c r="L153" s="1">
        <v>46143</v>
      </c>
      <c r="M153" s="1">
        <v>46173</v>
      </c>
      <c r="N153">
        <v>744</v>
      </c>
      <c r="O153" t="s">
        <v>58</v>
      </c>
      <c r="P153" t="s">
        <v>63</v>
      </c>
      <c r="Q153" t="s">
        <v>2015</v>
      </c>
      <c r="R153" t="s">
        <v>158</v>
      </c>
      <c r="S153" t="s">
        <v>67</v>
      </c>
      <c r="T153" t="s">
        <v>2164</v>
      </c>
      <c r="U153" t="s">
        <v>2293</v>
      </c>
      <c r="V153">
        <v>12</v>
      </c>
      <c r="W153" s="2">
        <v>324495.598</v>
      </c>
    </row>
    <row r="154" spans="1:23" x14ac:dyDescent="0.25">
      <c r="A154" t="s">
        <v>31</v>
      </c>
      <c r="B154" t="s">
        <v>32</v>
      </c>
      <c r="C154" t="s">
        <v>33</v>
      </c>
      <c r="D154" t="s">
        <v>34</v>
      </c>
      <c r="E154" t="s">
        <v>35</v>
      </c>
      <c r="F154" t="s">
        <v>36</v>
      </c>
      <c r="G154">
        <v>1141685</v>
      </c>
      <c r="H154" t="s">
        <v>78</v>
      </c>
      <c r="I154" t="s">
        <v>96</v>
      </c>
      <c r="J154" t="s">
        <v>100</v>
      </c>
      <c r="K154" t="s">
        <v>112</v>
      </c>
      <c r="L154" s="1">
        <v>46143</v>
      </c>
      <c r="M154" s="1">
        <v>46173</v>
      </c>
      <c r="N154">
        <v>744</v>
      </c>
      <c r="O154" t="s">
        <v>58</v>
      </c>
      <c r="P154" t="s">
        <v>63</v>
      </c>
      <c r="Q154" t="s">
        <v>2015</v>
      </c>
      <c r="R154" t="s">
        <v>2041</v>
      </c>
      <c r="S154" t="s">
        <v>67</v>
      </c>
      <c r="T154" t="s">
        <v>2165</v>
      </c>
      <c r="U154" t="s">
        <v>2294</v>
      </c>
      <c r="V154">
        <v>13</v>
      </c>
      <c r="W154" s="2">
        <v>64899.115599999997</v>
      </c>
    </row>
    <row r="155" spans="1:23" x14ac:dyDescent="0.25">
      <c r="A155" t="s">
        <v>31</v>
      </c>
      <c r="B155" t="s">
        <v>32</v>
      </c>
      <c r="C155" t="s">
        <v>33</v>
      </c>
      <c r="D155" t="s">
        <v>34</v>
      </c>
      <c r="E155" t="s">
        <v>35</v>
      </c>
      <c r="F155" t="s">
        <v>36</v>
      </c>
      <c r="G155">
        <v>1141685</v>
      </c>
      <c r="H155" t="s">
        <v>75</v>
      </c>
      <c r="I155" t="s">
        <v>94</v>
      </c>
      <c r="J155" t="s">
        <v>98</v>
      </c>
      <c r="K155" t="s">
        <v>108</v>
      </c>
      <c r="L155" s="1">
        <v>46143</v>
      </c>
      <c r="M155" s="1">
        <v>46173</v>
      </c>
      <c r="N155">
        <v>2.7556530000000002E-4</v>
      </c>
      <c r="O155" t="s">
        <v>56</v>
      </c>
      <c r="P155" t="s">
        <v>63</v>
      </c>
      <c r="Q155" t="s">
        <v>2015</v>
      </c>
      <c r="R155" t="s">
        <v>2020</v>
      </c>
      <c r="S155" t="s">
        <v>67</v>
      </c>
      <c r="T155" t="s">
        <v>2166</v>
      </c>
      <c r="U155" t="s">
        <v>2295</v>
      </c>
      <c r="V155">
        <v>16</v>
      </c>
      <c r="W155" s="2">
        <v>0.57767331159999991</v>
      </c>
    </row>
    <row r="156" spans="1:23" x14ac:dyDescent="0.25">
      <c r="A156" t="s">
        <v>31</v>
      </c>
      <c r="B156" t="s">
        <v>32</v>
      </c>
      <c r="C156" t="s">
        <v>33</v>
      </c>
      <c r="D156" t="s">
        <v>34</v>
      </c>
      <c r="E156" t="s">
        <v>35</v>
      </c>
      <c r="F156" t="s">
        <v>36</v>
      </c>
      <c r="G156">
        <v>1141685</v>
      </c>
      <c r="H156" t="s">
        <v>75</v>
      </c>
      <c r="I156" t="s">
        <v>94</v>
      </c>
      <c r="J156" t="s">
        <v>98</v>
      </c>
      <c r="K156" t="s">
        <v>108</v>
      </c>
      <c r="L156" s="1">
        <v>46143</v>
      </c>
      <c r="M156" s="1">
        <v>46173</v>
      </c>
      <c r="N156">
        <v>7.5197678099999998E-2</v>
      </c>
      <c r="O156" t="s">
        <v>56</v>
      </c>
      <c r="P156" t="s">
        <v>63</v>
      </c>
      <c r="Q156" t="s">
        <v>2015</v>
      </c>
      <c r="R156" t="s">
        <v>2020</v>
      </c>
      <c r="S156" t="s">
        <v>67</v>
      </c>
      <c r="T156" t="s">
        <v>2167</v>
      </c>
      <c r="U156" t="s">
        <v>2296</v>
      </c>
      <c r="V156">
        <v>15</v>
      </c>
      <c r="W156" s="2">
        <v>146.637680321</v>
      </c>
    </row>
    <row r="157" spans="1:23" x14ac:dyDescent="0.25">
      <c r="A157" t="s">
        <v>31</v>
      </c>
      <c r="B157" t="s">
        <v>32</v>
      </c>
      <c r="C157" t="s">
        <v>33</v>
      </c>
      <c r="D157" t="s">
        <v>34</v>
      </c>
      <c r="E157" t="s">
        <v>35</v>
      </c>
      <c r="F157" t="s">
        <v>36</v>
      </c>
      <c r="G157">
        <v>1141685</v>
      </c>
      <c r="H157" t="s">
        <v>75</v>
      </c>
      <c r="I157" t="s">
        <v>94</v>
      </c>
      <c r="J157" t="s">
        <v>98</v>
      </c>
      <c r="K157" t="s">
        <v>108</v>
      </c>
      <c r="L157" s="1">
        <v>46143</v>
      </c>
      <c r="M157" s="1">
        <v>46173</v>
      </c>
      <c r="N157">
        <v>2.73949439E-2</v>
      </c>
      <c r="O157" t="s">
        <v>56</v>
      </c>
      <c r="P157" t="s">
        <v>63</v>
      </c>
      <c r="Q157" t="s">
        <v>2015</v>
      </c>
      <c r="R157" t="s">
        <v>2021</v>
      </c>
      <c r="S157" t="s">
        <v>67</v>
      </c>
      <c r="T157" t="s">
        <v>2168</v>
      </c>
      <c r="U157" t="s">
        <v>2297</v>
      </c>
      <c r="V157">
        <v>15</v>
      </c>
      <c r="W157" s="2">
        <v>54.449862893099997</v>
      </c>
    </row>
    <row r="158" spans="1:23" x14ac:dyDescent="0.25">
      <c r="A158" t="s">
        <v>31</v>
      </c>
      <c r="B158" t="s">
        <v>32</v>
      </c>
      <c r="C158" t="s">
        <v>33</v>
      </c>
      <c r="D158" t="s">
        <v>34</v>
      </c>
      <c r="E158" t="s">
        <v>35</v>
      </c>
      <c r="F158" t="s">
        <v>36</v>
      </c>
      <c r="G158">
        <v>1141685</v>
      </c>
      <c r="H158" t="s">
        <v>76</v>
      </c>
      <c r="I158" t="s">
        <v>95</v>
      </c>
      <c r="J158" t="s">
        <v>99</v>
      </c>
      <c r="K158" t="s">
        <v>109</v>
      </c>
      <c r="L158" s="1">
        <v>46143</v>
      </c>
      <c r="M158" s="1">
        <v>46173</v>
      </c>
      <c r="N158">
        <v>1.966704</v>
      </c>
      <c r="O158" t="s">
        <v>58</v>
      </c>
      <c r="P158" t="s">
        <v>63</v>
      </c>
      <c r="Q158" t="s">
        <v>2016</v>
      </c>
      <c r="R158" t="s">
        <v>2020</v>
      </c>
      <c r="S158" t="s">
        <v>67</v>
      </c>
      <c r="T158" t="s">
        <v>2045</v>
      </c>
      <c r="U158" t="s">
        <v>2174</v>
      </c>
      <c r="V158">
        <v>16</v>
      </c>
      <c r="W158" s="2">
        <v>0</v>
      </c>
    </row>
    <row r="159" spans="1:23" x14ac:dyDescent="0.25">
      <c r="A159" t="s">
        <v>31</v>
      </c>
      <c r="B159" t="s">
        <v>32</v>
      </c>
      <c r="C159" t="s">
        <v>33</v>
      </c>
      <c r="D159" t="s">
        <v>34</v>
      </c>
      <c r="E159" t="s">
        <v>35</v>
      </c>
      <c r="F159" t="s">
        <v>36</v>
      </c>
      <c r="G159">
        <v>1141685</v>
      </c>
      <c r="H159" t="s">
        <v>76</v>
      </c>
      <c r="I159" t="s">
        <v>95</v>
      </c>
      <c r="J159" t="s">
        <v>99</v>
      </c>
      <c r="K159" t="s">
        <v>109</v>
      </c>
      <c r="L159" s="1">
        <v>46143</v>
      </c>
      <c r="M159" s="1">
        <v>46173</v>
      </c>
      <c r="N159">
        <v>140</v>
      </c>
      <c r="O159" t="s">
        <v>58</v>
      </c>
      <c r="P159" t="s">
        <v>63</v>
      </c>
      <c r="Q159" t="s">
        <v>2016</v>
      </c>
      <c r="R159" t="s">
        <v>2030</v>
      </c>
      <c r="S159" t="s">
        <v>67</v>
      </c>
      <c r="T159" t="s">
        <v>2169</v>
      </c>
      <c r="U159" t="s">
        <v>2298</v>
      </c>
      <c r="V159">
        <v>16</v>
      </c>
      <c r="W159" s="2">
        <v>0</v>
      </c>
    </row>
    <row r="160" spans="1:23" x14ac:dyDescent="0.25">
      <c r="A160" t="s">
        <v>31</v>
      </c>
      <c r="B160" t="s">
        <v>32</v>
      </c>
      <c r="C160" t="s">
        <v>33</v>
      </c>
      <c r="D160" t="s">
        <v>34</v>
      </c>
      <c r="E160" t="s">
        <v>35</v>
      </c>
      <c r="F160" t="s">
        <v>36</v>
      </c>
      <c r="G160">
        <v>1141685</v>
      </c>
      <c r="H160" t="s">
        <v>76</v>
      </c>
      <c r="I160" t="s">
        <v>95</v>
      </c>
      <c r="J160" t="s">
        <v>99</v>
      </c>
      <c r="K160" t="s">
        <v>109</v>
      </c>
      <c r="L160" s="1">
        <v>46143</v>
      </c>
      <c r="M160" s="1">
        <v>46173</v>
      </c>
      <c r="N160">
        <v>139</v>
      </c>
      <c r="O160" t="s">
        <v>58</v>
      </c>
      <c r="P160" t="s">
        <v>63</v>
      </c>
      <c r="Q160" t="s">
        <v>2016</v>
      </c>
      <c r="R160" t="s">
        <v>2021</v>
      </c>
      <c r="S160" t="s">
        <v>67</v>
      </c>
      <c r="T160" t="s">
        <v>2063</v>
      </c>
      <c r="U160" t="s">
        <v>2192</v>
      </c>
      <c r="V160">
        <v>15</v>
      </c>
      <c r="W160" s="2">
        <v>0</v>
      </c>
    </row>
    <row r="161" spans="1:23" x14ac:dyDescent="0.25">
      <c r="A161" t="s">
        <v>31</v>
      </c>
      <c r="B161" t="s">
        <v>32</v>
      </c>
      <c r="C161" t="s">
        <v>33</v>
      </c>
      <c r="D161" t="s">
        <v>34</v>
      </c>
      <c r="E161" t="s">
        <v>35</v>
      </c>
      <c r="F161" t="s">
        <v>36</v>
      </c>
      <c r="G161">
        <v>1141685</v>
      </c>
      <c r="H161" t="s">
        <v>76</v>
      </c>
      <c r="I161" t="s">
        <v>95</v>
      </c>
      <c r="J161" t="s">
        <v>99</v>
      </c>
      <c r="K161" t="s">
        <v>109</v>
      </c>
      <c r="L161" s="1">
        <v>46143</v>
      </c>
      <c r="M161" s="1">
        <v>46173</v>
      </c>
      <c r="N161">
        <v>0.26667200000000002</v>
      </c>
      <c r="O161" t="s">
        <v>58</v>
      </c>
      <c r="P161" t="s">
        <v>63</v>
      </c>
      <c r="Q161" t="s">
        <v>2016</v>
      </c>
      <c r="R161" t="s">
        <v>2020</v>
      </c>
      <c r="S161" t="s">
        <v>67</v>
      </c>
      <c r="T161" t="s">
        <v>2045</v>
      </c>
      <c r="U161" t="s">
        <v>2174</v>
      </c>
      <c r="V161">
        <v>16</v>
      </c>
      <c r="W161" s="2">
        <v>0</v>
      </c>
    </row>
    <row r="162" spans="1:23" x14ac:dyDescent="0.25">
      <c r="A162" t="s">
        <v>31</v>
      </c>
      <c r="B162" t="s">
        <v>32</v>
      </c>
      <c r="C162" t="s">
        <v>33</v>
      </c>
      <c r="D162" t="s">
        <v>34</v>
      </c>
      <c r="E162" t="s">
        <v>35</v>
      </c>
      <c r="F162" t="s">
        <v>36</v>
      </c>
      <c r="G162">
        <v>1141685</v>
      </c>
      <c r="H162" t="s">
        <v>75</v>
      </c>
      <c r="I162" t="s">
        <v>94</v>
      </c>
      <c r="J162" t="s">
        <v>98</v>
      </c>
      <c r="K162" t="s">
        <v>108</v>
      </c>
      <c r="L162" s="1">
        <v>46143</v>
      </c>
      <c r="M162" s="1">
        <v>46173</v>
      </c>
      <c r="N162">
        <v>2.2415442261999998</v>
      </c>
      <c r="O162" t="s">
        <v>56</v>
      </c>
      <c r="P162" t="s">
        <v>63</v>
      </c>
      <c r="Q162" t="s">
        <v>2015</v>
      </c>
      <c r="R162" t="s">
        <v>2030</v>
      </c>
      <c r="S162" t="s">
        <v>67</v>
      </c>
      <c r="T162" t="s">
        <v>2170</v>
      </c>
      <c r="U162" t="s">
        <v>2299</v>
      </c>
      <c r="V162">
        <v>17</v>
      </c>
      <c r="W162" s="2">
        <v>4692.7215481910998</v>
      </c>
    </row>
    <row r="163" spans="1:23" x14ac:dyDescent="0.25">
      <c r="A163" t="s">
        <v>31</v>
      </c>
      <c r="B163" t="s">
        <v>32</v>
      </c>
      <c r="C163" t="s">
        <v>33</v>
      </c>
      <c r="D163" t="s">
        <v>34</v>
      </c>
      <c r="E163" t="s">
        <v>35</v>
      </c>
      <c r="F163" t="s">
        <v>36</v>
      </c>
      <c r="G163">
        <v>1141685</v>
      </c>
      <c r="H163" t="s">
        <v>3065</v>
      </c>
      <c r="I163" t="s">
        <v>42</v>
      </c>
      <c r="J163" t="s">
        <v>3065</v>
      </c>
      <c r="K163" t="s">
        <v>3066</v>
      </c>
      <c r="L163" s="4">
        <v>46173</v>
      </c>
      <c r="M163" s="4">
        <v>46173</v>
      </c>
      <c r="N163">
        <v>1143.22</v>
      </c>
      <c r="O163" t="s">
        <v>59</v>
      </c>
      <c r="P163" t="s">
        <v>63</v>
      </c>
      <c r="Q163" t="s">
        <v>3876</v>
      </c>
      <c r="R163" t="s">
        <v>3877</v>
      </c>
      <c r="S163" t="s">
        <v>66</v>
      </c>
      <c r="T163" t="s">
        <v>3878</v>
      </c>
      <c r="U163" t="s">
        <v>3879</v>
      </c>
      <c r="V163">
        <v>7</v>
      </c>
      <c r="W163" s="2">
        <v>29016</v>
      </c>
    </row>
    <row r="164" spans="1:23" x14ac:dyDescent="0.25">
      <c r="A164" t="s">
        <v>31</v>
      </c>
      <c r="B164" t="s">
        <v>32</v>
      </c>
      <c r="C164" t="s">
        <v>33</v>
      </c>
      <c r="D164" t="s">
        <v>34</v>
      </c>
      <c r="E164" t="s">
        <v>35</v>
      </c>
      <c r="F164" t="s">
        <v>36</v>
      </c>
      <c r="G164">
        <v>1141685</v>
      </c>
      <c r="H164" t="s">
        <v>3065</v>
      </c>
      <c r="I164" t="s">
        <v>42</v>
      </c>
      <c r="J164" t="s">
        <v>3065</v>
      </c>
      <c r="K164" t="s">
        <v>3066</v>
      </c>
      <c r="L164" s="4">
        <v>46173</v>
      </c>
      <c r="M164" s="4">
        <v>46173</v>
      </c>
      <c r="N164">
        <v>1143.22</v>
      </c>
      <c r="O164" t="s">
        <v>59</v>
      </c>
      <c r="P164" t="s">
        <v>63</v>
      </c>
      <c r="Q164" t="s">
        <v>3876</v>
      </c>
      <c r="R164" t="s">
        <v>3877</v>
      </c>
      <c r="S164" t="s">
        <v>66</v>
      </c>
      <c r="T164" t="s">
        <v>3878</v>
      </c>
      <c r="U164" t="s">
        <v>3879</v>
      </c>
      <c r="V164">
        <v>7</v>
      </c>
      <c r="W164" s="2">
        <v>29016</v>
      </c>
    </row>
    <row r="165" spans="1:23" x14ac:dyDescent="0.25">
      <c r="A165" t="s">
        <v>31</v>
      </c>
      <c r="B165" t="s">
        <v>32</v>
      </c>
      <c r="C165" t="s">
        <v>33</v>
      </c>
      <c r="D165" t="s">
        <v>34</v>
      </c>
      <c r="E165" t="s">
        <v>35</v>
      </c>
      <c r="F165" t="s">
        <v>36</v>
      </c>
      <c r="G165">
        <v>1141685</v>
      </c>
      <c r="H165" t="s">
        <v>3065</v>
      </c>
      <c r="I165" t="s">
        <v>42</v>
      </c>
      <c r="J165" t="s">
        <v>3065</v>
      </c>
      <c r="K165" t="s">
        <v>3066</v>
      </c>
      <c r="L165" s="4">
        <v>46173</v>
      </c>
      <c r="M165" s="4">
        <v>46173</v>
      </c>
      <c r="N165">
        <v>1143.22</v>
      </c>
      <c r="O165" t="s">
        <v>59</v>
      </c>
      <c r="P165" t="s">
        <v>63</v>
      </c>
      <c r="Q165" t="s">
        <v>3876</v>
      </c>
      <c r="R165" t="s">
        <v>3877</v>
      </c>
      <c r="S165" t="s">
        <v>66</v>
      </c>
      <c r="T165" t="s">
        <v>3878</v>
      </c>
      <c r="U165" t="s">
        <v>3879</v>
      </c>
      <c r="V165">
        <v>7</v>
      </c>
      <c r="W165" s="2">
        <v>29016</v>
      </c>
    </row>
    <row r="166" spans="1:23" x14ac:dyDescent="0.25">
      <c r="A166" t="s">
        <v>31</v>
      </c>
      <c r="B166" t="s">
        <v>32</v>
      </c>
      <c r="C166" t="s">
        <v>33</v>
      </c>
      <c r="D166" t="s">
        <v>34</v>
      </c>
      <c r="E166" t="s">
        <v>35</v>
      </c>
      <c r="F166" t="s">
        <v>36</v>
      </c>
      <c r="G166">
        <v>1141685</v>
      </c>
      <c r="H166" t="s">
        <v>3065</v>
      </c>
      <c r="I166" t="s">
        <v>42</v>
      </c>
      <c r="J166" t="s">
        <v>3065</v>
      </c>
      <c r="K166" t="s">
        <v>3066</v>
      </c>
      <c r="L166" s="4">
        <v>46173</v>
      </c>
      <c r="M166" s="4">
        <v>46173</v>
      </c>
      <c r="N166">
        <v>1143.22</v>
      </c>
      <c r="O166" t="s">
        <v>59</v>
      </c>
      <c r="P166" t="s">
        <v>63</v>
      </c>
      <c r="Q166" t="s">
        <v>3876</v>
      </c>
      <c r="R166" t="s">
        <v>3877</v>
      </c>
      <c r="S166" t="s">
        <v>66</v>
      </c>
      <c r="T166" t="s">
        <v>3878</v>
      </c>
      <c r="U166" t="s">
        <v>3879</v>
      </c>
      <c r="V166">
        <v>7</v>
      </c>
      <c r="W166" s="2">
        <v>29016</v>
      </c>
    </row>
    <row r="167" spans="1:23" x14ac:dyDescent="0.25">
      <c r="A167" t="s">
        <v>31</v>
      </c>
      <c r="B167" t="s">
        <v>32</v>
      </c>
      <c r="C167" t="s">
        <v>33</v>
      </c>
      <c r="D167" t="s">
        <v>34</v>
      </c>
      <c r="E167" t="s">
        <v>35</v>
      </c>
      <c r="F167" t="s">
        <v>36</v>
      </c>
      <c r="G167">
        <v>1141685</v>
      </c>
      <c r="H167" t="s">
        <v>3065</v>
      </c>
      <c r="I167" t="s">
        <v>42</v>
      </c>
      <c r="J167" t="s">
        <v>3065</v>
      </c>
      <c r="K167" t="s">
        <v>3066</v>
      </c>
      <c r="L167" s="4">
        <v>46173</v>
      </c>
      <c r="M167" s="4">
        <v>46173</v>
      </c>
      <c r="N167">
        <v>1143.22</v>
      </c>
      <c r="O167" t="s">
        <v>59</v>
      </c>
      <c r="P167" t="s">
        <v>63</v>
      </c>
      <c r="Q167" t="s">
        <v>3876</v>
      </c>
      <c r="R167" t="s">
        <v>3877</v>
      </c>
      <c r="S167" t="s">
        <v>66</v>
      </c>
      <c r="T167" t="s">
        <v>3878</v>
      </c>
      <c r="U167" t="s">
        <v>3879</v>
      </c>
      <c r="V167">
        <v>7</v>
      </c>
      <c r="W167" s="2">
        <v>29016</v>
      </c>
    </row>
    <row r="168" spans="1:23" x14ac:dyDescent="0.25">
      <c r="A168" t="s">
        <v>31</v>
      </c>
      <c r="B168" t="s">
        <v>32</v>
      </c>
      <c r="C168" t="s">
        <v>33</v>
      </c>
      <c r="D168" t="s">
        <v>34</v>
      </c>
      <c r="E168" t="s">
        <v>35</v>
      </c>
      <c r="F168" t="s">
        <v>36</v>
      </c>
      <c r="G168">
        <v>1141685</v>
      </c>
      <c r="H168" t="s">
        <v>3065</v>
      </c>
      <c r="I168" t="s">
        <v>42</v>
      </c>
      <c r="J168" t="s">
        <v>3065</v>
      </c>
      <c r="K168" t="s">
        <v>3066</v>
      </c>
      <c r="L168" s="4">
        <v>46173</v>
      </c>
      <c r="M168" s="4">
        <v>46173</v>
      </c>
      <c r="N168">
        <v>1143.22</v>
      </c>
      <c r="O168" t="s">
        <v>59</v>
      </c>
      <c r="P168" t="s">
        <v>63</v>
      </c>
      <c r="Q168" t="s">
        <v>3876</v>
      </c>
      <c r="R168" t="s">
        <v>3877</v>
      </c>
      <c r="S168" t="s">
        <v>66</v>
      </c>
      <c r="T168" t="s">
        <v>3878</v>
      </c>
      <c r="U168" t="s">
        <v>3879</v>
      </c>
      <c r="V168">
        <v>7</v>
      </c>
      <c r="W168" s="2">
        <v>29016</v>
      </c>
    </row>
    <row r="169" spans="1:23" x14ac:dyDescent="0.25">
      <c r="A169" t="s">
        <v>31</v>
      </c>
      <c r="B169" t="s">
        <v>32</v>
      </c>
      <c r="C169" t="s">
        <v>33</v>
      </c>
      <c r="D169" t="s">
        <v>34</v>
      </c>
      <c r="E169" t="s">
        <v>35</v>
      </c>
      <c r="F169" t="s">
        <v>36</v>
      </c>
      <c r="G169">
        <v>1141685</v>
      </c>
      <c r="H169" t="s">
        <v>3065</v>
      </c>
      <c r="I169" t="s">
        <v>42</v>
      </c>
      <c r="J169" t="s">
        <v>3065</v>
      </c>
      <c r="K169" t="s">
        <v>3066</v>
      </c>
      <c r="L169" s="4">
        <v>46173</v>
      </c>
      <c r="M169" s="4">
        <v>46173</v>
      </c>
      <c r="N169">
        <v>1143.22</v>
      </c>
      <c r="O169" t="s">
        <v>59</v>
      </c>
      <c r="P169" t="s">
        <v>63</v>
      </c>
      <c r="Q169" t="s">
        <v>3876</v>
      </c>
      <c r="R169" t="s">
        <v>3877</v>
      </c>
      <c r="S169" t="s">
        <v>66</v>
      </c>
      <c r="T169" t="s">
        <v>3878</v>
      </c>
      <c r="U169" t="s">
        <v>3879</v>
      </c>
      <c r="V169">
        <v>7</v>
      </c>
      <c r="W169" s="2">
        <v>29016</v>
      </c>
    </row>
    <row r="170" spans="1:23" x14ac:dyDescent="0.25">
      <c r="A170" t="s">
        <v>31</v>
      </c>
      <c r="B170" t="s">
        <v>32</v>
      </c>
      <c r="C170" t="s">
        <v>33</v>
      </c>
      <c r="D170" t="s">
        <v>34</v>
      </c>
      <c r="E170" t="s">
        <v>35</v>
      </c>
      <c r="F170" t="s">
        <v>36</v>
      </c>
      <c r="G170">
        <v>1141685</v>
      </c>
      <c r="H170" t="s">
        <v>3065</v>
      </c>
      <c r="I170" t="s">
        <v>42</v>
      </c>
      <c r="J170" t="s">
        <v>3065</v>
      </c>
      <c r="K170" t="s">
        <v>3066</v>
      </c>
      <c r="L170" s="4">
        <v>46173</v>
      </c>
      <c r="M170" s="4">
        <v>46173</v>
      </c>
      <c r="N170">
        <v>1143.22</v>
      </c>
      <c r="O170" t="s">
        <v>59</v>
      </c>
      <c r="P170" t="s">
        <v>63</v>
      </c>
      <c r="Q170" t="s">
        <v>3876</v>
      </c>
      <c r="R170" t="s">
        <v>3877</v>
      </c>
      <c r="S170" t="s">
        <v>66</v>
      </c>
      <c r="T170" t="s">
        <v>3878</v>
      </c>
      <c r="U170" t="s">
        <v>3879</v>
      </c>
      <c r="V170">
        <v>7</v>
      </c>
      <c r="W170" s="2">
        <v>29016</v>
      </c>
    </row>
    <row r="171" spans="1:23" x14ac:dyDescent="0.25">
      <c r="A171" t="s">
        <v>31</v>
      </c>
      <c r="B171" t="s">
        <v>32</v>
      </c>
      <c r="C171" t="s">
        <v>33</v>
      </c>
      <c r="D171" t="s">
        <v>34</v>
      </c>
      <c r="E171" t="s">
        <v>35</v>
      </c>
      <c r="F171" t="s">
        <v>36</v>
      </c>
      <c r="G171">
        <v>1141685</v>
      </c>
      <c r="H171" t="s">
        <v>3065</v>
      </c>
      <c r="I171" t="s">
        <v>42</v>
      </c>
      <c r="J171" t="s">
        <v>3065</v>
      </c>
      <c r="K171" t="s">
        <v>3066</v>
      </c>
      <c r="L171" s="4">
        <v>46173</v>
      </c>
      <c r="M171" s="4">
        <v>46173</v>
      </c>
      <c r="N171">
        <v>1143.22</v>
      </c>
      <c r="O171" t="s">
        <v>59</v>
      </c>
      <c r="P171" t="s">
        <v>63</v>
      </c>
      <c r="Q171" t="s">
        <v>3876</v>
      </c>
      <c r="R171" t="s">
        <v>3877</v>
      </c>
      <c r="S171" t="s">
        <v>66</v>
      </c>
      <c r="T171" t="s">
        <v>3878</v>
      </c>
      <c r="U171" t="s">
        <v>3879</v>
      </c>
      <c r="V171">
        <v>7</v>
      </c>
      <c r="W171" s="2">
        <v>29016</v>
      </c>
    </row>
    <row r="172" spans="1:23" x14ac:dyDescent="0.25">
      <c r="A172" t="s">
        <v>31</v>
      </c>
      <c r="B172" t="s">
        <v>32</v>
      </c>
      <c r="C172" t="s">
        <v>33</v>
      </c>
      <c r="D172" t="s">
        <v>34</v>
      </c>
      <c r="E172" t="s">
        <v>35</v>
      </c>
      <c r="F172" t="s">
        <v>36</v>
      </c>
      <c r="G172">
        <v>1141685</v>
      </c>
      <c r="H172" t="s">
        <v>3065</v>
      </c>
      <c r="I172" t="s">
        <v>42</v>
      </c>
      <c r="J172" t="s">
        <v>3065</v>
      </c>
      <c r="K172" t="s">
        <v>3066</v>
      </c>
      <c r="L172" s="4">
        <v>46173</v>
      </c>
      <c r="M172" s="4">
        <v>46173</v>
      </c>
      <c r="N172">
        <v>1143.22</v>
      </c>
      <c r="O172" t="s">
        <v>59</v>
      </c>
      <c r="P172" t="s">
        <v>63</v>
      </c>
      <c r="Q172" t="s">
        <v>3876</v>
      </c>
      <c r="R172" t="s">
        <v>3877</v>
      </c>
      <c r="S172" t="s">
        <v>66</v>
      </c>
      <c r="T172" t="s">
        <v>3878</v>
      </c>
      <c r="U172" t="s">
        <v>3879</v>
      </c>
      <c r="V172">
        <v>7</v>
      </c>
      <c r="W172" s="2">
        <v>29016</v>
      </c>
    </row>
    <row r="173" spans="1:23" x14ac:dyDescent="0.25">
      <c r="A173" t="s">
        <v>31</v>
      </c>
      <c r="B173" t="s">
        <v>32</v>
      </c>
      <c r="C173" t="s">
        <v>33</v>
      </c>
      <c r="D173" t="s">
        <v>34</v>
      </c>
      <c r="E173" t="s">
        <v>35</v>
      </c>
      <c r="F173" t="s">
        <v>36</v>
      </c>
      <c r="G173">
        <v>1141685</v>
      </c>
      <c r="H173" t="s">
        <v>3065</v>
      </c>
      <c r="I173" t="s">
        <v>42</v>
      </c>
      <c r="J173" t="s">
        <v>3065</v>
      </c>
      <c r="K173" t="s">
        <v>3066</v>
      </c>
      <c r="L173" s="4">
        <v>46173</v>
      </c>
      <c r="M173" s="4">
        <v>46173</v>
      </c>
      <c r="N173">
        <v>1143.22</v>
      </c>
      <c r="O173" t="s">
        <v>59</v>
      </c>
      <c r="P173" t="s">
        <v>63</v>
      </c>
      <c r="Q173" t="s">
        <v>3876</v>
      </c>
      <c r="R173" t="s">
        <v>3877</v>
      </c>
      <c r="S173" t="s">
        <v>66</v>
      </c>
      <c r="T173" t="s">
        <v>3878</v>
      </c>
      <c r="U173" t="s">
        <v>3879</v>
      </c>
      <c r="V173">
        <v>7</v>
      </c>
      <c r="W173" s="2">
        <v>29016</v>
      </c>
    </row>
    <row r="174" spans="1:23" x14ac:dyDescent="0.25">
      <c r="A174" t="s">
        <v>31</v>
      </c>
      <c r="B174" t="s">
        <v>32</v>
      </c>
      <c r="C174" t="s">
        <v>33</v>
      </c>
      <c r="D174" t="s">
        <v>34</v>
      </c>
      <c r="E174" t="s">
        <v>35</v>
      </c>
      <c r="F174" t="s">
        <v>36</v>
      </c>
      <c r="G174">
        <v>1141685</v>
      </c>
      <c r="H174" t="s">
        <v>3065</v>
      </c>
      <c r="I174" t="s">
        <v>42</v>
      </c>
      <c r="J174" t="s">
        <v>3065</v>
      </c>
      <c r="K174" t="s">
        <v>3066</v>
      </c>
      <c r="L174" s="4">
        <v>46173</v>
      </c>
      <c r="M174" s="4">
        <v>46173</v>
      </c>
      <c r="N174">
        <v>1143.22</v>
      </c>
      <c r="O174" t="s">
        <v>59</v>
      </c>
      <c r="P174" t="s">
        <v>63</v>
      </c>
      <c r="Q174" t="s">
        <v>3876</v>
      </c>
      <c r="R174" t="s">
        <v>3877</v>
      </c>
      <c r="S174" t="s">
        <v>66</v>
      </c>
      <c r="T174" t="s">
        <v>3878</v>
      </c>
      <c r="U174" t="s">
        <v>3879</v>
      </c>
      <c r="V174">
        <v>7</v>
      </c>
      <c r="W174" s="2">
        <v>29016</v>
      </c>
    </row>
    <row r="175" spans="1:23" x14ac:dyDescent="0.25">
      <c r="A175" t="s">
        <v>31</v>
      </c>
      <c r="B175" t="s">
        <v>32</v>
      </c>
      <c r="C175" t="s">
        <v>33</v>
      </c>
      <c r="D175" t="s">
        <v>34</v>
      </c>
      <c r="E175" t="s">
        <v>35</v>
      </c>
      <c r="F175" t="s">
        <v>36</v>
      </c>
      <c r="G175">
        <v>1141685</v>
      </c>
      <c r="H175" t="s">
        <v>3065</v>
      </c>
      <c r="I175" t="s">
        <v>42</v>
      </c>
      <c r="J175" t="s">
        <v>3065</v>
      </c>
      <c r="K175" t="s">
        <v>3066</v>
      </c>
      <c r="L175" s="4">
        <v>46173</v>
      </c>
      <c r="M175" s="4">
        <v>46173</v>
      </c>
      <c r="N175">
        <v>1143.22</v>
      </c>
      <c r="O175" t="s">
        <v>59</v>
      </c>
      <c r="P175" t="s">
        <v>63</v>
      </c>
      <c r="Q175" t="s">
        <v>3876</v>
      </c>
      <c r="R175" t="s">
        <v>3877</v>
      </c>
      <c r="S175" t="s">
        <v>66</v>
      </c>
      <c r="T175" t="s">
        <v>3878</v>
      </c>
      <c r="U175" t="s">
        <v>3879</v>
      </c>
      <c r="V175">
        <v>7</v>
      </c>
      <c r="W175" s="2">
        <v>29016</v>
      </c>
    </row>
    <row r="176" spans="1:23" x14ac:dyDescent="0.25">
      <c r="A176" t="s">
        <v>31</v>
      </c>
      <c r="B176" t="s">
        <v>32</v>
      </c>
      <c r="C176" t="s">
        <v>33</v>
      </c>
      <c r="D176" t="s">
        <v>34</v>
      </c>
      <c r="E176" t="s">
        <v>35</v>
      </c>
      <c r="F176" t="s">
        <v>36</v>
      </c>
      <c r="G176">
        <v>1141685</v>
      </c>
      <c r="H176" t="s">
        <v>3065</v>
      </c>
      <c r="I176" t="s">
        <v>42</v>
      </c>
      <c r="J176" t="s">
        <v>3065</v>
      </c>
      <c r="K176" t="s">
        <v>3066</v>
      </c>
      <c r="L176" s="4">
        <v>46173</v>
      </c>
      <c r="M176" s="4">
        <v>46173</v>
      </c>
      <c r="N176">
        <v>1143.22</v>
      </c>
      <c r="O176" t="s">
        <v>59</v>
      </c>
      <c r="P176" t="s">
        <v>63</v>
      </c>
      <c r="Q176" t="s">
        <v>3876</v>
      </c>
      <c r="R176" t="s">
        <v>3877</v>
      </c>
      <c r="S176" t="s">
        <v>66</v>
      </c>
      <c r="T176" t="s">
        <v>3878</v>
      </c>
      <c r="U176" t="s">
        <v>3879</v>
      </c>
      <c r="V176">
        <v>7</v>
      </c>
      <c r="W176" s="2">
        <v>29016</v>
      </c>
    </row>
    <row r="177" spans="1:23" x14ac:dyDescent="0.25">
      <c r="A177" t="s">
        <v>31</v>
      </c>
      <c r="B177" t="s">
        <v>32</v>
      </c>
      <c r="C177" t="s">
        <v>33</v>
      </c>
      <c r="D177" t="s">
        <v>34</v>
      </c>
      <c r="E177" t="s">
        <v>35</v>
      </c>
      <c r="F177" t="s">
        <v>36</v>
      </c>
      <c r="G177">
        <v>1141685</v>
      </c>
      <c r="H177" t="s">
        <v>3065</v>
      </c>
      <c r="I177" t="s">
        <v>42</v>
      </c>
      <c r="J177" t="s">
        <v>3065</v>
      </c>
      <c r="K177" t="s">
        <v>3066</v>
      </c>
      <c r="L177" s="4">
        <v>46173</v>
      </c>
      <c r="M177" s="4">
        <v>46173</v>
      </c>
      <c r="N177">
        <v>1143.22</v>
      </c>
      <c r="O177" t="s">
        <v>59</v>
      </c>
      <c r="P177" t="s">
        <v>63</v>
      </c>
      <c r="Q177" t="s">
        <v>3876</v>
      </c>
      <c r="R177" t="s">
        <v>3877</v>
      </c>
      <c r="S177" t="s">
        <v>66</v>
      </c>
      <c r="T177" t="s">
        <v>3878</v>
      </c>
      <c r="U177" t="s">
        <v>3879</v>
      </c>
      <c r="V177">
        <v>7</v>
      </c>
      <c r="W177" s="2">
        <v>29016</v>
      </c>
    </row>
    <row r="178" spans="1:23" x14ac:dyDescent="0.25">
      <c r="A178" t="s">
        <v>31</v>
      </c>
      <c r="B178" t="s">
        <v>32</v>
      </c>
      <c r="C178" t="s">
        <v>33</v>
      </c>
      <c r="D178" t="s">
        <v>34</v>
      </c>
      <c r="E178" t="s">
        <v>35</v>
      </c>
      <c r="F178" t="s">
        <v>36</v>
      </c>
      <c r="G178">
        <v>1141685</v>
      </c>
      <c r="H178" t="s">
        <v>3065</v>
      </c>
      <c r="I178" t="s">
        <v>42</v>
      </c>
      <c r="J178" t="s">
        <v>3065</v>
      </c>
      <c r="K178" t="s">
        <v>3066</v>
      </c>
      <c r="L178" s="4">
        <v>46173</v>
      </c>
      <c r="M178" s="4">
        <v>46173</v>
      </c>
      <c r="N178">
        <v>1143.22</v>
      </c>
      <c r="O178" t="s">
        <v>59</v>
      </c>
      <c r="P178" t="s">
        <v>63</v>
      </c>
      <c r="Q178" t="s">
        <v>3876</v>
      </c>
      <c r="R178" t="s">
        <v>3877</v>
      </c>
      <c r="S178" t="s">
        <v>66</v>
      </c>
      <c r="T178" t="s">
        <v>3878</v>
      </c>
      <c r="U178" t="s">
        <v>3879</v>
      </c>
      <c r="V178">
        <v>7</v>
      </c>
      <c r="W178" s="2">
        <v>29016</v>
      </c>
    </row>
    <row r="179" spans="1:23" x14ac:dyDescent="0.25">
      <c r="A179" t="s">
        <v>31</v>
      </c>
      <c r="B179" t="s">
        <v>32</v>
      </c>
      <c r="C179" t="s">
        <v>33</v>
      </c>
      <c r="D179" t="s">
        <v>34</v>
      </c>
      <c r="E179" t="s">
        <v>35</v>
      </c>
      <c r="F179" t="s">
        <v>36</v>
      </c>
      <c r="G179">
        <v>1141685</v>
      </c>
      <c r="H179" t="s">
        <v>3065</v>
      </c>
      <c r="I179" t="s">
        <v>42</v>
      </c>
      <c r="J179" t="s">
        <v>3065</v>
      </c>
      <c r="K179" t="s">
        <v>3066</v>
      </c>
      <c r="L179" s="4">
        <v>46173</v>
      </c>
      <c r="M179" s="4">
        <v>46173</v>
      </c>
      <c r="N179">
        <v>1143.22</v>
      </c>
      <c r="O179" t="s">
        <v>59</v>
      </c>
      <c r="P179" t="s">
        <v>63</v>
      </c>
      <c r="Q179" t="s">
        <v>3876</v>
      </c>
      <c r="R179" t="s">
        <v>3877</v>
      </c>
      <c r="S179" t="s">
        <v>66</v>
      </c>
      <c r="T179" t="s">
        <v>3878</v>
      </c>
      <c r="U179" t="s">
        <v>3879</v>
      </c>
      <c r="V179">
        <v>7</v>
      </c>
      <c r="W179" s="2">
        <v>29016</v>
      </c>
    </row>
    <row r="180" spans="1:23" x14ac:dyDescent="0.25">
      <c r="A180" t="s">
        <v>31</v>
      </c>
      <c r="B180" t="s">
        <v>32</v>
      </c>
      <c r="C180" t="s">
        <v>33</v>
      </c>
      <c r="D180" t="s">
        <v>34</v>
      </c>
      <c r="E180" t="s">
        <v>35</v>
      </c>
      <c r="F180" t="s">
        <v>36</v>
      </c>
      <c r="G180">
        <v>1141685</v>
      </c>
      <c r="H180" t="s">
        <v>3065</v>
      </c>
      <c r="I180" t="s">
        <v>42</v>
      </c>
      <c r="J180" t="s">
        <v>3065</v>
      </c>
      <c r="K180" t="s">
        <v>3066</v>
      </c>
      <c r="L180" s="4">
        <v>46173</v>
      </c>
      <c r="M180" s="4">
        <v>46173</v>
      </c>
      <c r="N180">
        <v>1143.22</v>
      </c>
      <c r="O180" t="s">
        <v>59</v>
      </c>
      <c r="P180" t="s">
        <v>63</v>
      </c>
      <c r="Q180" t="s">
        <v>3876</v>
      </c>
      <c r="R180" t="s">
        <v>3877</v>
      </c>
      <c r="S180" t="s">
        <v>66</v>
      </c>
      <c r="T180" t="s">
        <v>3878</v>
      </c>
      <c r="U180" t="s">
        <v>3879</v>
      </c>
      <c r="V180">
        <v>7</v>
      </c>
      <c r="W180" s="2">
        <v>29016</v>
      </c>
    </row>
    <row r="181" spans="1:23" x14ac:dyDescent="0.25">
      <c r="A181" t="s">
        <v>31</v>
      </c>
      <c r="B181" t="s">
        <v>32</v>
      </c>
      <c r="C181" t="s">
        <v>33</v>
      </c>
      <c r="D181" t="s">
        <v>34</v>
      </c>
      <c r="E181" t="s">
        <v>35</v>
      </c>
      <c r="F181" t="s">
        <v>36</v>
      </c>
      <c r="G181">
        <v>1141685</v>
      </c>
      <c r="H181" t="s">
        <v>3065</v>
      </c>
      <c r="I181" t="s">
        <v>42</v>
      </c>
      <c r="J181" t="s">
        <v>3065</v>
      </c>
      <c r="K181" t="s">
        <v>3066</v>
      </c>
      <c r="L181" s="4">
        <v>46173</v>
      </c>
      <c r="M181" s="4">
        <v>46173</v>
      </c>
      <c r="N181">
        <v>1143.22</v>
      </c>
      <c r="O181" t="s">
        <v>59</v>
      </c>
      <c r="P181" t="s">
        <v>63</v>
      </c>
      <c r="Q181" t="s">
        <v>3876</v>
      </c>
      <c r="R181" t="s">
        <v>3877</v>
      </c>
      <c r="S181" t="s">
        <v>66</v>
      </c>
      <c r="T181" t="s">
        <v>3878</v>
      </c>
      <c r="U181" t="s">
        <v>3879</v>
      </c>
      <c r="V181">
        <v>7</v>
      </c>
      <c r="W181" s="2">
        <v>29016</v>
      </c>
    </row>
    <row r="182" spans="1:23" x14ac:dyDescent="0.25">
      <c r="A182" t="s">
        <v>31</v>
      </c>
      <c r="B182" t="s">
        <v>32</v>
      </c>
      <c r="C182" t="s">
        <v>33</v>
      </c>
      <c r="D182" t="s">
        <v>34</v>
      </c>
      <c r="E182" t="s">
        <v>35</v>
      </c>
      <c r="F182" t="s">
        <v>36</v>
      </c>
      <c r="G182">
        <v>1141685</v>
      </c>
      <c r="H182" t="s">
        <v>3065</v>
      </c>
      <c r="I182" t="s">
        <v>42</v>
      </c>
      <c r="J182" t="s">
        <v>3065</v>
      </c>
      <c r="K182" t="s">
        <v>3066</v>
      </c>
      <c r="L182" s="4">
        <v>46173</v>
      </c>
      <c r="M182" s="4">
        <v>46173</v>
      </c>
      <c r="N182">
        <v>1143.22</v>
      </c>
      <c r="O182" t="s">
        <v>59</v>
      </c>
      <c r="P182" t="s">
        <v>63</v>
      </c>
      <c r="Q182" t="s">
        <v>3876</v>
      </c>
      <c r="R182" t="s">
        <v>3877</v>
      </c>
      <c r="S182" t="s">
        <v>66</v>
      </c>
      <c r="T182" t="s">
        <v>3878</v>
      </c>
      <c r="U182" t="s">
        <v>3879</v>
      </c>
      <c r="V182">
        <v>7</v>
      </c>
      <c r="W182" s="2">
        <v>29016</v>
      </c>
    </row>
    <row r="183" spans="1:23" x14ac:dyDescent="0.25">
      <c r="A183" t="s">
        <v>31</v>
      </c>
      <c r="B183" t="s">
        <v>32</v>
      </c>
      <c r="C183" t="s">
        <v>33</v>
      </c>
      <c r="D183" t="s">
        <v>34</v>
      </c>
      <c r="E183" t="s">
        <v>35</v>
      </c>
      <c r="F183" t="s">
        <v>36</v>
      </c>
      <c r="G183">
        <v>1141685</v>
      </c>
      <c r="H183" t="s">
        <v>3065</v>
      </c>
      <c r="I183" t="s">
        <v>42</v>
      </c>
      <c r="J183" t="s">
        <v>3065</v>
      </c>
      <c r="K183" t="s">
        <v>3066</v>
      </c>
      <c r="L183" s="4">
        <v>46173</v>
      </c>
      <c r="M183" s="4">
        <v>46173</v>
      </c>
      <c r="N183">
        <v>1143.22</v>
      </c>
      <c r="O183" t="s">
        <v>59</v>
      </c>
      <c r="P183" t="s">
        <v>63</v>
      </c>
      <c r="Q183" t="s">
        <v>3876</v>
      </c>
      <c r="R183" t="s">
        <v>3877</v>
      </c>
      <c r="S183" t="s">
        <v>66</v>
      </c>
      <c r="T183" t="s">
        <v>3878</v>
      </c>
      <c r="U183" t="s">
        <v>3879</v>
      </c>
      <c r="V183">
        <v>7</v>
      </c>
      <c r="W183" s="2">
        <v>29016</v>
      </c>
    </row>
    <row r="184" spans="1:23" x14ac:dyDescent="0.25">
      <c r="A184" t="s">
        <v>31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>
        <v>1141685</v>
      </c>
      <c r="H184" t="s">
        <v>3065</v>
      </c>
      <c r="I184" t="s">
        <v>42</v>
      </c>
      <c r="J184" t="s">
        <v>3065</v>
      </c>
      <c r="K184" t="s">
        <v>3066</v>
      </c>
      <c r="L184" s="4">
        <v>46173</v>
      </c>
      <c r="M184" s="4">
        <v>46173</v>
      </c>
      <c r="N184">
        <v>1143.22</v>
      </c>
      <c r="O184" t="s">
        <v>59</v>
      </c>
      <c r="P184" t="s">
        <v>63</v>
      </c>
      <c r="Q184" t="s">
        <v>3876</v>
      </c>
      <c r="R184" t="s">
        <v>3877</v>
      </c>
      <c r="S184" t="s">
        <v>66</v>
      </c>
      <c r="T184" t="s">
        <v>3878</v>
      </c>
      <c r="U184" t="s">
        <v>3879</v>
      </c>
      <c r="V184">
        <v>7</v>
      </c>
      <c r="W184" s="2">
        <v>29016</v>
      </c>
    </row>
    <row r="185" spans="1:23" x14ac:dyDescent="0.25">
      <c r="A185" t="s">
        <v>31</v>
      </c>
      <c r="B185" t="s">
        <v>32</v>
      </c>
      <c r="C185" t="s">
        <v>33</v>
      </c>
      <c r="D185" t="s">
        <v>34</v>
      </c>
      <c r="E185" t="s">
        <v>35</v>
      </c>
      <c r="F185" t="s">
        <v>36</v>
      </c>
      <c r="G185">
        <v>1141685</v>
      </c>
      <c r="H185" t="s">
        <v>3065</v>
      </c>
      <c r="I185" t="s">
        <v>42</v>
      </c>
      <c r="J185" t="s">
        <v>3065</v>
      </c>
      <c r="K185" t="s">
        <v>3066</v>
      </c>
      <c r="L185" s="4">
        <v>46173</v>
      </c>
      <c r="M185" s="4">
        <v>46173</v>
      </c>
      <c r="N185">
        <v>1143.22</v>
      </c>
      <c r="O185" t="s">
        <v>59</v>
      </c>
      <c r="P185" t="s">
        <v>63</v>
      </c>
      <c r="Q185" t="s">
        <v>3876</v>
      </c>
      <c r="R185" t="s">
        <v>3877</v>
      </c>
      <c r="S185" t="s">
        <v>66</v>
      </c>
      <c r="T185" t="s">
        <v>3878</v>
      </c>
      <c r="U185" t="s">
        <v>3879</v>
      </c>
      <c r="V185">
        <v>7</v>
      </c>
      <c r="W185" s="2">
        <v>29016</v>
      </c>
    </row>
    <row r="186" spans="1:23" x14ac:dyDescent="0.25">
      <c r="A186" t="s">
        <v>31</v>
      </c>
      <c r="B186" t="s">
        <v>32</v>
      </c>
      <c r="C186" t="s">
        <v>33</v>
      </c>
      <c r="D186" t="s">
        <v>34</v>
      </c>
      <c r="E186" t="s">
        <v>35</v>
      </c>
      <c r="F186" t="s">
        <v>36</v>
      </c>
      <c r="G186">
        <v>1141685</v>
      </c>
      <c r="H186" t="s">
        <v>3065</v>
      </c>
      <c r="I186" t="s">
        <v>42</v>
      </c>
      <c r="J186" t="s">
        <v>3065</v>
      </c>
      <c r="K186" t="s">
        <v>3066</v>
      </c>
      <c r="L186" s="4">
        <v>46173</v>
      </c>
      <c r="M186" s="4">
        <v>46173</v>
      </c>
      <c r="N186">
        <v>1143.22</v>
      </c>
      <c r="O186" t="s">
        <v>59</v>
      </c>
      <c r="P186" t="s">
        <v>63</v>
      </c>
      <c r="Q186" t="s">
        <v>3876</v>
      </c>
      <c r="R186" t="s">
        <v>3877</v>
      </c>
      <c r="S186" t="s">
        <v>66</v>
      </c>
      <c r="T186" t="s">
        <v>3878</v>
      </c>
      <c r="U186" t="s">
        <v>3879</v>
      </c>
      <c r="V186">
        <v>7</v>
      </c>
      <c r="W186" s="2">
        <v>29016</v>
      </c>
    </row>
    <row r="187" spans="1:23" x14ac:dyDescent="0.25">
      <c r="A187" t="s">
        <v>31</v>
      </c>
      <c r="B187" t="s">
        <v>32</v>
      </c>
      <c r="C187" t="s">
        <v>33</v>
      </c>
      <c r="D187" t="s">
        <v>34</v>
      </c>
      <c r="E187" t="s">
        <v>35</v>
      </c>
      <c r="F187" t="s">
        <v>36</v>
      </c>
      <c r="G187">
        <v>1141685</v>
      </c>
      <c r="H187" t="s">
        <v>3065</v>
      </c>
      <c r="I187" t="s">
        <v>42</v>
      </c>
      <c r="J187" t="s">
        <v>3065</v>
      </c>
      <c r="K187" t="s">
        <v>3066</v>
      </c>
      <c r="L187" s="4">
        <v>46173</v>
      </c>
      <c r="M187" s="4">
        <v>46173</v>
      </c>
      <c r="N187">
        <v>1143.22</v>
      </c>
      <c r="O187" t="s">
        <v>59</v>
      </c>
      <c r="P187" t="s">
        <v>63</v>
      </c>
      <c r="Q187" t="s">
        <v>3876</v>
      </c>
      <c r="R187" t="s">
        <v>3877</v>
      </c>
      <c r="S187" t="s">
        <v>66</v>
      </c>
      <c r="T187" t="s">
        <v>3878</v>
      </c>
      <c r="U187" t="s">
        <v>3879</v>
      </c>
      <c r="V187">
        <v>7</v>
      </c>
      <c r="W187" s="2">
        <v>29016</v>
      </c>
    </row>
    <row r="188" spans="1:23" x14ac:dyDescent="0.25">
      <c r="A188" t="s">
        <v>31</v>
      </c>
      <c r="B188" t="s">
        <v>32</v>
      </c>
      <c r="C188" t="s">
        <v>33</v>
      </c>
      <c r="D188" t="s">
        <v>34</v>
      </c>
      <c r="E188" t="s">
        <v>35</v>
      </c>
      <c r="F188" t="s">
        <v>36</v>
      </c>
      <c r="G188">
        <v>1141685</v>
      </c>
      <c r="H188" t="s">
        <v>3065</v>
      </c>
      <c r="I188" t="s">
        <v>42</v>
      </c>
      <c r="J188" t="s">
        <v>3065</v>
      </c>
      <c r="K188" t="s">
        <v>3066</v>
      </c>
      <c r="L188" s="4">
        <v>46173</v>
      </c>
      <c r="M188" s="4">
        <v>46173</v>
      </c>
      <c r="N188">
        <v>1143.22</v>
      </c>
      <c r="O188" t="s">
        <v>59</v>
      </c>
      <c r="P188" t="s">
        <v>63</v>
      </c>
      <c r="Q188" t="s">
        <v>3876</v>
      </c>
      <c r="R188" t="s">
        <v>3877</v>
      </c>
      <c r="S188" t="s">
        <v>66</v>
      </c>
      <c r="T188" t="s">
        <v>3878</v>
      </c>
      <c r="U188" t="s">
        <v>3879</v>
      </c>
      <c r="V188">
        <v>7</v>
      </c>
      <c r="W188" s="2">
        <v>29016</v>
      </c>
    </row>
    <row r="189" spans="1:23" x14ac:dyDescent="0.25">
      <c r="A189" t="s">
        <v>31</v>
      </c>
      <c r="B189" t="s">
        <v>32</v>
      </c>
      <c r="C189" t="s">
        <v>33</v>
      </c>
      <c r="D189" t="s">
        <v>34</v>
      </c>
      <c r="E189" t="s">
        <v>35</v>
      </c>
      <c r="F189" t="s">
        <v>36</v>
      </c>
      <c r="G189">
        <v>1141685</v>
      </c>
      <c r="H189" t="s">
        <v>3065</v>
      </c>
      <c r="I189" t="s">
        <v>42</v>
      </c>
      <c r="J189" t="s">
        <v>3065</v>
      </c>
      <c r="K189" t="s">
        <v>3066</v>
      </c>
      <c r="L189" s="4">
        <v>46173</v>
      </c>
      <c r="M189" s="4">
        <v>46173</v>
      </c>
      <c r="N189">
        <v>1143.22</v>
      </c>
      <c r="O189" t="s">
        <v>59</v>
      </c>
      <c r="P189" t="s">
        <v>63</v>
      </c>
      <c r="Q189" t="s">
        <v>3876</v>
      </c>
      <c r="R189" t="s">
        <v>3877</v>
      </c>
      <c r="S189" t="s">
        <v>66</v>
      </c>
      <c r="T189" t="s">
        <v>3878</v>
      </c>
      <c r="U189" t="s">
        <v>3879</v>
      </c>
      <c r="V189">
        <v>7</v>
      </c>
      <c r="W189" s="2">
        <v>29016</v>
      </c>
    </row>
    <row r="190" spans="1:23" x14ac:dyDescent="0.25">
      <c r="A190" t="s">
        <v>31</v>
      </c>
      <c r="B190" t="s">
        <v>32</v>
      </c>
      <c r="C190" t="s">
        <v>33</v>
      </c>
      <c r="D190" t="s">
        <v>34</v>
      </c>
      <c r="E190" t="s">
        <v>35</v>
      </c>
      <c r="F190" t="s">
        <v>36</v>
      </c>
      <c r="G190">
        <v>1141685</v>
      </c>
      <c r="H190" t="s">
        <v>3065</v>
      </c>
      <c r="I190" t="s">
        <v>42</v>
      </c>
      <c r="J190" t="s">
        <v>3065</v>
      </c>
      <c r="K190" t="s">
        <v>3066</v>
      </c>
      <c r="L190" s="4">
        <v>46173</v>
      </c>
      <c r="M190" s="4">
        <v>46173</v>
      </c>
      <c r="N190">
        <v>1143.22</v>
      </c>
      <c r="O190" t="s">
        <v>59</v>
      </c>
      <c r="P190" t="s">
        <v>63</v>
      </c>
      <c r="Q190" t="s">
        <v>3876</v>
      </c>
      <c r="R190" t="s">
        <v>3877</v>
      </c>
      <c r="S190" t="s">
        <v>66</v>
      </c>
      <c r="T190" t="s">
        <v>3878</v>
      </c>
      <c r="U190" t="s">
        <v>3879</v>
      </c>
      <c r="V190">
        <v>7</v>
      </c>
      <c r="W190" s="2">
        <v>29016</v>
      </c>
    </row>
    <row r="191" spans="1:23" x14ac:dyDescent="0.25">
      <c r="A191" t="s">
        <v>31</v>
      </c>
      <c r="B191" t="s">
        <v>32</v>
      </c>
      <c r="C191" t="s">
        <v>33</v>
      </c>
      <c r="D191" t="s">
        <v>34</v>
      </c>
      <c r="E191" t="s">
        <v>35</v>
      </c>
      <c r="F191" t="s">
        <v>36</v>
      </c>
      <c r="G191">
        <v>1141685</v>
      </c>
      <c r="H191" t="s">
        <v>3065</v>
      </c>
      <c r="I191" t="s">
        <v>42</v>
      </c>
      <c r="J191" t="s">
        <v>3065</v>
      </c>
      <c r="K191" t="s">
        <v>3066</v>
      </c>
      <c r="L191" s="4">
        <v>46173</v>
      </c>
      <c r="M191" s="4">
        <v>46173</v>
      </c>
      <c r="N191">
        <v>1143.22</v>
      </c>
      <c r="O191" t="s">
        <v>59</v>
      </c>
      <c r="P191" t="s">
        <v>63</v>
      </c>
      <c r="Q191" t="s">
        <v>3876</v>
      </c>
      <c r="R191" t="s">
        <v>3877</v>
      </c>
      <c r="S191" t="s">
        <v>66</v>
      </c>
      <c r="T191" t="s">
        <v>3878</v>
      </c>
      <c r="U191" t="s">
        <v>3879</v>
      </c>
      <c r="V191">
        <v>7</v>
      </c>
      <c r="W191" s="2">
        <v>29016</v>
      </c>
    </row>
    <row r="192" spans="1:23" x14ac:dyDescent="0.25">
      <c r="A192" t="s">
        <v>31</v>
      </c>
      <c r="B192" t="s">
        <v>32</v>
      </c>
      <c r="C192" t="s">
        <v>33</v>
      </c>
      <c r="D192" t="s">
        <v>34</v>
      </c>
      <c r="E192" t="s">
        <v>35</v>
      </c>
      <c r="F192" t="s">
        <v>36</v>
      </c>
      <c r="G192">
        <v>1141685</v>
      </c>
      <c r="H192" t="s">
        <v>3065</v>
      </c>
      <c r="I192" t="s">
        <v>42</v>
      </c>
      <c r="J192" t="s">
        <v>3065</v>
      </c>
      <c r="K192" t="s">
        <v>3066</v>
      </c>
      <c r="L192" s="4">
        <v>46173</v>
      </c>
      <c r="M192" s="4">
        <v>46173</v>
      </c>
      <c r="N192">
        <v>1143.22</v>
      </c>
      <c r="O192" t="s">
        <v>59</v>
      </c>
      <c r="P192" t="s">
        <v>63</v>
      </c>
      <c r="Q192" t="s">
        <v>3876</v>
      </c>
      <c r="R192" t="s">
        <v>3877</v>
      </c>
      <c r="S192" t="s">
        <v>66</v>
      </c>
      <c r="T192" t="s">
        <v>3878</v>
      </c>
      <c r="U192" t="s">
        <v>3879</v>
      </c>
      <c r="V192">
        <v>7</v>
      </c>
      <c r="W192" s="2">
        <v>29016</v>
      </c>
    </row>
    <row r="193" spans="1:24" x14ac:dyDescent="0.25">
      <c r="A193" t="s">
        <v>31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>
        <v>1141685</v>
      </c>
      <c r="H193" t="s">
        <v>3065</v>
      </c>
      <c r="I193" t="s">
        <v>42</v>
      </c>
      <c r="J193" t="s">
        <v>3065</v>
      </c>
      <c r="K193" t="s">
        <v>3066</v>
      </c>
      <c r="L193" s="4">
        <v>46173</v>
      </c>
      <c r="M193" s="4">
        <v>46173</v>
      </c>
      <c r="N193">
        <v>1143.22</v>
      </c>
      <c r="O193" t="s">
        <v>59</v>
      </c>
      <c r="P193" t="s">
        <v>63</v>
      </c>
      <c r="Q193" t="s">
        <v>3876</v>
      </c>
      <c r="R193" t="s">
        <v>3877</v>
      </c>
      <c r="S193" t="s">
        <v>66</v>
      </c>
      <c r="T193" t="s">
        <v>3878</v>
      </c>
      <c r="U193" t="s">
        <v>3879</v>
      </c>
      <c r="V193">
        <v>7</v>
      </c>
      <c r="W193" s="2">
        <v>29016</v>
      </c>
    </row>
    <row r="194" spans="1:24" x14ac:dyDescent="0.25">
      <c r="A194" t="s">
        <v>31</v>
      </c>
      <c r="B194" s="5" t="s">
        <v>32</v>
      </c>
      <c r="C194" s="5" t="s">
        <v>33</v>
      </c>
      <c r="D194" s="5" t="s">
        <v>34</v>
      </c>
      <c r="E194" s="5" t="s">
        <v>35</v>
      </c>
      <c r="F194" s="5" t="s">
        <v>36</v>
      </c>
      <c r="G194" s="5">
        <v>1141685</v>
      </c>
      <c r="H194" s="5" t="s">
        <v>3880</v>
      </c>
      <c r="I194" s="5" t="str">
        <f t="shared" ref="I194:I197" si="0">IF(LEFT(K194,9)="Standard_","Reserved Instance Virtual Machine",IF(ISNUMBER(SEARCH("SQL Database Single/ElasticPool General Purpose - Compute Gen5",K194)),"Reserved Instance SQL Database",IF(ISNUMBER(SEARCH("SQL Database SingleDB/Elastic Pool Hyperscale - Compute Gen5",K194)),"Reserved Instance Hyperscale Serverless",IF(ISNUMBER(SEARCH("Azure Database for PostgreSQL Flexible Server General Purpose Ddsv4 Series Compute",K194)),"Reserved Instance PostgreSQL",IF(ISNUMBER(SEARCH("Azure Redis Cache Premium",K194)),"Reserved Instance Redis","Reserved Instance")))))</f>
        <v>Reserved Instance SQL Database</v>
      </c>
      <c r="J194" s="5" t="s">
        <v>3880</v>
      </c>
      <c r="K194" s="5" t="str">
        <f t="shared" ref="K194:K197" si="1">H194</f>
        <v>SQL Database Single/ElasticPool General Purpose - Compute Gen5</v>
      </c>
      <c r="L194" s="5" t="s">
        <v>3881</v>
      </c>
      <c r="M194" s="5" t="s">
        <v>3881</v>
      </c>
      <c r="N194" s="5">
        <f t="shared" ref="N194:N197" si="2">U194</f>
        <v>1</v>
      </c>
      <c r="O194" s="5" t="s">
        <v>3882</v>
      </c>
      <c r="P194" s="5" t="s">
        <v>63</v>
      </c>
      <c r="Q194" s="5" t="s">
        <v>3882</v>
      </c>
      <c r="R194" s="5" t="str">
        <f t="shared" ref="R194:R197" si="3">IF(LEFT(K194,9)="Standard_","Virtual Machine",IF(ISNUMBER(SEARCH("SQL Database Single/ElasticPool General Purpose - Compute Gen5",K194)),"SQL Database",IF(ISNUMBER(SEARCH("SQL Database SingleDB/Elastic Pool Hyperscale - Compute Gen5",K194)),"Hyperscale Serverless",IF(ISNUMBER(SEARCH("Azure Database for PostgreSQL Flexible Server General Purpose Ddsv4 Series Compute",K194)),"PostgreSQL",IF(ISNUMBER(SEARCH("Azure Redis Cache Premium",K194)),"Redis",K194)))))</f>
        <v>SQL Database</v>
      </c>
      <c r="S194" s="5" t="s">
        <v>67</v>
      </c>
      <c r="T194" s="5" t="s">
        <v>3882</v>
      </c>
      <c r="U194" s="5">
        <v>1</v>
      </c>
      <c r="V194" s="6">
        <v>1001385</v>
      </c>
      <c r="W194" s="6">
        <f>U194*V194</f>
        <v>1001385</v>
      </c>
      <c r="X194" t="s">
        <v>3891</v>
      </c>
    </row>
    <row r="195" spans="1:24" x14ac:dyDescent="0.25">
      <c r="A195" t="s">
        <v>31</v>
      </c>
      <c r="B195" s="5" t="s">
        <v>32</v>
      </c>
      <c r="C195" s="5" t="s">
        <v>33</v>
      </c>
      <c r="D195" s="5" t="s">
        <v>34</v>
      </c>
      <c r="E195" s="5" t="s">
        <v>3892</v>
      </c>
      <c r="F195" s="5" t="s">
        <v>36</v>
      </c>
      <c r="G195" s="5">
        <v>1141685</v>
      </c>
      <c r="H195" s="5" t="s">
        <v>3885</v>
      </c>
      <c r="I195" s="5" t="str">
        <f t="shared" si="0"/>
        <v>Reserved Instance Virtual Machine</v>
      </c>
      <c r="J195" s="5" t="s">
        <v>3885</v>
      </c>
      <c r="K195" s="5" t="str">
        <f t="shared" si="1"/>
        <v>Standard_D2s_v3</v>
      </c>
      <c r="L195" s="5" t="s">
        <v>3881</v>
      </c>
      <c r="M195" s="5" t="s">
        <v>3881</v>
      </c>
      <c r="N195" s="5">
        <f t="shared" si="2"/>
        <v>2</v>
      </c>
      <c r="O195" s="5" t="s">
        <v>3882</v>
      </c>
      <c r="P195" s="5" t="s">
        <v>63</v>
      </c>
      <c r="Q195" s="5" t="s">
        <v>3882</v>
      </c>
      <c r="R195" s="5" t="str">
        <f t="shared" si="3"/>
        <v>Virtual Machine</v>
      </c>
      <c r="S195" s="5" t="s">
        <v>67</v>
      </c>
      <c r="T195" s="5" t="s">
        <v>3882</v>
      </c>
      <c r="U195" s="5">
        <v>2</v>
      </c>
      <c r="V195" s="6">
        <v>1131817.5</v>
      </c>
      <c r="W195" s="6">
        <f t="shared" ref="W195:W197" si="4">U195*V195</f>
        <v>2263635</v>
      </c>
      <c r="X195" t="s">
        <v>3891</v>
      </c>
    </row>
    <row r="196" spans="1:24" x14ac:dyDescent="0.25">
      <c r="A196" t="s">
        <v>31</v>
      </c>
      <c r="B196" s="5" t="s">
        <v>32</v>
      </c>
      <c r="C196" s="5" t="s">
        <v>33</v>
      </c>
      <c r="D196" s="5" t="s">
        <v>34</v>
      </c>
      <c r="E196" s="5" t="s">
        <v>3886</v>
      </c>
      <c r="F196" s="5" t="s">
        <v>36</v>
      </c>
      <c r="G196" s="5">
        <v>1141685</v>
      </c>
      <c r="H196" s="5" t="s">
        <v>3887</v>
      </c>
      <c r="I196" s="5" t="str">
        <f t="shared" si="0"/>
        <v>Reserved Instance Virtual Machine</v>
      </c>
      <c r="J196" s="5" t="s">
        <v>3887</v>
      </c>
      <c r="K196" s="5" t="str">
        <f t="shared" si="1"/>
        <v>Standard_D4s_v3</v>
      </c>
      <c r="L196" s="5" t="s">
        <v>3881</v>
      </c>
      <c r="M196" s="5" t="s">
        <v>3881</v>
      </c>
      <c r="N196" s="5">
        <f t="shared" si="2"/>
        <v>3</v>
      </c>
      <c r="O196" s="5" t="s">
        <v>3882</v>
      </c>
      <c r="P196" s="5" t="s">
        <v>63</v>
      </c>
      <c r="Q196" s="5" t="s">
        <v>3882</v>
      </c>
      <c r="R196" s="5" t="str">
        <f t="shared" si="3"/>
        <v>Virtual Machine</v>
      </c>
      <c r="S196" s="5" t="s">
        <v>67</v>
      </c>
      <c r="T196" s="5" t="s">
        <v>3882</v>
      </c>
      <c r="U196" s="5">
        <v>3</v>
      </c>
      <c r="V196" s="6">
        <v>1131817.5</v>
      </c>
      <c r="W196" s="6">
        <f t="shared" si="4"/>
        <v>3395452.5</v>
      </c>
      <c r="X196" t="s">
        <v>3891</v>
      </c>
    </row>
    <row r="197" spans="1:24" x14ac:dyDescent="0.25">
      <c r="A197" t="s">
        <v>31</v>
      </c>
      <c r="B197" s="5" t="s">
        <v>32</v>
      </c>
      <c r="C197" s="5" t="s">
        <v>33</v>
      </c>
      <c r="D197" s="5" t="s">
        <v>34</v>
      </c>
      <c r="E197" s="5" t="s">
        <v>3884</v>
      </c>
      <c r="F197" s="5" t="s">
        <v>36</v>
      </c>
      <c r="G197" s="5">
        <v>1141685</v>
      </c>
      <c r="H197" s="5" t="s">
        <v>3893</v>
      </c>
      <c r="I197" s="5" t="str">
        <f t="shared" si="0"/>
        <v>Reserved Instance Virtual Machine</v>
      </c>
      <c r="J197" s="5" t="s">
        <v>3893</v>
      </c>
      <c r="K197" s="5" t="str">
        <f t="shared" si="1"/>
        <v>Standard_D8s_v3</v>
      </c>
      <c r="L197" s="5" t="s">
        <v>3881</v>
      </c>
      <c r="M197" s="5" t="s">
        <v>3881</v>
      </c>
      <c r="N197" s="5">
        <f t="shared" si="2"/>
        <v>2</v>
      </c>
      <c r="O197" s="5" t="s">
        <v>3882</v>
      </c>
      <c r="P197" s="5" t="s">
        <v>63</v>
      </c>
      <c r="Q197" s="5" t="s">
        <v>3882</v>
      </c>
      <c r="R197" s="5" t="str">
        <f t="shared" si="3"/>
        <v>Virtual Machine</v>
      </c>
      <c r="S197" s="5" t="s">
        <v>67</v>
      </c>
      <c r="T197" s="5" t="s">
        <v>3882</v>
      </c>
      <c r="U197" s="5">
        <v>2</v>
      </c>
      <c r="V197" s="6">
        <v>1131817.5</v>
      </c>
      <c r="W197" s="6">
        <f t="shared" si="4"/>
        <v>2263635</v>
      </c>
      <c r="X197" t="s">
        <v>3891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64"/>
  <sheetViews>
    <sheetView workbookViewId="0">
      <selection sqref="A1:W264"/>
    </sheetView>
  </sheetViews>
  <sheetFormatPr defaultRowHeight="15" x14ac:dyDescent="0.25"/>
  <cols>
    <col min="23" max="23" width="15.5703125" bestFit="1" customWidth="1"/>
  </cols>
  <sheetData>
    <row r="1" spans="1:2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9</v>
      </c>
      <c r="S1" t="s">
        <v>27</v>
      </c>
      <c r="T1" t="s">
        <v>28</v>
      </c>
      <c r="U1" t="s">
        <v>29</v>
      </c>
      <c r="V1" t="s">
        <v>30</v>
      </c>
      <c r="W1" t="s">
        <v>8</v>
      </c>
    </row>
    <row r="2" spans="1:23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1141685</v>
      </c>
      <c r="H2" t="s">
        <v>76</v>
      </c>
      <c r="I2" t="s">
        <v>95</v>
      </c>
      <c r="J2" t="s">
        <v>99</v>
      </c>
      <c r="K2" t="s">
        <v>109</v>
      </c>
      <c r="L2" s="1">
        <v>46143</v>
      </c>
      <c r="M2" s="1">
        <v>46173</v>
      </c>
      <c r="N2">
        <v>14.18375</v>
      </c>
      <c r="O2" t="s">
        <v>58</v>
      </c>
      <c r="P2" t="s">
        <v>63</v>
      </c>
      <c r="Q2" t="s">
        <v>2300</v>
      </c>
      <c r="R2" t="s">
        <v>2304</v>
      </c>
      <c r="S2" t="s">
        <v>67</v>
      </c>
      <c r="T2" t="s">
        <v>2326</v>
      </c>
      <c r="U2" t="s">
        <v>2471</v>
      </c>
      <c r="V2">
        <v>16</v>
      </c>
      <c r="W2" s="2">
        <v>0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1141685</v>
      </c>
      <c r="H3" t="s">
        <v>76</v>
      </c>
      <c r="I3" t="s">
        <v>95</v>
      </c>
      <c r="J3" t="s">
        <v>99</v>
      </c>
      <c r="K3" t="s">
        <v>109</v>
      </c>
      <c r="L3" s="1">
        <v>46143</v>
      </c>
      <c r="M3" s="1">
        <v>46173</v>
      </c>
      <c r="N3">
        <v>0.23333699999999999</v>
      </c>
      <c r="O3" t="s">
        <v>58</v>
      </c>
      <c r="P3" t="s">
        <v>63</v>
      </c>
      <c r="Q3" t="s">
        <v>2300</v>
      </c>
      <c r="R3" t="s">
        <v>2304</v>
      </c>
      <c r="S3" t="s">
        <v>67</v>
      </c>
      <c r="T3" t="s">
        <v>2326</v>
      </c>
      <c r="U3" t="s">
        <v>2471</v>
      </c>
      <c r="V3">
        <v>16</v>
      </c>
      <c r="W3" s="2">
        <v>0</v>
      </c>
    </row>
    <row r="4" spans="1:2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1141685</v>
      </c>
      <c r="H4" t="s">
        <v>80</v>
      </c>
      <c r="I4" t="s">
        <v>96</v>
      </c>
      <c r="J4" t="s">
        <v>80</v>
      </c>
      <c r="K4" t="s">
        <v>122</v>
      </c>
      <c r="L4" s="1">
        <v>46143</v>
      </c>
      <c r="M4" s="1">
        <v>46173</v>
      </c>
      <c r="N4">
        <v>0.22815848790000001</v>
      </c>
      <c r="O4" t="s">
        <v>56</v>
      </c>
      <c r="P4" t="s">
        <v>63</v>
      </c>
      <c r="Q4" t="s">
        <v>2301</v>
      </c>
      <c r="R4" t="s">
        <v>2305</v>
      </c>
      <c r="S4" t="s">
        <v>67</v>
      </c>
      <c r="T4" t="s">
        <v>2327</v>
      </c>
      <c r="U4" t="s">
        <v>2472</v>
      </c>
      <c r="V4">
        <v>16</v>
      </c>
      <c r="W4" s="2">
        <v>39.807986227100002</v>
      </c>
    </row>
    <row r="5" spans="1:23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1141685</v>
      </c>
      <c r="H5" t="s">
        <v>80</v>
      </c>
      <c r="I5" t="s">
        <v>96</v>
      </c>
      <c r="J5" t="s">
        <v>80</v>
      </c>
      <c r="K5" t="s">
        <v>115</v>
      </c>
      <c r="L5" s="1">
        <v>46143</v>
      </c>
      <c r="M5" s="1">
        <v>46173</v>
      </c>
      <c r="N5">
        <v>0.25537210980000002</v>
      </c>
      <c r="O5" t="s">
        <v>56</v>
      </c>
      <c r="P5" t="s">
        <v>63</v>
      </c>
      <c r="Q5" t="s">
        <v>2301</v>
      </c>
      <c r="R5" t="s">
        <v>2304</v>
      </c>
      <c r="S5" t="s">
        <v>67</v>
      </c>
      <c r="T5" t="s">
        <v>2328</v>
      </c>
      <c r="U5" t="s">
        <v>2473</v>
      </c>
      <c r="V5">
        <v>15</v>
      </c>
      <c r="W5" s="2">
        <v>44.555952085500003</v>
      </c>
    </row>
    <row r="6" spans="1:23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1141685</v>
      </c>
      <c r="H6" t="s">
        <v>79</v>
      </c>
      <c r="I6" t="s">
        <v>94</v>
      </c>
      <c r="J6" t="s">
        <v>101</v>
      </c>
      <c r="K6" t="s">
        <v>114</v>
      </c>
      <c r="L6" s="1">
        <v>46143</v>
      </c>
      <c r="M6" s="1">
        <v>46173</v>
      </c>
      <c r="N6">
        <v>6.6086318300000002E-2</v>
      </c>
      <c r="O6" t="s">
        <v>56</v>
      </c>
      <c r="P6" t="s">
        <v>63</v>
      </c>
      <c r="Q6" t="s">
        <v>2301</v>
      </c>
      <c r="R6" t="s">
        <v>2304</v>
      </c>
      <c r="S6" t="s">
        <v>67</v>
      </c>
      <c r="T6" t="s">
        <v>2329</v>
      </c>
      <c r="U6" t="s">
        <v>2474</v>
      </c>
      <c r="V6">
        <v>15</v>
      </c>
      <c r="W6" s="2">
        <v>92.237110451400014</v>
      </c>
    </row>
    <row r="7" spans="1:23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1141685</v>
      </c>
      <c r="H7" t="s">
        <v>79</v>
      </c>
      <c r="I7" t="s">
        <v>94</v>
      </c>
      <c r="J7" t="s">
        <v>101</v>
      </c>
      <c r="K7" t="s">
        <v>114</v>
      </c>
      <c r="L7" s="1">
        <v>46143</v>
      </c>
      <c r="M7" s="1">
        <v>46173</v>
      </c>
      <c r="N7">
        <v>4.3292931299999997E-2</v>
      </c>
      <c r="O7" t="s">
        <v>56</v>
      </c>
      <c r="P7" t="s">
        <v>63</v>
      </c>
      <c r="Q7" t="s">
        <v>2301</v>
      </c>
      <c r="R7" t="s">
        <v>2304</v>
      </c>
      <c r="S7" t="s">
        <v>67</v>
      </c>
      <c r="T7" t="s">
        <v>2330</v>
      </c>
      <c r="U7" t="s">
        <v>2475</v>
      </c>
      <c r="V7">
        <v>15</v>
      </c>
      <c r="W7" s="2">
        <v>60.422308930100002</v>
      </c>
    </row>
    <row r="8" spans="1:23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1141685</v>
      </c>
      <c r="H8" t="s">
        <v>80</v>
      </c>
      <c r="I8" t="s">
        <v>96</v>
      </c>
      <c r="J8" t="s">
        <v>80</v>
      </c>
      <c r="K8" t="s">
        <v>115</v>
      </c>
      <c r="L8" s="1">
        <v>46143</v>
      </c>
      <c r="M8" s="1">
        <v>46173</v>
      </c>
      <c r="N8">
        <v>3.3266999999999998E-6</v>
      </c>
      <c r="O8" t="s">
        <v>56</v>
      </c>
      <c r="P8" t="s">
        <v>63</v>
      </c>
      <c r="Q8" t="s">
        <v>2301</v>
      </c>
      <c r="R8" t="s">
        <v>2306</v>
      </c>
      <c r="S8" t="s">
        <v>67</v>
      </c>
      <c r="T8" t="s">
        <v>2331</v>
      </c>
      <c r="U8" t="s">
        <v>2476</v>
      </c>
      <c r="V8">
        <v>16</v>
      </c>
      <c r="W8" s="2">
        <v>5.1072819999999997E-4</v>
      </c>
    </row>
    <row r="9" spans="1:23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1141685</v>
      </c>
      <c r="H9" t="s">
        <v>77</v>
      </c>
      <c r="I9" t="s">
        <v>96</v>
      </c>
      <c r="J9" t="s">
        <v>77</v>
      </c>
      <c r="K9" t="s">
        <v>113</v>
      </c>
      <c r="L9" s="1">
        <v>46143</v>
      </c>
      <c r="M9" s="1">
        <v>46173</v>
      </c>
      <c r="N9">
        <v>5.47768166E-2</v>
      </c>
      <c r="O9" t="s">
        <v>56</v>
      </c>
      <c r="P9" t="s">
        <v>63</v>
      </c>
      <c r="Q9" t="s">
        <v>2302</v>
      </c>
      <c r="R9" t="s">
        <v>2307</v>
      </c>
      <c r="S9" t="s">
        <v>67</v>
      </c>
      <c r="T9" t="s">
        <v>2332</v>
      </c>
      <c r="U9" t="s">
        <v>2477</v>
      </c>
      <c r="V9">
        <v>7</v>
      </c>
      <c r="W9" s="2">
        <v>9.5595998155000004</v>
      </c>
    </row>
    <row r="10" spans="1:23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1141685</v>
      </c>
      <c r="H10" t="s">
        <v>83</v>
      </c>
      <c r="I10" t="s">
        <v>97</v>
      </c>
      <c r="J10" t="s">
        <v>103</v>
      </c>
      <c r="K10" t="s">
        <v>119</v>
      </c>
      <c r="L10" s="1">
        <v>46143</v>
      </c>
      <c r="M10" s="1">
        <v>46173</v>
      </c>
      <c r="N10">
        <v>1956</v>
      </c>
      <c r="O10" t="s">
        <v>58</v>
      </c>
      <c r="P10" t="s">
        <v>63</v>
      </c>
      <c r="Q10" t="s">
        <v>2303</v>
      </c>
      <c r="R10" t="s">
        <v>2308</v>
      </c>
      <c r="S10" t="s">
        <v>67</v>
      </c>
      <c r="T10" t="s">
        <v>2333</v>
      </c>
      <c r="U10" t="s">
        <v>2478</v>
      </c>
      <c r="V10">
        <v>9</v>
      </c>
      <c r="W10" s="2">
        <v>3411277.36667008</v>
      </c>
    </row>
    <row r="11" spans="1:23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1141685</v>
      </c>
      <c r="H11" t="s">
        <v>38</v>
      </c>
      <c r="I11" t="s">
        <v>38</v>
      </c>
      <c r="J11" t="s">
        <v>38</v>
      </c>
      <c r="K11" t="s">
        <v>55</v>
      </c>
      <c r="L11" s="1">
        <v>46143</v>
      </c>
      <c r="M11" s="1">
        <v>46173</v>
      </c>
      <c r="N11">
        <v>2593</v>
      </c>
      <c r="O11" t="s">
        <v>61</v>
      </c>
      <c r="P11" t="s">
        <v>63</v>
      </c>
      <c r="Q11" t="s">
        <v>2303</v>
      </c>
      <c r="R11" t="s">
        <v>2309</v>
      </c>
      <c r="S11" t="s">
        <v>66</v>
      </c>
      <c r="T11" t="s">
        <v>2334</v>
      </c>
      <c r="U11" t="s">
        <v>2479</v>
      </c>
      <c r="V11">
        <v>6</v>
      </c>
      <c r="W11" s="2">
        <v>6604.6711734399996</v>
      </c>
    </row>
    <row r="12" spans="1:23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1141685</v>
      </c>
      <c r="H12" t="s">
        <v>82</v>
      </c>
      <c r="I12" t="s">
        <v>82</v>
      </c>
      <c r="J12" t="s">
        <v>82</v>
      </c>
      <c r="K12" t="s">
        <v>118</v>
      </c>
      <c r="L12" s="1">
        <v>46143</v>
      </c>
      <c r="M12" s="1">
        <v>46173</v>
      </c>
      <c r="N12">
        <v>0.114345</v>
      </c>
      <c r="O12" t="s">
        <v>60</v>
      </c>
      <c r="P12" t="s">
        <v>63</v>
      </c>
      <c r="Q12" t="s">
        <v>2302</v>
      </c>
      <c r="R12" t="s">
        <v>149</v>
      </c>
      <c r="S12" t="s">
        <v>68</v>
      </c>
      <c r="T12" t="s">
        <v>2335</v>
      </c>
      <c r="U12" t="s">
        <v>2480</v>
      </c>
      <c r="V12">
        <v>7</v>
      </c>
      <c r="W12" s="2">
        <v>797.94173023730002</v>
      </c>
    </row>
    <row r="13" spans="1:23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1141685</v>
      </c>
      <c r="H13" t="s">
        <v>82</v>
      </c>
      <c r="I13" t="s">
        <v>82</v>
      </c>
      <c r="J13" t="s">
        <v>82</v>
      </c>
      <c r="K13" t="s">
        <v>120</v>
      </c>
      <c r="L13" s="1">
        <v>46143</v>
      </c>
      <c r="M13" s="1">
        <v>46173</v>
      </c>
      <c r="N13">
        <v>1</v>
      </c>
      <c r="O13" t="s">
        <v>61</v>
      </c>
      <c r="P13" t="s">
        <v>63</v>
      </c>
      <c r="Q13" t="s">
        <v>2302</v>
      </c>
      <c r="R13" t="s">
        <v>157</v>
      </c>
      <c r="S13" t="s">
        <v>68</v>
      </c>
      <c r="T13" t="s">
        <v>256</v>
      </c>
      <c r="U13" t="s">
        <v>411</v>
      </c>
      <c r="V13">
        <v>6</v>
      </c>
      <c r="W13" s="2">
        <v>2691.9341720419998</v>
      </c>
    </row>
    <row r="14" spans="1:23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1141685</v>
      </c>
      <c r="H14" t="s">
        <v>80</v>
      </c>
      <c r="I14" t="s">
        <v>96</v>
      </c>
      <c r="J14" t="s">
        <v>80</v>
      </c>
      <c r="K14" t="s">
        <v>122</v>
      </c>
      <c r="L14" s="1">
        <v>46143</v>
      </c>
      <c r="M14" s="1">
        <v>46173</v>
      </c>
      <c r="N14">
        <v>0.79817304759999996</v>
      </c>
      <c r="O14" t="s">
        <v>56</v>
      </c>
      <c r="P14" t="s">
        <v>63</v>
      </c>
      <c r="Q14" t="s">
        <v>2301</v>
      </c>
      <c r="R14" t="s">
        <v>2304</v>
      </c>
      <c r="S14" t="s">
        <v>67</v>
      </c>
      <c r="T14" t="s">
        <v>2336</v>
      </c>
      <c r="U14" t="s">
        <v>2481</v>
      </c>
      <c r="V14">
        <v>16</v>
      </c>
      <c r="W14" s="2">
        <v>139.24935749580001</v>
      </c>
    </row>
    <row r="15" spans="1:23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1141685</v>
      </c>
      <c r="H15" t="s">
        <v>80</v>
      </c>
      <c r="I15" t="s">
        <v>96</v>
      </c>
      <c r="J15" t="s">
        <v>80</v>
      </c>
      <c r="K15" t="s">
        <v>122</v>
      </c>
      <c r="L15" s="1">
        <v>46143</v>
      </c>
      <c r="M15" s="1">
        <v>46173</v>
      </c>
      <c r="N15">
        <v>0.1777957818</v>
      </c>
      <c r="O15" t="s">
        <v>56</v>
      </c>
      <c r="P15" t="s">
        <v>63</v>
      </c>
      <c r="Q15" t="s">
        <v>2301</v>
      </c>
      <c r="R15" t="s">
        <v>2304</v>
      </c>
      <c r="S15" t="s">
        <v>67</v>
      </c>
      <c r="T15" t="s">
        <v>2337</v>
      </c>
      <c r="U15" t="s">
        <v>2482</v>
      </c>
      <c r="V15">
        <v>15</v>
      </c>
      <c r="W15" s="2">
        <v>31.0160618341</v>
      </c>
    </row>
    <row r="16" spans="1:23" x14ac:dyDescent="0.25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1141685</v>
      </c>
      <c r="H16" t="s">
        <v>80</v>
      </c>
      <c r="I16" t="s">
        <v>96</v>
      </c>
      <c r="J16" t="s">
        <v>80</v>
      </c>
      <c r="K16" t="s">
        <v>115</v>
      </c>
      <c r="L16" s="1">
        <v>46143</v>
      </c>
      <c r="M16" s="1">
        <v>46173</v>
      </c>
      <c r="N16">
        <v>0.19249198679999999</v>
      </c>
      <c r="O16" t="s">
        <v>56</v>
      </c>
      <c r="P16" t="s">
        <v>63</v>
      </c>
      <c r="Q16" t="s">
        <v>2301</v>
      </c>
      <c r="R16" t="s">
        <v>2304</v>
      </c>
      <c r="S16" t="s">
        <v>67</v>
      </c>
      <c r="T16" t="s">
        <v>2338</v>
      </c>
      <c r="U16" t="s">
        <v>2483</v>
      </c>
      <c r="V16">
        <v>15</v>
      </c>
      <c r="W16" s="2">
        <v>33.582293772500002</v>
      </c>
    </row>
    <row r="17" spans="1:23" x14ac:dyDescent="0.25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1141685</v>
      </c>
      <c r="H17" t="s">
        <v>79</v>
      </c>
      <c r="I17" t="s">
        <v>94</v>
      </c>
      <c r="J17" t="s">
        <v>101</v>
      </c>
      <c r="K17" t="s">
        <v>114</v>
      </c>
      <c r="L17" s="1">
        <v>46143</v>
      </c>
      <c r="M17" s="1">
        <v>46173</v>
      </c>
      <c r="N17">
        <v>2.2350000000000001E-7</v>
      </c>
      <c r="O17" t="s">
        <v>56</v>
      </c>
      <c r="P17" t="s">
        <v>63</v>
      </c>
      <c r="Q17" t="s">
        <v>2301</v>
      </c>
      <c r="R17" t="s">
        <v>2305</v>
      </c>
      <c r="S17" t="s">
        <v>67</v>
      </c>
      <c r="T17" t="s">
        <v>2339</v>
      </c>
      <c r="U17" t="s">
        <v>2484</v>
      </c>
      <c r="V17">
        <v>16</v>
      </c>
      <c r="W17" s="2">
        <v>2.7452370000000001E-4</v>
      </c>
    </row>
    <row r="18" spans="1:23" x14ac:dyDescent="0.2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1141685</v>
      </c>
      <c r="H18" t="s">
        <v>79</v>
      </c>
      <c r="I18" t="s">
        <v>94</v>
      </c>
      <c r="J18" t="s">
        <v>101</v>
      </c>
      <c r="K18" t="s">
        <v>114</v>
      </c>
      <c r="L18" s="1">
        <v>46143</v>
      </c>
      <c r="M18" s="1">
        <v>46173</v>
      </c>
      <c r="N18">
        <v>5.8517230000000001E-4</v>
      </c>
      <c r="O18" t="s">
        <v>56</v>
      </c>
      <c r="P18" t="s">
        <v>63</v>
      </c>
      <c r="Q18" t="s">
        <v>2301</v>
      </c>
      <c r="R18" t="s">
        <v>2305</v>
      </c>
      <c r="S18" t="s">
        <v>67</v>
      </c>
      <c r="T18" t="s">
        <v>2340</v>
      </c>
      <c r="U18" t="s">
        <v>2485</v>
      </c>
      <c r="V18">
        <v>15</v>
      </c>
      <c r="W18" s="2">
        <v>0.81870771330000003</v>
      </c>
    </row>
    <row r="19" spans="1:23" x14ac:dyDescent="0.2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1141685</v>
      </c>
      <c r="H19" t="s">
        <v>85</v>
      </c>
      <c r="I19" t="s">
        <v>85</v>
      </c>
      <c r="J19" t="s">
        <v>85</v>
      </c>
      <c r="K19" t="s">
        <v>123</v>
      </c>
      <c r="L19" s="1">
        <v>46143</v>
      </c>
      <c r="M19" s="1">
        <v>46173</v>
      </c>
      <c r="N19">
        <v>33120</v>
      </c>
      <c r="O19" t="s">
        <v>61</v>
      </c>
      <c r="P19" t="s">
        <v>63</v>
      </c>
      <c r="Q19" t="s">
        <v>2303</v>
      </c>
      <c r="R19" t="s">
        <v>2310</v>
      </c>
      <c r="S19" t="s">
        <v>66</v>
      </c>
      <c r="T19" t="s">
        <v>625</v>
      </c>
      <c r="U19" t="s">
        <v>810</v>
      </c>
      <c r="V19">
        <v>6</v>
      </c>
      <c r="W19" s="2">
        <v>338019.74049599998</v>
      </c>
    </row>
    <row r="20" spans="1:23" x14ac:dyDescent="0.25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1141685</v>
      </c>
      <c r="H20" t="s">
        <v>79</v>
      </c>
      <c r="I20" t="s">
        <v>94</v>
      </c>
      <c r="J20" t="s">
        <v>101</v>
      </c>
      <c r="K20" t="s">
        <v>116</v>
      </c>
      <c r="L20" s="1">
        <v>46143</v>
      </c>
      <c r="M20" s="1">
        <v>46173</v>
      </c>
      <c r="N20">
        <v>1.4676422235</v>
      </c>
      <c r="O20" t="s">
        <v>56</v>
      </c>
      <c r="P20" t="s">
        <v>63</v>
      </c>
      <c r="Q20" t="s">
        <v>2301</v>
      </c>
      <c r="R20" t="s">
        <v>2304</v>
      </c>
      <c r="S20" t="s">
        <v>67</v>
      </c>
      <c r="T20" t="s">
        <v>2341</v>
      </c>
      <c r="U20" t="s">
        <v>2486</v>
      </c>
      <c r="V20">
        <v>16</v>
      </c>
      <c r="W20" s="2">
        <v>2048.3558306267</v>
      </c>
    </row>
    <row r="21" spans="1:23" x14ac:dyDescent="0.2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1141685</v>
      </c>
      <c r="H21" t="s">
        <v>76</v>
      </c>
      <c r="I21" t="s">
        <v>95</v>
      </c>
      <c r="J21" t="s">
        <v>99</v>
      </c>
      <c r="K21" t="s">
        <v>109</v>
      </c>
      <c r="L21" s="1">
        <v>46143</v>
      </c>
      <c r="M21" s="1">
        <v>46173</v>
      </c>
      <c r="N21">
        <v>0.183337</v>
      </c>
      <c r="O21" t="s">
        <v>58</v>
      </c>
      <c r="P21" t="s">
        <v>63</v>
      </c>
      <c r="Q21" t="s">
        <v>2300</v>
      </c>
      <c r="R21" t="s">
        <v>2305</v>
      </c>
      <c r="S21" t="s">
        <v>67</v>
      </c>
      <c r="T21" t="s">
        <v>2342</v>
      </c>
      <c r="U21" t="s">
        <v>2487</v>
      </c>
      <c r="V21">
        <v>16</v>
      </c>
      <c r="W21" s="2">
        <v>0</v>
      </c>
    </row>
    <row r="22" spans="1:23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1141685</v>
      </c>
      <c r="H22" t="s">
        <v>79</v>
      </c>
      <c r="I22" t="s">
        <v>94</v>
      </c>
      <c r="J22" t="s">
        <v>101</v>
      </c>
      <c r="K22" t="s">
        <v>116</v>
      </c>
      <c r="L22" s="1">
        <v>46143</v>
      </c>
      <c r="M22" s="1">
        <v>46173</v>
      </c>
      <c r="N22">
        <v>0.32707337289999999</v>
      </c>
      <c r="O22" t="s">
        <v>56</v>
      </c>
      <c r="P22" t="s">
        <v>63</v>
      </c>
      <c r="Q22" t="s">
        <v>2301</v>
      </c>
      <c r="R22" t="s">
        <v>2306</v>
      </c>
      <c r="S22" t="s">
        <v>67</v>
      </c>
      <c r="T22" t="s">
        <v>2343</v>
      </c>
      <c r="U22" t="s">
        <v>2488</v>
      </c>
      <c r="V22">
        <v>17</v>
      </c>
      <c r="W22" s="2">
        <v>456.49099327620002</v>
      </c>
    </row>
    <row r="23" spans="1:23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1141685</v>
      </c>
      <c r="H23" t="s">
        <v>76</v>
      </c>
      <c r="I23" t="s">
        <v>95</v>
      </c>
      <c r="J23" t="s">
        <v>99</v>
      </c>
      <c r="K23" t="s">
        <v>109</v>
      </c>
      <c r="L23" s="1">
        <v>46143</v>
      </c>
      <c r="M23" s="1">
        <v>46173</v>
      </c>
      <c r="N23">
        <v>1.966704</v>
      </c>
      <c r="O23" t="s">
        <v>58</v>
      </c>
      <c r="P23" t="s">
        <v>63</v>
      </c>
      <c r="Q23" t="s">
        <v>2300</v>
      </c>
      <c r="R23" t="s">
        <v>2306</v>
      </c>
      <c r="S23" t="s">
        <v>67</v>
      </c>
      <c r="T23" t="s">
        <v>2344</v>
      </c>
      <c r="U23" t="s">
        <v>2489</v>
      </c>
      <c r="V23">
        <v>17</v>
      </c>
      <c r="W23" s="2">
        <v>0</v>
      </c>
    </row>
    <row r="24" spans="1:23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1141685</v>
      </c>
      <c r="H24" t="s">
        <v>76</v>
      </c>
      <c r="I24" t="s">
        <v>95</v>
      </c>
      <c r="J24" t="s">
        <v>99</v>
      </c>
      <c r="K24" t="s">
        <v>109</v>
      </c>
      <c r="L24" s="1">
        <v>46143</v>
      </c>
      <c r="M24" s="1">
        <v>46173</v>
      </c>
      <c r="N24">
        <v>0.250004</v>
      </c>
      <c r="O24" t="s">
        <v>58</v>
      </c>
      <c r="P24" t="s">
        <v>63</v>
      </c>
      <c r="Q24" t="s">
        <v>2300</v>
      </c>
      <c r="R24" t="s">
        <v>2304</v>
      </c>
      <c r="S24" t="s">
        <v>67</v>
      </c>
      <c r="T24" t="s">
        <v>2326</v>
      </c>
      <c r="U24" t="s">
        <v>2471</v>
      </c>
      <c r="V24">
        <v>16</v>
      </c>
      <c r="W24" s="2">
        <v>0</v>
      </c>
    </row>
    <row r="25" spans="1:23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1141685</v>
      </c>
      <c r="H25" t="s">
        <v>76</v>
      </c>
      <c r="I25" t="s">
        <v>95</v>
      </c>
      <c r="J25" t="s">
        <v>99</v>
      </c>
      <c r="K25" t="s">
        <v>109</v>
      </c>
      <c r="L25" s="1">
        <v>46143</v>
      </c>
      <c r="M25" s="1">
        <v>46173</v>
      </c>
      <c r="N25">
        <v>3.0504769999999999</v>
      </c>
      <c r="O25" t="s">
        <v>58</v>
      </c>
      <c r="P25" t="s">
        <v>63</v>
      </c>
      <c r="Q25" t="s">
        <v>2300</v>
      </c>
      <c r="R25" t="s">
        <v>2304</v>
      </c>
      <c r="S25" t="s">
        <v>67</v>
      </c>
      <c r="T25" t="s">
        <v>2326</v>
      </c>
      <c r="U25" t="s">
        <v>2471</v>
      </c>
      <c r="V25">
        <v>16</v>
      </c>
      <c r="W25" s="2">
        <v>0</v>
      </c>
    </row>
    <row r="26" spans="1:23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1141685</v>
      </c>
      <c r="H26" t="s">
        <v>82</v>
      </c>
      <c r="I26" t="s">
        <v>82</v>
      </c>
      <c r="J26" t="s">
        <v>82</v>
      </c>
      <c r="K26" t="s">
        <v>118</v>
      </c>
      <c r="L26" s="1">
        <v>46143</v>
      </c>
      <c r="M26" s="1">
        <v>46173</v>
      </c>
      <c r="N26">
        <v>0.11813700000000001</v>
      </c>
      <c r="O26" t="s">
        <v>60</v>
      </c>
      <c r="P26" t="s">
        <v>63</v>
      </c>
      <c r="Q26" t="s">
        <v>2302</v>
      </c>
      <c r="R26" t="s">
        <v>148</v>
      </c>
      <c r="S26" t="s">
        <v>68</v>
      </c>
      <c r="T26" t="s">
        <v>2345</v>
      </c>
      <c r="U26" t="s">
        <v>2490</v>
      </c>
      <c r="V26">
        <v>7</v>
      </c>
      <c r="W26" s="2">
        <v>824.40837190399998</v>
      </c>
    </row>
    <row r="27" spans="1:23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1141685</v>
      </c>
      <c r="H27" t="s">
        <v>87</v>
      </c>
      <c r="I27" t="s">
        <v>87</v>
      </c>
      <c r="J27" t="s">
        <v>87</v>
      </c>
      <c r="K27" t="s">
        <v>131</v>
      </c>
      <c r="L27" s="1">
        <v>46143</v>
      </c>
      <c r="M27" s="1">
        <v>46173</v>
      </c>
      <c r="N27">
        <v>2495.9215802252002</v>
      </c>
      <c r="O27" t="s">
        <v>56</v>
      </c>
      <c r="P27" t="s">
        <v>63</v>
      </c>
      <c r="Q27" t="s">
        <v>2301</v>
      </c>
      <c r="R27" t="s">
        <v>164</v>
      </c>
      <c r="S27" t="s">
        <v>67</v>
      </c>
      <c r="T27" t="s">
        <v>2346</v>
      </c>
      <c r="U27" t="s">
        <v>2491</v>
      </c>
      <c r="V27">
        <v>12</v>
      </c>
      <c r="W27" s="2">
        <v>217719.24070988109</v>
      </c>
    </row>
    <row r="28" spans="1:23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1141685</v>
      </c>
      <c r="H28" t="s">
        <v>78</v>
      </c>
      <c r="I28" t="s">
        <v>96</v>
      </c>
      <c r="J28" t="s">
        <v>100</v>
      </c>
      <c r="K28" t="s">
        <v>112</v>
      </c>
      <c r="L28" s="1">
        <v>46143</v>
      </c>
      <c r="M28" s="1">
        <v>46173</v>
      </c>
      <c r="N28">
        <v>744</v>
      </c>
      <c r="O28" t="s">
        <v>58</v>
      </c>
      <c r="P28" t="s">
        <v>63</v>
      </c>
      <c r="Q28" t="s">
        <v>2301</v>
      </c>
      <c r="R28" t="s">
        <v>2311</v>
      </c>
      <c r="S28" t="s">
        <v>67</v>
      </c>
      <c r="T28" t="s">
        <v>2347</v>
      </c>
      <c r="U28" t="s">
        <v>2492</v>
      </c>
      <c r="V28">
        <v>14</v>
      </c>
      <c r="W28" s="2">
        <v>64899.115599999997</v>
      </c>
    </row>
    <row r="29" spans="1:23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1141685</v>
      </c>
      <c r="H29" t="s">
        <v>88</v>
      </c>
      <c r="I29" t="s">
        <v>88</v>
      </c>
      <c r="J29" t="s">
        <v>88</v>
      </c>
      <c r="K29" t="s">
        <v>134</v>
      </c>
      <c r="L29" s="1">
        <v>46143</v>
      </c>
      <c r="M29" s="1">
        <v>46173</v>
      </c>
      <c r="N29">
        <v>0.64127800000000001</v>
      </c>
      <c r="O29" t="s">
        <v>60</v>
      </c>
      <c r="P29" t="s">
        <v>63</v>
      </c>
      <c r="Q29" t="s">
        <v>2303</v>
      </c>
      <c r="R29" t="s">
        <v>2312</v>
      </c>
      <c r="S29" t="s">
        <v>67</v>
      </c>
      <c r="T29" t="s">
        <v>2348</v>
      </c>
      <c r="U29" t="s">
        <v>2493</v>
      </c>
      <c r="V29">
        <v>8</v>
      </c>
      <c r="W29" s="2">
        <v>313.25581474429998</v>
      </c>
    </row>
    <row r="30" spans="1:23" x14ac:dyDescent="0.25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1141685</v>
      </c>
      <c r="H30" t="s">
        <v>76</v>
      </c>
      <c r="I30" t="s">
        <v>95</v>
      </c>
      <c r="J30" t="s">
        <v>99</v>
      </c>
      <c r="K30" t="s">
        <v>109</v>
      </c>
      <c r="L30" s="1">
        <v>46143</v>
      </c>
      <c r="M30" s="1">
        <v>46173</v>
      </c>
      <c r="N30">
        <v>21.134439</v>
      </c>
      <c r="O30" t="s">
        <v>58</v>
      </c>
      <c r="P30" t="s">
        <v>63</v>
      </c>
      <c r="Q30" t="s">
        <v>2300</v>
      </c>
      <c r="R30" t="s">
        <v>2304</v>
      </c>
      <c r="S30" t="s">
        <v>67</v>
      </c>
      <c r="T30" t="s">
        <v>2326</v>
      </c>
      <c r="U30" t="s">
        <v>2471</v>
      </c>
      <c r="V30">
        <v>16</v>
      </c>
      <c r="W30" s="2">
        <v>0</v>
      </c>
    </row>
    <row r="31" spans="1:23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1141685</v>
      </c>
      <c r="H31" t="s">
        <v>76</v>
      </c>
      <c r="I31" t="s">
        <v>95</v>
      </c>
      <c r="J31" t="s">
        <v>99</v>
      </c>
      <c r="K31" t="s">
        <v>109</v>
      </c>
      <c r="L31" s="1">
        <v>46143</v>
      </c>
      <c r="M31" s="1">
        <v>46173</v>
      </c>
      <c r="N31">
        <v>9.9504959999999993</v>
      </c>
      <c r="O31" t="s">
        <v>58</v>
      </c>
      <c r="P31" t="s">
        <v>63</v>
      </c>
      <c r="Q31" t="s">
        <v>2300</v>
      </c>
      <c r="R31" t="s">
        <v>2304</v>
      </c>
      <c r="S31" t="s">
        <v>67</v>
      </c>
      <c r="T31" t="s">
        <v>2326</v>
      </c>
      <c r="U31" t="s">
        <v>2471</v>
      </c>
      <c r="V31">
        <v>16</v>
      </c>
      <c r="W31" s="2">
        <v>0</v>
      </c>
    </row>
    <row r="32" spans="1:23" x14ac:dyDescent="0.25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1141685</v>
      </c>
      <c r="H32" t="s">
        <v>76</v>
      </c>
      <c r="I32" t="s">
        <v>95</v>
      </c>
      <c r="J32" t="s">
        <v>99</v>
      </c>
      <c r="K32" t="s">
        <v>109</v>
      </c>
      <c r="L32" s="1">
        <v>46143</v>
      </c>
      <c r="M32" s="1">
        <v>46173</v>
      </c>
      <c r="N32">
        <v>0.20000299999999999</v>
      </c>
      <c r="O32" t="s">
        <v>58</v>
      </c>
      <c r="P32" t="s">
        <v>63</v>
      </c>
      <c r="Q32" t="s">
        <v>2300</v>
      </c>
      <c r="R32" t="s">
        <v>2304</v>
      </c>
      <c r="S32" t="s">
        <v>67</v>
      </c>
      <c r="T32" t="s">
        <v>2326</v>
      </c>
      <c r="U32" t="s">
        <v>2471</v>
      </c>
      <c r="V32">
        <v>16</v>
      </c>
      <c r="W32" s="2">
        <v>0</v>
      </c>
    </row>
    <row r="33" spans="1:23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1141685</v>
      </c>
      <c r="H33" t="s">
        <v>76</v>
      </c>
      <c r="I33" t="s">
        <v>95</v>
      </c>
      <c r="J33" t="s">
        <v>99</v>
      </c>
      <c r="K33" t="s">
        <v>109</v>
      </c>
      <c r="L33" s="1">
        <v>46143</v>
      </c>
      <c r="M33" s="1">
        <v>46173</v>
      </c>
      <c r="N33">
        <v>0.20000399999999999</v>
      </c>
      <c r="O33" t="s">
        <v>58</v>
      </c>
      <c r="P33" t="s">
        <v>63</v>
      </c>
      <c r="Q33" t="s">
        <v>2300</v>
      </c>
      <c r="R33" t="s">
        <v>2306</v>
      </c>
      <c r="S33" t="s">
        <v>67</v>
      </c>
      <c r="T33" t="s">
        <v>2344</v>
      </c>
      <c r="U33" t="s">
        <v>2489</v>
      </c>
      <c r="V33">
        <v>17</v>
      </c>
      <c r="W33" s="2">
        <v>0</v>
      </c>
    </row>
    <row r="34" spans="1:23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>
        <v>1141685</v>
      </c>
      <c r="H34" t="s">
        <v>76</v>
      </c>
      <c r="I34" t="s">
        <v>95</v>
      </c>
      <c r="J34" t="s">
        <v>99</v>
      </c>
      <c r="K34" t="s">
        <v>109</v>
      </c>
      <c r="L34" s="1">
        <v>46143</v>
      </c>
      <c r="M34" s="1">
        <v>46173</v>
      </c>
      <c r="N34">
        <v>134.96670599999999</v>
      </c>
      <c r="O34" t="s">
        <v>58</v>
      </c>
      <c r="P34" t="s">
        <v>63</v>
      </c>
      <c r="Q34" t="s">
        <v>2300</v>
      </c>
      <c r="R34" t="s">
        <v>2305</v>
      </c>
      <c r="S34" t="s">
        <v>67</v>
      </c>
      <c r="T34" t="s">
        <v>2349</v>
      </c>
      <c r="U34" t="s">
        <v>2494</v>
      </c>
      <c r="V34">
        <v>15</v>
      </c>
      <c r="W34" s="2">
        <v>0</v>
      </c>
    </row>
    <row r="35" spans="1:23" x14ac:dyDescent="0.25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>
        <v>1141685</v>
      </c>
      <c r="H35" t="s">
        <v>76</v>
      </c>
      <c r="I35" t="s">
        <v>95</v>
      </c>
      <c r="J35" t="s">
        <v>99</v>
      </c>
      <c r="K35" t="s">
        <v>109</v>
      </c>
      <c r="L35" s="1">
        <v>46143</v>
      </c>
      <c r="M35" s="1">
        <v>46173</v>
      </c>
      <c r="N35">
        <v>359.91676000000001</v>
      </c>
      <c r="O35" t="s">
        <v>58</v>
      </c>
      <c r="P35" t="s">
        <v>63</v>
      </c>
      <c r="Q35" t="s">
        <v>2300</v>
      </c>
      <c r="R35" t="s">
        <v>2305</v>
      </c>
      <c r="S35" t="s">
        <v>67</v>
      </c>
      <c r="T35" t="s">
        <v>2342</v>
      </c>
      <c r="U35" t="s">
        <v>2487</v>
      </c>
      <c r="V35">
        <v>16</v>
      </c>
      <c r="W35" s="2">
        <v>0</v>
      </c>
    </row>
    <row r="36" spans="1:23" x14ac:dyDescent="0.25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>
        <v>1141685</v>
      </c>
      <c r="H36" t="s">
        <v>76</v>
      </c>
      <c r="I36" t="s">
        <v>95</v>
      </c>
      <c r="J36" t="s">
        <v>99</v>
      </c>
      <c r="K36" t="s">
        <v>109</v>
      </c>
      <c r="L36" s="1">
        <v>46143</v>
      </c>
      <c r="M36" s="1">
        <v>46173</v>
      </c>
      <c r="N36">
        <v>0.98335300000000003</v>
      </c>
      <c r="O36" t="s">
        <v>58</v>
      </c>
      <c r="P36" t="s">
        <v>63</v>
      </c>
      <c r="Q36" t="s">
        <v>2300</v>
      </c>
      <c r="R36" t="s">
        <v>2306</v>
      </c>
      <c r="S36" t="s">
        <v>67</v>
      </c>
      <c r="T36" t="s">
        <v>2350</v>
      </c>
      <c r="U36" t="s">
        <v>2495</v>
      </c>
      <c r="V36">
        <v>16</v>
      </c>
      <c r="W36" s="2">
        <v>0</v>
      </c>
    </row>
    <row r="37" spans="1:23" x14ac:dyDescent="0.25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>
        <v>1141685</v>
      </c>
      <c r="H37" t="s">
        <v>76</v>
      </c>
      <c r="I37" t="s">
        <v>95</v>
      </c>
      <c r="J37" t="s">
        <v>99</v>
      </c>
      <c r="K37" t="s">
        <v>109</v>
      </c>
      <c r="L37" s="1">
        <v>46143</v>
      </c>
      <c r="M37" s="1">
        <v>46173</v>
      </c>
      <c r="N37">
        <v>0.983352</v>
      </c>
      <c r="O37" t="s">
        <v>58</v>
      </c>
      <c r="P37" t="s">
        <v>63</v>
      </c>
      <c r="Q37" t="s">
        <v>2300</v>
      </c>
      <c r="R37" t="s">
        <v>2305</v>
      </c>
      <c r="S37" t="s">
        <v>67</v>
      </c>
      <c r="T37" t="s">
        <v>2342</v>
      </c>
      <c r="U37" t="s">
        <v>2487</v>
      </c>
      <c r="V37">
        <v>16</v>
      </c>
      <c r="W37" s="2">
        <v>0</v>
      </c>
    </row>
    <row r="38" spans="1:23" x14ac:dyDescent="0.25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>
        <v>1141685</v>
      </c>
      <c r="H38" t="s">
        <v>76</v>
      </c>
      <c r="I38" t="s">
        <v>95</v>
      </c>
      <c r="J38" t="s">
        <v>99</v>
      </c>
      <c r="K38" t="s">
        <v>109</v>
      </c>
      <c r="L38" s="1">
        <v>46143</v>
      </c>
      <c r="M38" s="1">
        <v>46173</v>
      </c>
      <c r="N38">
        <v>75.933408</v>
      </c>
      <c r="O38" t="s">
        <v>58</v>
      </c>
      <c r="P38" t="s">
        <v>63</v>
      </c>
      <c r="Q38" t="s">
        <v>2300</v>
      </c>
      <c r="R38" t="s">
        <v>2305</v>
      </c>
      <c r="S38" t="s">
        <v>67</v>
      </c>
      <c r="T38" t="s">
        <v>2342</v>
      </c>
      <c r="U38" t="s">
        <v>2487</v>
      </c>
      <c r="V38">
        <v>16</v>
      </c>
      <c r="W38" s="2">
        <v>0</v>
      </c>
    </row>
    <row r="39" spans="1:23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>
        <v>1141685</v>
      </c>
      <c r="H39" t="s">
        <v>76</v>
      </c>
      <c r="I39" t="s">
        <v>95</v>
      </c>
      <c r="J39" t="s">
        <v>99</v>
      </c>
      <c r="K39" t="s">
        <v>109</v>
      </c>
      <c r="L39" s="1">
        <v>46143</v>
      </c>
      <c r="M39" s="1">
        <v>46173</v>
      </c>
      <c r="N39">
        <v>10.583821</v>
      </c>
      <c r="O39" t="s">
        <v>58</v>
      </c>
      <c r="P39" t="s">
        <v>63</v>
      </c>
      <c r="Q39" t="s">
        <v>2300</v>
      </c>
      <c r="R39" t="s">
        <v>2304</v>
      </c>
      <c r="S39" t="s">
        <v>67</v>
      </c>
      <c r="T39" t="s">
        <v>2326</v>
      </c>
      <c r="U39" t="s">
        <v>2471</v>
      </c>
      <c r="V39">
        <v>16</v>
      </c>
      <c r="W39" s="2">
        <v>0</v>
      </c>
    </row>
    <row r="40" spans="1:23" x14ac:dyDescent="0.25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>
        <v>1141685</v>
      </c>
      <c r="H40" t="s">
        <v>76</v>
      </c>
      <c r="I40" t="s">
        <v>95</v>
      </c>
      <c r="J40" t="s">
        <v>99</v>
      </c>
      <c r="K40" t="s">
        <v>109</v>
      </c>
      <c r="L40" s="1">
        <v>46143</v>
      </c>
      <c r="M40" s="1">
        <v>46173</v>
      </c>
      <c r="N40">
        <v>0.23333699999999999</v>
      </c>
      <c r="O40" t="s">
        <v>58</v>
      </c>
      <c r="P40" t="s">
        <v>63</v>
      </c>
      <c r="Q40" t="s">
        <v>2300</v>
      </c>
      <c r="R40" t="s">
        <v>2304</v>
      </c>
      <c r="S40" t="s">
        <v>67</v>
      </c>
      <c r="T40" t="s">
        <v>2326</v>
      </c>
      <c r="U40" t="s">
        <v>2471</v>
      </c>
      <c r="V40">
        <v>16</v>
      </c>
      <c r="W40" s="2">
        <v>0</v>
      </c>
    </row>
    <row r="41" spans="1:23" x14ac:dyDescent="0.25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>
        <v>1141685</v>
      </c>
      <c r="H41" t="s">
        <v>76</v>
      </c>
      <c r="I41" t="s">
        <v>95</v>
      </c>
      <c r="J41" t="s">
        <v>99</v>
      </c>
      <c r="K41" t="s">
        <v>109</v>
      </c>
      <c r="L41" s="1">
        <v>46143</v>
      </c>
      <c r="M41" s="1">
        <v>46173</v>
      </c>
      <c r="N41">
        <v>6.2007180000000002</v>
      </c>
      <c r="O41" t="s">
        <v>58</v>
      </c>
      <c r="P41" t="s">
        <v>63</v>
      </c>
      <c r="Q41" t="s">
        <v>2300</v>
      </c>
      <c r="R41" t="s">
        <v>2304</v>
      </c>
      <c r="S41" t="s">
        <v>67</v>
      </c>
      <c r="T41" t="s">
        <v>2326</v>
      </c>
      <c r="U41" t="s">
        <v>2471</v>
      </c>
      <c r="V41">
        <v>16</v>
      </c>
      <c r="W41" s="2">
        <v>0</v>
      </c>
    </row>
    <row r="42" spans="1:23" x14ac:dyDescent="0.25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>
        <v>1141685</v>
      </c>
      <c r="H42" t="s">
        <v>38</v>
      </c>
      <c r="I42" t="s">
        <v>38</v>
      </c>
      <c r="J42" t="s">
        <v>38</v>
      </c>
      <c r="K42" t="s">
        <v>50</v>
      </c>
      <c r="L42" s="1">
        <v>46143</v>
      </c>
      <c r="M42" s="1">
        <v>46173</v>
      </c>
      <c r="N42">
        <v>426</v>
      </c>
      <c r="O42" t="s">
        <v>61</v>
      </c>
      <c r="P42" t="s">
        <v>63</v>
      </c>
      <c r="Q42" t="s">
        <v>2303</v>
      </c>
      <c r="R42" t="s">
        <v>2309</v>
      </c>
      <c r="S42" t="s">
        <v>66</v>
      </c>
      <c r="T42" t="s">
        <v>2351</v>
      </c>
      <c r="U42" t="s">
        <v>2496</v>
      </c>
      <c r="V42">
        <v>6</v>
      </c>
      <c r="W42" s="2">
        <v>215.52453792</v>
      </c>
    </row>
    <row r="43" spans="1:23" x14ac:dyDescent="0.2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>
        <v>1141685</v>
      </c>
      <c r="H43" t="s">
        <v>76</v>
      </c>
      <c r="I43" t="s">
        <v>95</v>
      </c>
      <c r="J43" t="s">
        <v>99</v>
      </c>
      <c r="K43" t="s">
        <v>109</v>
      </c>
      <c r="L43" s="1">
        <v>46143</v>
      </c>
      <c r="M43" s="1">
        <v>46173</v>
      </c>
      <c r="N43">
        <v>3.583825</v>
      </c>
      <c r="O43" t="s">
        <v>58</v>
      </c>
      <c r="P43" t="s">
        <v>63</v>
      </c>
      <c r="Q43" t="s">
        <v>2300</v>
      </c>
      <c r="R43" t="s">
        <v>2304</v>
      </c>
      <c r="S43" t="s">
        <v>67</v>
      </c>
      <c r="T43" t="s">
        <v>2326</v>
      </c>
      <c r="U43" t="s">
        <v>2471</v>
      </c>
      <c r="V43">
        <v>16</v>
      </c>
      <c r="W43" s="2">
        <v>0</v>
      </c>
    </row>
    <row r="44" spans="1:23" x14ac:dyDescent="0.25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>
        <v>1141685</v>
      </c>
      <c r="H44" t="s">
        <v>76</v>
      </c>
      <c r="I44" t="s">
        <v>95</v>
      </c>
      <c r="J44" t="s">
        <v>99</v>
      </c>
      <c r="K44" t="s">
        <v>109</v>
      </c>
      <c r="L44" s="1">
        <v>46143</v>
      </c>
      <c r="M44" s="1">
        <v>46173</v>
      </c>
      <c r="N44">
        <v>108.065363</v>
      </c>
      <c r="O44" t="s">
        <v>58</v>
      </c>
      <c r="P44" t="s">
        <v>63</v>
      </c>
      <c r="Q44" t="s">
        <v>2300</v>
      </c>
      <c r="R44" t="s">
        <v>2304</v>
      </c>
      <c r="S44" t="s">
        <v>67</v>
      </c>
      <c r="T44" t="s">
        <v>2352</v>
      </c>
      <c r="U44" t="s">
        <v>2497</v>
      </c>
      <c r="V44">
        <v>15</v>
      </c>
      <c r="W44" s="2">
        <v>0</v>
      </c>
    </row>
    <row r="45" spans="1:23" x14ac:dyDescent="0.25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>
        <v>1141685</v>
      </c>
      <c r="H45" t="s">
        <v>80</v>
      </c>
      <c r="I45" t="s">
        <v>96</v>
      </c>
      <c r="J45" t="s">
        <v>80</v>
      </c>
      <c r="K45" t="s">
        <v>122</v>
      </c>
      <c r="L45" s="1">
        <v>46143</v>
      </c>
      <c r="M45" s="1">
        <v>46173</v>
      </c>
      <c r="N45">
        <v>9.2369500000000004E-5</v>
      </c>
      <c r="O45" t="s">
        <v>56</v>
      </c>
      <c r="P45" t="s">
        <v>63</v>
      </c>
      <c r="Q45" t="s">
        <v>2301</v>
      </c>
      <c r="R45" t="s">
        <v>2304</v>
      </c>
      <c r="S45" t="s">
        <v>67</v>
      </c>
      <c r="T45" t="s">
        <v>2353</v>
      </c>
      <c r="U45" t="s">
        <v>2498</v>
      </c>
      <c r="V45">
        <v>16</v>
      </c>
      <c r="W45" s="2">
        <v>1.4181009600000001E-2</v>
      </c>
    </row>
    <row r="46" spans="1:23" x14ac:dyDescent="0.25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>
        <v>1141685</v>
      </c>
      <c r="H46" t="s">
        <v>80</v>
      </c>
      <c r="I46" t="s">
        <v>96</v>
      </c>
      <c r="J46" t="s">
        <v>80</v>
      </c>
      <c r="K46" t="s">
        <v>122</v>
      </c>
      <c r="L46" s="1">
        <v>46143</v>
      </c>
      <c r="M46" s="1">
        <v>46173</v>
      </c>
      <c r="N46">
        <v>0.9946513092</v>
      </c>
      <c r="O46" t="s">
        <v>56</v>
      </c>
      <c r="P46" t="s">
        <v>63</v>
      </c>
      <c r="Q46" t="s">
        <v>2301</v>
      </c>
      <c r="R46" t="s">
        <v>2304</v>
      </c>
      <c r="S46" t="s">
        <v>67</v>
      </c>
      <c r="T46" t="s">
        <v>2354</v>
      </c>
      <c r="U46" t="s">
        <v>2499</v>
      </c>
      <c r="V46">
        <v>16</v>
      </c>
      <c r="W46" s="2">
        <v>173.52364331410001</v>
      </c>
    </row>
    <row r="47" spans="1:23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>
        <v>1141685</v>
      </c>
      <c r="H47" t="s">
        <v>79</v>
      </c>
      <c r="I47" t="s">
        <v>94</v>
      </c>
      <c r="J47" t="s">
        <v>101</v>
      </c>
      <c r="K47" t="s">
        <v>114</v>
      </c>
      <c r="L47" s="1">
        <v>46143</v>
      </c>
      <c r="M47" s="1">
        <v>46173</v>
      </c>
      <c r="N47">
        <v>3.9120000000000001E-7</v>
      </c>
      <c r="O47" t="s">
        <v>56</v>
      </c>
      <c r="P47" t="s">
        <v>63</v>
      </c>
      <c r="Q47" t="s">
        <v>2301</v>
      </c>
      <c r="R47" t="s">
        <v>2304</v>
      </c>
      <c r="S47" t="s">
        <v>67</v>
      </c>
      <c r="T47" t="s">
        <v>2355</v>
      </c>
      <c r="U47" t="s">
        <v>2500</v>
      </c>
      <c r="V47">
        <v>16</v>
      </c>
      <c r="W47" s="2">
        <v>4.8041650000000001E-4</v>
      </c>
    </row>
    <row r="48" spans="1:23" x14ac:dyDescent="0.25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>
        <v>1141685</v>
      </c>
      <c r="H48" t="s">
        <v>75</v>
      </c>
      <c r="I48" t="s">
        <v>94</v>
      </c>
      <c r="J48" t="s">
        <v>98</v>
      </c>
      <c r="K48" t="s">
        <v>108</v>
      </c>
      <c r="L48" s="1">
        <v>46143</v>
      </c>
      <c r="M48" s="1">
        <v>46173</v>
      </c>
      <c r="N48">
        <v>2.2982859472000001</v>
      </c>
      <c r="O48" t="s">
        <v>56</v>
      </c>
      <c r="P48" t="s">
        <v>63</v>
      </c>
      <c r="Q48" t="s">
        <v>2301</v>
      </c>
      <c r="R48" t="s">
        <v>2306</v>
      </c>
      <c r="S48" t="s">
        <v>67</v>
      </c>
      <c r="T48" t="s">
        <v>2356</v>
      </c>
      <c r="U48" t="s">
        <v>2501</v>
      </c>
      <c r="V48">
        <v>17</v>
      </c>
      <c r="W48" s="2">
        <v>4811.5066846030004</v>
      </c>
    </row>
    <row r="49" spans="1:23" x14ac:dyDescent="0.25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>
        <v>1141685</v>
      </c>
      <c r="H49" t="s">
        <v>75</v>
      </c>
      <c r="I49" t="s">
        <v>94</v>
      </c>
      <c r="J49" t="s">
        <v>98</v>
      </c>
      <c r="K49" t="s">
        <v>108</v>
      </c>
      <c r="L49" s="1">
        <v>46143</v>
      </c>
      <c r="M49" s="1">
        <v>46173</v>
      </c>
      <c r="N49">
        <v>5.4547999999999998E-6</v>
      </c>
      <c r="O49" t="s">
        <v>56</v>
      </c>
      <c r="P49" t="s">
        <v>63</v>
      </c>
      <c r="Q49" t="s">
        <v>2301</v>
      </c>
      <c r="R49" t="s">
        <v>2304</v>
      </c>
      <c r="S49" t="s">
        <v>67</v>
      </c>
      <c r="T49" t="s">
        <v>2357</v>
      </c>
      <c r="U49" t="s">
        <v>2502</v>
      </c>
      <c r="V49">
        <v>16</v>
      </c>
      <c r="W49" s="2">
        <v>1.00492844E-2</v>
      </c>
    </row>
    <row r="50" spans="1:23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>
        <v>1141685</v>
      </c>
      <c r="H50" t="s">
        <v>82</v>
      </c>
      <c r="I50" t="s">
        <v>82</v>
      </c>
      <c r="J50" t="s">
        <v>82</v>
      </c>
      <c r="K50" t="s">
        <v>120</v>
      </c>
      <c r="L50" s="1">
        <v>46143</v>
      </c>
      <c r="M50" s="1">
        <v>46173</v>
      </c>
      <c r="N50">
        <v>1</v>
      </c>
      <c r="O50" t="s">
        <v>61</v>
      </c>
      <c r="P50" t="s">
        <v>63</v>
      </c>
      <c r="Q50" t="s">
        <v>2302</v>
      </c>
      <c r="R50" t="s">
        <v>147</v>
      </c>
      <c r="S50" t="s">
        <v>68</v>
      </c>
      <c r="T50" t="s">
        <v>2358</v>
      </c>
      <c r="U50" t="s">
        <v>2503</v>
      </c>
      <c r="V50">
        <v>7</v>
      </c>
      <c r="W50" s="2">
        <v>2691.9341720419998</v>
      </c>
    </row>
    <row r="51" spans="1:23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>
        <v>1141685</v>
      </c>
      <c r="H51" t="s">
        <v>80</v>
      </c>
      <c r="I51" t="s">
        <v>96</v>
      </c>
      <c r="J51" t="s">
        <v>80</v>
      </c>
      <c r="K51" t="s">
        <v>122</v>
      </c>
      <c r="L51" s="1">
        <v>46143</v>
      </c>
      <c r="M51" s="1">
        <v>46173</v>
      </c>
      <c r="N51">
        <v>1.9558E-6</v>
      </c>
      <c r="O51" t="s">
        <v>56</v>
      </c>
      <c r="P51" t="s">
        <v>63</v>
      </c>
      <c r="Q51" t="s">
        <v>2301</v>
      </c>
      <c r="R51" t="s">
        <v>2306</v>
      </c>
      <c r="S51" t="s">
        <v>67</v>
      </c>
      <c r="T51" t="s">
        <v>2359</v>
      </c>
      <c r="U51" t="s">
        <v>2504</v>
      </c>
      <c r="V51">
        <v>16</v>
      </c>
      <c r="W51" s="2">
        <v>3.0026020000000002E-4</v>
      </c>
    </row>
    <row r="52" spans="1:23" x14ac:dyDescent="0.25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>
        <v>1141685</v>
      </c>
      <c r="H52" t="s">
        <v>83</v>
      </c>
      <c r="I52" t="s">
        <v>97</v>
      </c>
      <c r="J52" t="s">
        <v>103</v>
      </c>
      <c r="K52" t="s">
        <v>119</v>
      </c>
      <c r="L52" s="1">
        <v>46143</v>
      </c>
      <c r="M52" s="1">
        <v>46173</v>
      </c>
      <c r="N52">
        <v>510</v>
      </c>
      <c r="O52" t="s">
        <v>58</v>
      </c>
      <c r="P52" t="s">
        <v>63</v>
      </c>
      <c r="Q52" t="s">
        <v>2303</v>
      </c>
      <c r="R52" t="s">
        <v>2308</v>
      </c>
      <c r="S52" t="s">
        <v>67</v>
      </c>
      <c r="T52" t="s">
        <v>2360</v>
      </c>
      <c r="U52" t="s">
        <v>2505</v>
      </c>
      <c r="V52">
        <v>9</v>
      </c>
      <c r="W52" s="2">
        <v>889443.48799679999</v>
      </c>
    </row>
    <row r="53" spans="1:23" x14ac:dyDescent="0.25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>
        <v>1141685</v>
      </c>
      <c r="H53" t="s">
        <v>81</v>
      </c>
      <c r="I53" t="s">
        <v>97</v>
      </c>
      <c r="J53" t="s">
        <v>102</v>
      </c>
      <c r="K53" t="s">
        <v>117</v>
      </c>
      <c r="L53" s="1">
        <v>46143</v>
      </c>
      <c r="M53" s="1">
        <v>46173</v>
      </c>
      <c r="N53">
        <v>51</v>
      </c>
      <c r="O53" t="s">
        <v>58</v>
      </c>
      <c r="P53" t="s">
        <v>63</v>
      </c>
      <c r="Q53" t="s">
        <v>2303</v>
      </c>
      <c r="R53" t="s">
        <v>2308</v>
      </c>
      <c r="S53" t="s">
        <v>67</v>
      </c>
      <c r="T53" t="s">
        <v>2361</v>
      </c>
      <c r="U53" t="s">
        <v>2506</v>
      </c>
      <c r="V53">
        <v>9</v>
      </c>
      <c r="W53" s="2">
        <v>0</v>
      </c>
    </row>
    <row r="54" spans="1:23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>
        <v>1141685</v>
      </c>
      <c r="H54" t="s">
        <v>81</v>
      </c>
      <c r="I54" t="s">
        <v>97</v>
      </c>
      <c r="J54" t="s">
        <v>102</v>
      </c>
      <c r="K54" t="s">
        <v>117</v>
      </c>
      <c r="L54" s="1">
        <v>46143</v>
      </c>
      <c r="M54" s="1">
        <v>46173</v>
      </c>
      <c r="N54">
        <v>1260</v>
      </c>
      <c r="O54" t="s">
        <v>58</v>
      </c>
      <c r="P54" t="s">
        <v>63</v>
      </c>
      <c r="Q54" t="s">
        <v>2303</v>
      </c>
      <c r="R54" t="s">
        <v>2308</v>
      </c>
      <c r="S54" t="s">
        <v>67</v>
      </c>
      <c r="T54" t="s">
        <v>2361</v>
      </c>
      <c r="U54" t="s">
        <v>2506</v>
      </c>
      <c r="V54">
        <v>9</v>
      </c>
      <c r="W54" s="2">
        <v>0</v>
      </c>
    </row>
    <row r="55" spans="1:23" x14ac:dyDescent="0.25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>
        <v>1141685</v>
      </c>
      <c r="H55" t="s">
        <v>78</v>
      </c>
      <c r="I55" t="s">
        <v>96</v>
      </c>
      <c r="J55" t="s">
        <v>100</v>
      </c>
      <c r="K55" t="s">
        <v>112</v>
      </c>
      <c r="L55" s="1">
        <v>46143</v>
      </c>
      <c r="M55" s="1">
        <v>46173</v>
      </c>
      <c r="N55">
        <v>744</v>
      </c>
      <c r="O55" t="s">
        <v>58</v>
      </c>
      <c r="P55" t="s">
        <v>63</v>
      </c>
      <c r="Q55" t="s">
        <v>2301</v>
      </c>
      <c r="R55" t="s">
        <v>2313</v>
      </c>
      <c r="S55" t="s">
        <v>67</v>
      </c>
      <c r="T55" t="s">
        <v>2362</v>
      </c>
      <c r="U55" t="s">
        <v>2507</v>
      </c>
      <c r="V55">
        <v>13</v>
      </c>
      <c r="W55" s="2">
        <v>64899.115599999997</v>
      </c>
    </row>
    <row r="56" spans="1:23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>
        <v>1141685</v>
      </c>
      <c r="H56" t="s">
        <v>77</v>
      </c>
      <c r="I56" t="s">
        <v>96</v>
      </c>
      <c r="J56" t="s">
        <v>77</v>
      </c>
      <c r="K56" t="s">
        <v>111</v>
      </c>
      <c r="L56" s="1">
        <v>46143</v>
      </c>
      <c r="M56" s="1">
        <v>46173</v>
      </c>
      <c r="N56">
        <v>2.515E-7</v>
      </c>
      <c r="O56" t="s">
        <v>56</v>
      </c>
      <c r="P56" t="s">
        <v>63</v>
      </c>
      <c r="Q56" t="s">
        <v>2301</v>
      </c>
      <c r="R56" t="s">
        <v>2304</v>
      </c>
      <c r="S56" t="s">
        <v>67</v>
      </c>
      <c r="T56" t="s">
        <v>2363</v>
      </c>
      <c r="U56" t="s">
        <v>2508</v>
      </c>
      <c r="V56">
        <v>16</v>
      </c>
      <c r="W56" s="2">
        <v>3.86048E-5</v>
      </c>
    </row>
    <row r="57" spans="1:23" x14ac:dyDescent="0.25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>
        <v>1141685</v>
      </c>
      <c r="H57" t="s">
        <v>77</v>
      </c>
      <c r="I57" t="s">
        <v>96</v>
      </c>
      <c r="J57" t="s">
        <v>77</v>
      </c>
      <c r="K57" t="s">
        <v>110</v>
      </c>
      <c r="L57" s="1">
        <v>46143</v>
      </c>
      <c r="M57" s="1">
        <v>46173</v>
      </c>
      <c r="N57">
        <v>744</v>
      </c>
      <c r="O57" t="s">
        <v>58</v>
      </c>
      <c r="P57" t="s">
        <v>63</v>
      </c>
      <c r="Q57" t="s">
        <v>2302</v>
      </c>
      <c r="R57" t="s">
        <v>2314</v>
      </c>
      <c r="S57" t="s">
        <v>67</v>
      </c>
      <c r="T57" t="s">
        <v>172</v>
      </c>
      <c r="U57" t="s">
        <v>327</v>
      </c>
      <c r="V57">
        <v>7</v>
      </c>
      <c r="W57" s="2">
        <v>129798.2412</v>
      </c>
    </row>
    <row r="58" spans="1:23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>
        <v>1141685</v>
      </c>
      <c r="H58" t="s">
        <v>77</v>
      </c>
      <c r="I58" t="s">
        <v>96</v>
      </c>
      <c r="J58" t="s">
        <v>77</v>
      </c>
      <c r="K58" t="s">
        <v>111</v>
      </c>
      <c r="L58" s="1">
        <v>46143</v>
      </c>
      <c r="M58" s="1">
        <v>46173</v>
      </c>
      <c r="N58">
        <v>3.0243226467</v>
      </c>
      <c r="O58" t="s">
        <v>56</v>
      </c>
      <c r="P58" t="s">
        <v>63</v>
      </c>
      <c r="Q58" t="s">
        <v>2301</v>
      </c>
      <c r="R58" t="s">
        <v>2304</v>
      </c>
      <c r="S58" t="s">
        <v>67</v>
      </c>
      <c r="T58" t="s">
        <v>2364</v>
      </c>
      <c r="U58" t="s">
        <v>2509</v>
      </c>
      <c r="V58">
        <v>15</v>
      </c>
      <c r="W58" s="2">
        <v>527.61852946490001</v>
      </c>
    </row>
    <row r="59" spans="1:23" x14ac:dyDescent="0.25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>
        <v>1141685</v>
      </c>
      <c r="H59" t="s">
        <v>77</v>
      </c>
      <c r="I59" t="s">
        <v>96</v>
      </c>
      <c r="J59" t="s">
        <v>77</v>
      </c>
      <c r="K59" t="s">
        <v>111</v>
      </c>
      <c r="L59" s="1">
        <v>46143</v>
      </c>
      <c r="M59" s="1">
        <v>46173</v>
      </c>
      <c r="N59">
        <v>2.5784338322</v>
      </c>
      <c r="O59" t="s">
        <v>56</v>
      </c>
      <c r="P59" t="s">
        <v>63</v>
      </c>
      <c r="Q59" t="s">
        <v>2301</v>
      </c>
      <c r="R59" t="s">
        <v>2304</v>
      </c>
      <c r="S59" t="s">
        <v>67</v>
      </c>
      <c r="T59" t="s">
        <v>2365</v>
      </c>
      <c r="U59" t="s">
        <v>2510</v>
      </c>
      <c r="V59">
        <v>15</v>
      </c>
      <c r="W59" s="2">
        <v>449.83353839390003</v>
      </c>
    </row>
    <row r="60" spans="1:23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>
        <v>1141685</v>
      </c>
      <c r="H60" t="s">
        <v>77</v>
      </c>
      <c r="I60" t="s">
        <v>96</v>
      </c>
      <c r="J60" t="s">
        <v>77</v>
      </c>
      <c r="K60" t="s">
        <v>111</v>
      </c>
      <c r="L60" s="1">
        <v>46143</v>
      </c>
      <c r="M60" s="1">
        <v>46173</v>
      </c>
      <c r="N60">
        <v>3.6434748396000001</v>
      </c>
      <c r="O60" t="s">
        <v>56</v>
      </c>
      <c r="P60" t="s">
        <v>63</v>
      </c>
      <c r="Q60" t="s">
        <v>2301</v>
      </c>
      <c r="R60" t="s">
        <v>2304</v>
      </c>
      <c r="S60" t="s">
        <v>67</v>
      </c>
      <c r="T60" t="s">
        <v>2366</v>
      </c>
      <c r="U60" t="s">
        <v>2511</v>
      </c>
      <c r="V60">
        <v>15</v>
      </c>
      <c r="W60" s="2">
        <v>635.64374605850003</v>
      </c>
    </row>
    <row r="61" spans="1:23" x14ac:dyDescent="0.25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>
        <v>1141685</v>
      </c>
      <c r="H61" t="s">
        <v>77</v>
      </c>
      <c r="I61" t="s">
        <v>96</v>
      </c>
      <c r="J61" t="s">
        <v>77</v>
      </c>
      <c r="K61" t="s">
        <v>110</v>
      </c>
      <c r="L61" s="1">
        <v>46143</v>
      </c>
      <c r="M61" s="1">
        <v>46173</v>
      </c>
      <c r="N61">
        <v>744</v>
      </c>
      <c r="O61" t="s">
        <v>58</v>
      </c>
      <c r="P61" t="s">
        <v>63</v>
      </c>
      <c r="Q61" t="s">
        <v>2302</v>
      </c>
      <c r="R61" t="s">
        <v>2315</v>
      </c>
      <c r="S61" t="s">
        <v>67</v>
      </c>
      <c r="T61" t="s">
        <v>2367</v>
      </c>
      <c r="U61" t="s">
        <v>2512</v>
      </c>
      <c r="V61">
        <v>7</v>
      </c>
      <c r="W61" s="2">
        <v>129798.2412</v>
      </c>
    </row>
    <row r="62" spans="1:23" x14ac:dyDescent="0.25">
      <c r="A62" t="s">
        <v>31</v>
      </c>
      <c r="B62" t="s">
        <v>32</v>
      </c>
      <c r="C62" t="s">
        <v>33</v>
      </c>
      <c r="D62" t="s">
        <v>34</v>
      </c>
      <c r="E62" t="s">
        <v>35</v>
      </c>
      <c r="F62" t="s">
        <v>36</v>
      </c>
      <c r="G62">
        <v>1141685</v>
      </c>
      <c r="H62" t="s">
        <v>77</v>
      </c>
      <c r="I62" t="s">
        <v>96</v>
      </c>
      <c r="J62" t="s">
        <v>77</v>
      </c>
      <c r="K62" t="s">
        <v>113</v>
      </c>
      <c r="L62" s="1">
        <v>46143</v>
      </c>
      <c r="M62" s="1">
        <v>46173</v>
      </c>
      <c r="N62">
        <v>3.1596003999999997E-2</v>
      </c>
      <c r="O62" t="s">
        <v>56</v>
      </c>
      <c r="P62" t="s">
        <v>63</v>
      </c>
      <c r="Q62" t="s">
        <v>2302</v>
      </c>
      <c r="R62" t="s">
        <v>2307</v>
      </c>
      <c r="S62" t="s">
        <v>67</v>
      </c>
      <c r="T62" t="s">
        <v>2368</v>
      </c>
      <c r="U62" t="s">
        <v>2513</v>
      </c>
      <c r="V62">
        <v>7</v>
      </c>
      <c r="W62" s="2">
        <v>5.5107701992000004</v>
      </c>
    </row>
    <row r="63" spans="1:23" x14ac:dyDescent="0.25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>
        <v>1141685</v>
      </c>
      <c r="H63" t="s">
        <v>79</v>
      </c>
      <c r="I63" t="s">
        <v>94</v>
      </c>
      <c r="J63" t="s">
        <v>101</v>
      </c>
      <c r="K63" t="s">
        <v>116</v>
      </c>
      <c r="L63" s="1">
        <v>46143</v>
      </c>
      <c r="M63" s="1">
        <v>46173</v>
      </c>
      <c r="N63">
        <v>5.3363899999999999E-5</v>
      </c>
      <c r="O63" t="s">
        <v>56</v>
      </c>
      <c r="P63" t="s">
        <v>63</v>
      </c>
      <c r="Q63" t="s">
        <v>2301</v>
      </c>
      <c r="R63" t="s">
        <v>2306</v>
      </c>
      <c r="S63" t="s">
        <v>67</v>
      </c>
      <c r="T63" t="s">
        <v>2369</v>
      </c>
      <c r="U63" t="s">
        <v>2514</v>
      </c>
      <c r="V63">
        <v>17</v>
      </c>
      <c r="W63" s="2">
        <v>7.5541397699999999E-2</v>
      </c>
    </row>
    <row r="64" spans="1:23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36</v>
      </c>
      <c r="G64">
        <v>1141685</v>
      </c>
      <c r="H64" t="s">
        <v>79</v>
      </c>
      <c r="I64" t="s">
        <v>94</v>
      </c>
      <c r="J64" t="s">
        <v>101</v>
      </c>
      <c r="K64" t="s">
        <v>116</v>
      </c>
      <c r="L64" s="1">
        <v>46143</v>
      </c>
      <c r="M64" s="1">
        <v>46173</v>
      </c>
      <c r="N64">
        <v>2.51355E-5</v>
      </c>
      <c r="O64" t="s">
        <v>56</v>
      </c>
      <c r="P64" t="s">
        <v>63</v>
      </c>
      <c r="Q64" t="s">
        <v>2301</v>
      </c>
      <c r="R64" t="s">
        <v>2304</v>
      </c>
      <c r="S64" t="s">
        <v>67</v>
      </c>
      <c r="T64" t="s">
        <v>2370</v>
      </c>
      <c r="U64" t="s">
        <v>2515</v>
      </c>
      <c r="V64">
        <v>16</v>
      </c>
      <c r="W64" s="2">
        <v>3.0871337700000001E-2</v>
      </c>
    </row>
    <row r="65" spans="1:23" x14ac:dyDescent="0.25">
      <c r="A65" t="s">
        <v>31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>
        <v>1141685</v>
      </c>
      <c r="H65" t="s">
        <v>76</v>
      </c>
      <c r="I65" t="s">
        <v>95</v>
      </c>
      <c r="J65" t="s">
        <v>99</v>
      </c>
      <c r="K65" t="s">
        <v>109</v>
      </c>
      <c r="L65" s="1">
        <v>46143</v>
      </c>
      <c r="M65" s="1">
        <v>46173</v>
      </c>
      <c r="N65">
        <v>33.685087000000003</v>
      </c>
      <c r="O65" t="s">
        <v>58</v>
      </c>
      <c r="P65" t="s">
        <v>63</v>
      </c>
      <c r="Q65" t="s">
        <v>2300</v>
      </c>
      <c r="R65" t="s">
        <v>2304</v>
      </c>
      <c r="S65" t="s">
        <v>67</v>
      </c>
      <c r="T65" t="s">
        <v>2326</v>
      </c>
      <c r="U65" t="s">
        <v>2471</v>
      </c>
      <c r="V65">
        <v>16</v>
      </c>
      <c r="W65" s="2">
        <v>0</v>
      </c>
    </row>
    <row r="66" spans="1:23" x14ac:dyDescent="0.25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s">
        <v>36</v>
      </c>
      <c r="G66">
        <v>1141685</v>
      </c>
      <c r="H66" t="s">
        <v>76</v>
      </c>
      <c r="I66" t="s">
        <v>95</v>
      </c>
      <c r="J66" t="s">
        <v>99</v>
      </c>
      <c r="K66" t="s">
        <v>109</v>
      </c>
      <c r="L66" s="1">
        <v>46143</v>
      </c>
      <c r="M66" s="1">
        <v>46173</v>
      </c>
      <c r="N66">
        <v>1.966704</v>
      </c>
      <c r="O66" t="s">
        <v>58</v>
      </c>
      <c r="P66" t="s">
        <v>63</v>
      </c>
      <c r="Q66" t="s">
        <v>2300</v>
      </c>
      <c r="R66" t="s">
        <v>2304</v>
      </c>
      <c r="S66" t="s">
        <v>67</v>
      </c>
      <c r="T66" t="s">
        <v>2326</v>
      </c>
      <c r="U66" t="s">
        <v>2471</v>
      </c>
      <c r="V66">
        <v>16</v>
      </c>
      <c r="W66" s="2">
        <v>0</v>
      </c>
    </row>
    <row r="67" spans="1:23" x14ac:dyDescent="0.25">
      <c r="A67" t="s">
        <v>31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>
        <v>1141685</v>
      </c>
      <c r="H67" t="s">
        <v>76</v>
      </c>
      <c r="I67" t="s">
        <v>95</v>
      </c>
      <c r="J67" t="s">
        <v>99</v>
      </c>
      <c r="K67" t="s">
        <v>109</v>
      </c>
      <c r="L67" s="1">
        <v>46143</v>
      </c>
      <c r="M67" s="1">
        <v>46173</v>
      </c>
      <c r="N67">
        <v>6.1170150000000003</v>
      </c>
      <c r="O67" t="s">
        <v>58</v>
      </c>
      <c r="P67" t="s">
        <v>63</v>
      </c>
      <c r="Q67" t="s">
        <v>2300</v>
      </c>
      <c r="R67" t="s">
        <v>2304</v>
      </c>
      <c r="S67" t="s">
        <v>67</v>
      </c>
      <c r="T67" t="s">
        <v>2326</v>
      </c>
      <c r="U67" t="s">
        <v>2471</v>
      </c>
      <c r="V67">
        <v>16</v>
      </c>
      <c r="W67" s="2">
        <v>0</v>
      </c>
    </row>
    <row r="68" spans="1:23" x14ac:dyDescent="0.25">
      <c r="A68" t="s">
        <v>31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>
        <v>1141685</v>
      </c>
      <c r="H68" t="s">
        <v>90</v>
      </c>
      <c r="I68" t="s">
        <v>43</v>
      </c>
      <c r="J68" t="s">
        <v>105</v>
      </c>
      <c r="K68" t="s">
        <v>128</v>
      </c>
      <c r="L68" s="1">
        <v>46143</v>
      </c>
      <c r="M68" s="1">
        <v>46173</v>
      </c>
      <c r="N68">
        <v>0.99731182799999996</v>
      </c>
      <c r="O68" t="s">
        <v>135</v>
      </c>
      <c r="P68" t="s">
        <v>63</v>
      </c>
      <c r="Q68" t="s">
        <v>2303</v>
      </c>
      <c r="R68" t="s">
        <v>2316</v>
      </c>
      <c r="S68" t="s">
        <v>67</v>
      </c>
      <c r="T68" t="s">
        <v>2371</v>
      </c>
      <c r="U68" t="s">
        <v>2516</v>
      </c>
      <c r="V68">
        <v>9</v>
      </c>
      <c r="W68" s="2">
        <v>260986.5283870938</v>
      </c>
    </row>
    <row r="69" spans="1:23" x14ac:dyDescent="0.25">
      <c r="A69" t="s">
        <v>31</v>
      </c>
      <c r="B69" t="s">
        <v>32</v>
      </c>
      <c r="C69" t="s">
        <v>33</v>
      </c>
      <c r="D69" t="s">
        <v>34</v>
      </c>
      <c r="E69" t="s">
        <v>35</v>
      </c>
      <c r="F69" t="s">
        <v>36</v>
      </c>
      <c r="G69">
        <v>1141685</v>
      </c>
      <c r="H69" t="s">
        <v>76</v>
      </c>
      <c r="I69" t="s">
        <v>95</v>
      </c>
      <c r="J69" t="s">
        <v>99</v>
      </c>
      <c r="K69" t="s">
        <v>109</v>
      </c>
      <c r="L69" s="1">
        <v>46143</v>
      </c>
      <c r="M69" s="1">
        <v>46173</v>
      </c>
      <c r="N69">
        <v>7.8173399999999997</v>
      </c>
      <c r="O69" t="s">
        <v>58</v>
      </c>
      <c r="P69" t="s">
        <v>63</v>
      </c>
      <c r="Q69" t="s">
        <v>2300</v>
      </c>
      <c r="R69" t="s">
        <v>2304</v>
      </c>
      <c r="S69" t="s">
        <v>67</v>
      </c>
      <c r="T69" t="s">
        <v>2352</v>
      </c>
      <c r="U69" t="s">
        <v>2497</v>
      </c>
      <c r="V69">
        <v>15</v>
      </c>
      <c r="W69" s="2">
        <v>0</v>
      </c>
    </row>
    <row r="70" spans="1:23" x14ac:dyDescent="0.25">
      <c r="A70" t="s">
        <v>31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>
        <v>1141685</v>
      </c>
      <c r="H70" t="s">
        <v>76</v>
      </c>
      <c r="I70" t="s">
        <v>95</v>
      </c>
      <c r="J70" t="s">
        <v>99</v>
      </c>
      <c r="K70" t="s">
        <v>109</v>
      </c>
      <c r="L70" s="1">
        <v>46143</v>
      </c>
      <c r="M70" s="1">
        <v>46173</v>
      </c>
      <c r="N70">
        <v>15.901183</v>
      </c>
      <c r="O70" t="s">
        <v>58</v>
      </c>
      <c r="P70" t="s">
        <v>63</v>
      </c>
      <c r="Q70" t="s">
        <v>2300</v>
      </c>
      <c r="R70" t="s">
        <v>2304</v>
      </c>
      <c r="S70" t="s">
        <v>67</v>
      </c>
      <c r="T70" t="s">
        <v>2352</v>
      </c>
      <c r="U70" t="s">
        <v>2497</v>
      </c>
      <c r="V70">
        <v>15</v>
      </c>
      <c r="W70" s="2">
        <v>0</v>
      </c>
    </row>
    <row r="71" spans="1:23" x14ac:dyDescent="0.25">
      <c r="A71" t="s">
        <v>31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>
        <v>1141685</v>
      </c>
      <c r="H71" t="s">
        <v>79</v>
      </c>
      <c r="I71" t="s">
        <v>94</v>
      </c>
      <c r="J71" t="s">
        <v>101</v>
      </c>
      <c r="K71" t="s">
        <v>116</v>
      </c>
      <c r="L71" s="1">
        <v>46143</v>
      </c>
      <c r="M71" s="1">
        <v>46173</v>
      </c>
      <c r="N71">
        <v>2.21627E-5</v>
      </c>
      <c r="O71" t="s">
        <v>56</v>
      </c>
      <c r="P71" t="s">
        <v>63</v>
      </c>
      <c r="Q71" t="s">
        <v>2301</v>
      </c>
      <c r="R71" t="s">
        <v>2304</v>
      </c>
      <c r="S71" t="s">
        <v>67</v>
      </c>
      <c r="T71" t="s">
        <v>2372</v>
      </c>
      <c r="U71" t="s">
        <v>2517</v>
      </c>
      <c r="V71">
        <v>16</v>
      </c>
      <c r="W71" s="2">
        <v>2.7220172099999999E-2</v>
      </c>
    </row>
    <row r="72" spans="1:23" x14ac:dyDescent="0.2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>
        <v>1141685</v>
      </c>
      <c r="H72" t="s">
        <v>79</v>
      </c>
      <c r="I72" t="s">
        <v>94</v>
      </c>
      <c r="J72" t="s">
        <v>101</v>
      </c>
      <c r="K72" t="s">
        <v>116</v>
      </c>
      <c r="L72" s="1">
        <v>46143</v>
      </c>
      <c r="M72" s="1">
        <v>46173</v>
      </c>
      <c r="N72">
        <v>7.4112701200000006E-2</v>
      </c>
      <c r="O72" t="s">
        <v>56</v>
      </c>
      <c r="P72" t="s">
        <v>63</v>
      </c>
      <c r="Q72" t="s">
        <v>2301</v>
      </c>
      <c r="R72" t="s">
        <v>2306</v>
      </c>
      <c r="S72" t="s">
        <v>67</v>
      </c>
      <c r="T72" t="s">
        <v>2373</v>
      </c>
      <c r="U72" t="s">
        <v>2518</v>
      </c>
      <c r="V72">
        <v>16</v>
      </c>
      <c r="W72" s="2">
        <v>84.347717778499998</v>
      </c>
    </row>
    <row r="73" spans="1:23" x14ac:dyDescent="0.25">
      <c r="A73" t="s">
        <v>31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>
        <v>1141685</v>
      </c>
      <c r="H73" t="s">
        <v>79</v>
      </c>
      <c r="I73" t="s">
        <v>94</v>
      </c>
      <c r="J73" t="s">
        <v>101</v>
      </c>
      <c r="K73" t="s">
        <v>116</v>
      </c>
      <c r="L73" s="1">
        <v>46143</v>
      </c>
      <c r="M73" s="1">
        <v>46173</v>
      </c>
      <c r="N73">
        <v>3.9626799999999998E-5</v>
      </c>
      <c r="O73" t="s">
        <v>56</v>
      </c>
      <c r="P73" t="s">
        <v>63</v>
      </c>
      <c r="Q73" t="s">
        <v>2301</v>
      </c>
      <c r="R73" t="s">
        <v>2305</v>
      </c>
      <c r="S73" t="s">
        <v>67</v>
      </c>
      <c r="T73" t="s">
        <v>2374</v>
      </c>
      <c r="U73" t="s">
        <v>2519</v>
      </c>
      <c r="V73">
        <v>16</v>
      </c>
      <c r="W73" s="2">
        <v>5.8669626500000002E-2</v>
      </c>
    </row>
    <row r="74" spans="1:23" x14ac:dyDescent="0.25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>
        <v>1141685</v>
      </c>
      <c r="H74" t="s">
        <v>77</v>
      </c>
      <c r="I74" t="s">
        <v>96</v>
      </c>
      <c r="J74" t="s">
        <v>77</v>
      </c>
      <c r="K74" t="s">
        <v>113</v>
      </c>
      <c r="L74" s="1">
        <v>46143</v>
      </c>
      <c r="M74" s="1">
        <v>46173</v>
      </c>
      <c r="N74">
        <v>3.7849880000000001E-4</v>
      </c>
      <c r="O74" t="s">
        <v>56</v>
      </c>
      <c r="P74" t="s">
        <v>63</v>
      </c>
      <c r="Q74" t="s">
        <v>2302</v>
      </c>
      <c r="R74" t="s">
        <v>2307</v>
      </c>
      <c r="S74" t="s">
        <v>67</v>
      </c>
      <c r="T74" t="s">
        <v>2375</v>
      </c>
      <c r="U74" t="s">
        <v>2520</v>
      </c>
      <c r="V74">
        <v>7</v>
      </c>
      <c r="W74" s="2">
        <v>6.8108953700000002E-2</v>
      </c>
    </row>
    <row r="75" spans="1:23" x14ac:dyDescent="0.25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>
        <v>1141685</v>
      </c>
      <c r="H75" t="s">
        <v>77</v>
      </c>
      <c r="I75" t="s">
        <v>96</v>
      </c>
      <c r="J75" t="s">
        <v>77</v>
      </c>
      <c r="K75" t="s">
        <v>110</v>
      </c>
      <c r="L75" s="1">
        <v>46143</v>
      </c>
      <c r="M75" s="1">
        <v>46173</v>
      </c>
      <c r="N75">
        <v>744</v>
      </c>
      <c r="O75" t="s">
        <v>58</v>
      </c>
      <c r="P75" t="s">
        <v>63</v>
      </c>
      <c r="Q75" t="s">
        <v>2302</v>
      </c>
      <c r="R75" t="s">
        <v>2317</v>
      </c>
      <c r="S75" t="s">
        <v>67</v>
      </c>
      <c r="T75" t="s">
        <v>2376</v>
      </c>
      <c r="U75" t="s">
        <v>2521</v>
      </c>
      <c r="V75">
        <v>8</v>
      </c>
      <c r="W75" s="2">
        <v>129798.2412</v>
      </c>
    </row>
    <row r="76" spans="1:23" x14ac:dyDescent="0.25">
      <c r="A76" t="s">
        <v>31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>
        <v>1141685</v>
      </c>
      <c r="H76" t="s">
        <v>79</v>
      </c>
      <c r="I76" t="s">
        <v>94</v>
      </c>
      <c r="J76" t="s">
        <v>101</v>
      </c>
      <c r="K76" t="s">
        <v>116</v>
      </c>
      <c r="L76" s="1">
        <v>46143</v>
      </c>
      <c r="M76" s="1">
        <v>46173</v>
      </c>
      <c r="N76">
        <v>3.06163E-5</v>
      </c>
      <c r="O76" t="s">
        <v>56</v>
      </c>
      <c r="P76" t="s">
        <v>63</v>
      </c>
      <c r="Q76" t="s">
        <v>2301</v>
      </c>
      <c r="R76" t="s">
        <v>2305</v>
      </c>
      <c r="S76" t="s">
        <v>67</v>
      </c>
      <c r="T76" t="s">
        <v>2377</v>
      </c>
      <c r="U76" t="s">
        <v>2522</v>
      </c>
      <c r="V76">
        <v>16</v>
      </c>
      <c r="W76" s="2">
        <v>4.7602888500000003E-2</v>
      </c>
    </row>
    <row r="77" spans="1:23" x14ac:dyDescent="0.25">
      <c r="A77" t="s">
        <v>31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>
        <v>1141685</v>
      </c>
      <c r="H77" t="s">
        <v>79</v>
      </c>
      <c r="I77" t="s">
        <v>94</v>
      </c>
      <c r="J77" t="s">
        <v>101</v>
      </c>
      <c r="K77" t="s">
        <v>116</v>
      </c>
      <c r="L77" s="1">
        <v>46143</v>
      </c>
      <c r="M77" s="1">
        <v>46173</v>
      </c>
      <c r="N77">
        <v>7.5099339999999996E-4</v>
      </c>
      <c r="O77" t="s">
        <v>56</v>
      </c>
      <c r="P77" t="s">
        <v>63</v>
      </c>
      <c r="Q77" t="s">
        <v>2301</v>
      </c>
      <c r="R77" t="s">
        <v>2304</v>
      </c>
      <c r="S77" t="s">
        <v>67</v>
      </c>
      <c r="T77" t="s">
        <v>2378</v>
      </c>
      <c r="U77" t="s">
        <v>2523</v>
      </c>
      <c r="V77">
        <v>16</v>
      </c>
      <c r="W77" s="2">
        <v>1.0523688657000001</v>
      </c>
    </row>
    <row r="78" spans="1:23" x14ac:dyDescent="0.25">
      <c r="A78" t="s">
        <v>31</v>
      </c>
      <c r="B78" t="s">
        <v>32</v>
      </c>
      <c r="C78" t="s">
        <v>33</v>
      </c>
      <c r="D78" t="s">
        <v>34</v>
      </c>
      <c r="E78" t="s">
        <v>35</v>
      </c>
      <c r="F78" t="s">
        <v>36</v>
      </c>
      <c r="G78">
        <v>1141685</v>
      </c>
      <c r="H78" t="s">
        <v>79</v>
      </c>
      <c r="I78" t="s">
        <v>94</v>
      </c>
      <c r="J78" t="s">
        <v>101</v>
      </c>
      <c r="K78" t="s">
        <v>116</v>
      </c>
      <c r="L78" s="1">
        <v>46143</v>
      </c>
      <c r="M78" s="1">
        <v>46173</v>
      </c>
      <c r="N78">
        <v>0.34193626510000003</v>
      </c>
      <c r="O78" t="s">
        <v>56</v>
      </c>
      <c r="P78" t="s">
        <v>63</v>
      </c>
      <c r="Q78" t="s">
        <v>2301</v>
      </c>
      <c r="R78" t="s">
        <v>2304</v>
      </c>
      <c r="S78" t="s">
        <v>67</v>
      </c>
      <c r="T78" t="s">
        <v>2379</v>
      </c>
      <c r="U78" t="s">
        <v>2524</v>
      </c>
      <c r="V78">
        <v>15</v>
      </c>
      <c r="W78" s="2">
        <v>393.69163366599997</v>
      </c>
    </row>
    <row r="79" spans="1:23" x14ac:dyDescent="0.25">
      <c r="A79" t="s">
        <v>31</v>
      </c>
      <c r="B79" t="s">
        <v>32</v>
      </c>
      <c r="C79" t="s">
        <v>33</v>
      </c>
      <c r="D79" t="s">
        <v>34</v>
      </c>
      <c r="E79" t="s">
        <v>35</v>
      </c>
      <c r="F79" t="s">
        <v>36</v>
      </c>
      <c r="G79">
        <v>1141685</v>
      </c>
      <c r="H79" t="s">
        <v>79</v>
      </c>
      <c r="I79" t="s">
        <v>94</v>
      </c>
      <c r="J79" t="s">
        <v>101</v>
      </c>
      <c r="K79" t="s">
        <v>116</v>
      </c>
      <c r="L79" s="1">
        <v>46143</v>
      </c>
      <c r="M79" s="1">
        <v>46173</v>
      </c>
      <c r="N79">
        <v>1.25123E-5</v>
      </c>
      <c r="O79" t="s">
        <v>56</v>
      </c>
      <c r="P79" t="s">
        <v>63</v>
      </c>
      <c r="Q79" t="s">
        <v>2301</v>
      </c>
      <c r="R79" t="s">
        <v>2304</v>
      </c>
      <c r="S79" t="s">
        <v>67</v>
      </c>
      <c r="T79" t="s">
        <v>2380</v>
      </c>
      <c r="U79" t="s">
        <v>2525</v>
      </c>
      <c r="V79">
        <v>16</v>
      </c>
      <c r="W79" s="2">
        <v>1.5367609799999999E-2</v>
      </c>
    </row>
    <row r="80" spans="1:23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>
        <v>1141685</v>
      </c>
      <c r="H80" t="s">
        <v>80</v>
      </c>
      <c r="I80" t="s">
        <v>96</v>
      </c>
      <c r="J80" t="s">
        <v>80</v>
      </c>
      <c r="K80" t="s">
        <v>115</v>
      </c>
      <c r="L80" s="1">
        <v>46143</v>
      </c>
      <c r="M80" s="1">
        <v>46173</v>
      </c>
      <c r="N80">
        <v>0.23440603260000001</v>
      </c>
      <c r="O80" t="s">
        <v>56</v>
      </c>
      <c r="P80" t="s">
        <v>63</v>
      </c>
      <c r="Q80" t="s">
        <v>2301</v>
      </c>
      <c r="R80" t="s">
        <v>2304</v>
      </c>
      <c r="S80" t="s">
        <v>67</v>
      </c>
      <c r="T80" t="s">
        <v>2381</v>
      </c>
      <c r="U80" t="s">
        <v>2526</v>
      </c>
      <c r="V80">
        <v>15</v>
      </c>
      <c r="W80" s="2">
        <v>40.897139273199997</v>
      </c>
    </row>
    <row r="81" spans="1:23" x14ac:dyDescent="0.25">
      <c r="A81" t="s">
        <v>31</v>
      </c>
      <c r="B81" t="s">
        <v>32</v>
      </c>
      <c r="C81" t="s">
        <v>33</v>
      </c>
      <c r="D81" t="s">
        <v>34</v>
      </c>
      <c r="E81" t="s">
        <v>35</v>
      </c>
      <c r="F81" t="s">
        <v>36</v>
      </c>
      <c r="G81">
        <v>1141685</v>
      </c>
      <c r="H81" t="s">
        <v>80</v>
      </c>
      <c r="I81" t="s">
        <v>96</v>
      </c>
      <c r="J81" t="s">
        <v>80</v>
      </c>
      <c r="K81" t="s">
        <v>115</v>
      </c>
      <c r="L81" s="1">
        <v>46143</v>
      </c>
      <c r="M81" s="1">
        <v>46173</v>
      </c>
      <c r="N81">
        <v>9.6900000000000001E-8</v>
      </c>
      <c r="O81" t="s">
        <v>56</v>
      </c>
      <c r="P81" t="s">
        <v>63</v>
      </c>
      <c r="Q81" t="s">
        <v>2301</v>
      </c>
      <c r="R81" t="s">
        <v>2304</v>
      </c>
      <c r="S81" t="s">
        <v>67</v>
      </c>
      <c r="T81" t="s">
        <v>2382</v>
      </c>
      <c r="U81" t="s">
        <v>2527</v>
      </c>
      <c r="V81">
        <v>16</v>
      </c>
      <c r="W81" s="2">
        <v>1.48699E-5</v>
      </c>
    </row>
    <row r="82" spans="1:23" x14ac:dyDescent="0.25">
      <c r="A82" t="s">
        <v>31</v>
      </c>
      <c r="B82" t="s">
        <v>32</v>
      </c>
      <c r="C82" t="s">
        <v>33</v>
      </c>
      <c r="D82" t="s">
        <v>34</v>
      </c>
      <c r="E82" t="s">
        <v>35</v>
      </c>
      <c r="F82" t="s">
        <v>36</v>
      </c>
      <c r="G82">
        <v>1141685</v>
      </c>
      <c r="H82" t="s">
        <v>77</v>
      </c>
      <c r="I82" t="s">
        <v>96</v>
      </c>
      <c r="J82" t="s">
        <v>77</v>
      </c>
      <c r="K82" t="s">
        <v>110</v>
      </c>
      <c r="L82" s="1">
        <v>46143</v>
      </c>
      <c r="M82" s="1">
        <v>46173</v>
      </c>
      <c r="N82">
        <v>744</v>
      </c>
      <c r="O82" t="s">
        <v>58</v>
      </c>
      <c r="P82" t="s">
        <v>63</v>
      </c>
      <c r="Q82" t="s">
        <v>2302</v>
      </c>
      <c r="R82" t="s">
        <v>2318</v>
      </c>
      <c r="S82" t="s">
        <v>67</v>
      </c>
      <c r="T82" t="s">
        <v>2383</v>
      </c>
      <c r="U82" t="s">
        <v>2528</v>
      </c>
      <c r="V82">
        <v>7</v>
      </c>
      <c r="W82" s="2">
        <v>129798.2412</v>
      </c>
    </row>
    <row r="83" spans="1:23" x14ac:dyDescent="0.25">
      <c r="A83" t="s">
        <v>31</v>
      </c>
      <c r="B83" t="s">
        <v>32</v>
      </c>
      <c r="C83" t="s">
        <v>33</v>
      </c>
      <c r="D83" t="s">
        <v>34</v>
      </c>
      <c r="E83" t="s">
        <v>35</v>
      </c>
      <c r="F83" t="s">
        <v>36</v>
      </c>
      <c r="G83">
        <v>1141685</v>
      </c>
      <c r="H83" t="s">
        <v>77</v>
      </c>
      <c r="I83" t="s">
        <v>96</v>
      </c>
      <c r="J83" t="s">
        <v>77</v>
      </c>
      <c r="K83" t="s">
        <v>110</v>
      </c>
      <c r="L83" s="1">
        <v>46143</v>
      </c>
      <c r="M83" s="1">
        <v>46173</v>
      </c>
      <c r="N83">
        <v>744</v>
      </c>
      <c r="O83" t="s">
        <v>58</v>
      </c>
      <c r="P83" t="s">
        <v>63</v>
      </c>
      <c r="Q83" t="s">
        <v>2302</v>
      </c>
      <c r="R83" t="s">
        <v>2307</v>
      </c>
      <c r="S83" t="s">
        <v>67</v>
      </c>
      <c r="T83" t="s">
        <v>2367</v>
      </c>
      <c r="U83" t="s">
        <v>2512</v>
      </c>
      <c r="V83">
        <v>7</v>
      </c>
      <c r="W83" s="2">
        <v>129798.2412</v>
      </c>
    </row>
    <row r="84" spans="1:23" x14ac:dyDescent="0.25">
      <c r="A84" t="s">
        <v>31</v>
      </c>
      <c r="B84" t="s">
        <v>32</v>
      </c>
      <c r="C84" t="s">
        <v>33</v>
      </c>
      <c r="D84" t="s">
        <v>34</v>
      </c>
      <c r="E84" t="s">
        <v>35</v>
      </c>
      <c r="F84" t="s">
        <v>36</v>
      </c>
      <c r="G84">
        <v>1141685</v>
      </c>
      <c r="H84" t="s">
        <v>77</v>
      </c>
      <c r="I84" t="s">
        <v>96</v>
      </c>
      <c r="J84" t="s">
        <v>77</v>
      </c>
      <c r="K84" t="s">
        <v>110</v>
      </c>
      <c r="L84" s="1">
        <v>46143</v>
      </c>
      <c r="M84" s="1">
        <v>46173</v>
      </c>
      <c r="N84">
        <v>744</v>
      </c>
      <c r="O84" t="s">
        <v>58</v>
      </c>
      <c r="P84" t="s">
        <v>63</v>
      </c>
      <c r="Q84" t="s">
        <v>2302</v>
      </c>
      <c r="R84" t="s">
        <v>2319</v>
      </c>
      <c r="S84" t="s">
        <v>67</v>
      </c>
      <c r="T84" t="s">
        <v>2384</v>
      </c>
      <c r="U84" t="s">
        <v>2529</v>
      </c>
      <c r="V84">
        <v>7</v>
      </c>
      <c r="W84" s="2">
        <v>129798.2412</v>
      </c>
    </row>
    <row r="85" spans="1:23" x14ac:dyDescent="0.25">
      <c r="A85" t="s">
        <v>31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>
        <v>1141685</v>
      </c>
      <c r="H85" t="s">
        <v>80</v>
      </c>
      <c r="I85" t="s">
        <v>96</v>
      </c>
      <c r="J85" t="s">
        <v>80</v>
      </c>
      <c r="K85" t="s">
        <v>115</v>
      </c>
      <c r="L85" s="1">
        <v>46143</v>
      </c>
      <c r="M85" s="1">
        <v>46173</v>
      </c>
      <c r="N85">
        <v>0.22200648949999999</v>
      </c>
      <c r="O85" t="s">
        <v>56</v>
      </c>
      <c r="P85" t="s">
        <v>63</v>
      </c>
      <c r="Q85" t="s">
        <v>2301</v>
      </c>
      <c r="R85" t="s">
        <v>2305</v>
      </c>
      <c r="S85" t="s">
        <v>67</v>
      </c>
      <c r="T85" t="s">
        <v>2385</v>
      </c>
      <c r="U85" t="s">
        <v>2530</v>
      </c>
      <c r="V85">
        <v>16</v>
      </c>
      <c r="W85" s="2">
        <v>38.733501900500002</v>
      </c>
    </row>
    <row r="86" spans="1:23" x14ac:dyDescent="0.25">
      <c r="A86" t="s">
        <v>31</v>
      </c>
      <c r="B86" t="s">
        <v>32</v>
      </c>
      <c r="C86" t="s">
        <v>33</v>
      </c>
      <c r="D86" t="s">
        <v>34</v>
      </c>
      <c r="E86" t="s">
        <v>35</v>
      </c>
      <c r="F86" t="s">
        <v>36</v>
      </c>
      <c r="G86">
        <v>1141685</v>
      </c>
      <c r="H86" t="s">
        <v>80</v>
      </c>
      <c r="I86" t="s">
        <v>96</v>
      </c>
      <c r="J86" t="s">
        <v>80</v>
      </c>
      <c r="K86" t="s">
        <v>115</v>
      </c>
      <c r="L86" s="1">
        <v>46143</v>
      </c>
      <c r="M86" s="1">
        <v>46173</v>
      </c>
      <c r="N86">
        <v>1.1011930545999999</v>
      </c>
      <c r="O86" t="s">
        <v>56</v>
      </c>
      <c r="P86" t="s">
        <v>63</v>
      </c>
      <c r="Q86" t="s">
        <v>2301</v>
      </c>
      <c r="R86" t="s">
        <v>2304</v>
      </c>
      <c r="S86" t="s">
        <v>67</v>
      </c>
      <c r="T86" t="s">
        <v>2386</v>
      </c>
      <c r="U86" t="s">
        <v>2531</v>
      </c>
      <c r="V86">
        <v>16</v>
      </c>
      <c r="W86" s="2">
        <v>192.11044346360001</v>
      </c>
    </row>
    <row r="87" spans="1:23" x14ac:dyDescent="0.25">
      <c r="A87" t="s">
        <v>31</v>
      </c>
      <c r="B87" t="s">
        <v>32</v>
      </c>
      <c r="C87" t="s">
        <v>33</v>
      </c>
      <c r="D87" t="s">
        <v>34</v>
      </c>
      <c r="E87" t="s">
        <v>35</v>
      </c>
      <c r="F87" t="s">
        <v>36</v>
      </c>
      <c r="G87">
        <v>1141685</v>
      </c>
      <c r="H87" t="s">
        <v>79</v>
      </c>
      <c r="I87" t="s">
        <v>94</v>
      </c>
      <c r="J87" t="s">
        <v>101</v>
      </c>
      <c r="K87" t="s">
        <v>116</v>
      </c>
      <c r="L87" s="1">
        <v>46143</v>
      </c>
      <c r="M87" s="1">
        <v>46173</v>
      </c>
      <c r="N87">
        <v>0.32725885980000002</v>
      </c>
      <c r="O87" t="s">
        <v>56</v>
      </c>
      <c r="P87" t="s">
        <v>63</v>
      </c>
      <c r="Q87" t="s">
        <v>2301</v>
      </c>
      <c r="R87" t="s">
        <v>2304</v>
      </c>
      <c r="S87" t="s">
        <v>67</v>
      </c>
      <c r="T87" t="s">
        <v>2387</v>
      </c>
      <c r="U87" t="s">
        <v>2532</v>
      </c>
      <c r="V87">
        <v>15</v>
      </c>
      <c r="W87" s="2">
        <v>374.53561324899999</v>
      </c>
    </row>
    <row r="88" spans="1:23" x14ac:dyDescent="0.25">
      <c r="A88" t="s">
        <v>31</v>
      </c>
      <c r="B88" t="s">
        <v>32</v>
      </c>
      <c r="C88" t="s">
        <v>33</v>
      </c>
      <c r="D88" t="s">
        <v>34</v>
      </c>
      <c r="E88" t="s">
        <v>35</v>
      </c>
      <c r="F88" t="s">
        <v>36</v>
      </c>
      <c r="G88">
        <v>1141685</v>
      </c>
      <c r="H88" t="s">
        <v>79</v>
      </c>
      <c r="I88" t="s">
        <v>94</v>
      </c>
      <c r="J88" t="s">
        <v>101</v>
      </c>
      <c r="K88" t="s">
        <v>116</v>
      </c>
      <c r="L88" s="1">
        <v>46143</v>
      </c>
      <c r="M88" s="1">
        <v>46173</v>
      </c>
      <c r="N88">
        <v>0.34400263710000001</v>
      </c>
      <c r="O88" t="s">
        <v>56</v>
      </c>
      <c r="P88" t="s">
        <v>63</v>
      </c>
      <c r="Q88" t="s">
        <v>2301</v>
      </c>
      <c r="R88" t="s">
        <v>2304</v>
      </c>
      <c r="S88" t="s">
        <v>67</v>
      </c>
      <c r="T88" t="s">
        <v>2388</v>
      </c>
      <c r="U88" t="s">
        <v>2533</v>
      </c>
      <c r="V88">
        <v>15</v>
      </c>
      <c r="W88" s="2">
        <v>391.75492074919998</v>
      </c>
    </row>
    <row r="89" spans="1:23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36</v>
      </c>
      <c r="G89">
        <v>1141685</v>
      </c>
      <c r="H89" t="s">
        <v>86</v>
      </c>
      <c r="I89" t="s">
        <v>42</v>
      </c>
      <c r="J89" t="s">
        <v>86</v>
      </c>
      <c r="K89" t="s">
        <v>124</v>
      </c>
      <c r="L89" s="1">
        <v>46143</v>
      </c>
      <c r="M89" s="1">
        <v>46173</v>
      </c>
      <c r="N89">
        <v>1.47E-4</v>
      </c>
      <c r="O89" t="s">
        <v>135</v>
      </c>
      <c r="P89" t="s">
        <v>63</v>
      </c>
      <c r="Q89" t="s">
        <v>2300</v>
      </c>
      <c r="R89" t="s">
        <v>2320</v>
      </c>
      <c r="S89" t="s">
        <v>67</v>
      </c>
      <c r="T89" t="s">
        <v>2389</v>
      </c>
      <c r="U89" t="s">
        <v>2534</v>
      </c>
      <c r="V89">
        <v>17</v>
      </c>
      <c r="W89" s="2">
        <v>50.551814977600003</v>
      </c>
    </row>
    <row r="90" spans="1:23" x14ac:dyDescent="0.25">
      <c r="A90" t="s">
        <v>31</v>
      </c>
      <c r="B90" t="s">
        <v>32</v>
      </c>
      <c r="C90" t="s">
        <v>33</v>
      </c>
      <c r="D90" t="s">
        <v>34</v>
      </c>
      <c r="E90" t="s">
        <v>35</v>
      </c>
      <c r="F90" t="s">
        <v>36</v>
      </c>
      <c r="G90">
        <v>1141685</v>
      </c>
      <c r="H90" t="s">
        <v>80</v>
      </c>
      <c r="I90" t="s">
        <v>96</v>
      </c>
      <c r="J90" t="s">
        <v>80</v>
      </c>
      <c r="K90" t="s">
        <v>115</v>
      </c>
      <c r="L90" s="1">
        <v>46143</v>
      </c>
      <c r="M90" s="1">
        <v>46173</v>
      </c>
      <c r="N90">
        <v>3.8118325E-3</v>
      </c>
      <c r="O90" t="s">
        <v>56</v>
      </c>
      <c r="P90" t="s">
        <v>63</v>
      </c>
      <c r="Q90" t="s">
        <v>2301</v>
      </c>
      <c r="R90" t="s">
        <v>2305</v>
      </c>
      <c r="S90" t="s">
        <v>67</v>
      </c>
      <c r="T90" t="s">
        <v>2390</v>
      </c>
      <c r="U90" t="s">
        <v>2535</v>
      </c>
      <c r="V90">
        <v>15</v>
      </c>
      <c r="W90" s="2">
        <v>0.66521082440000001</v>
      </c>
    </row>
    <row r="91" spans="1:23" x14ac:dyDescent="0.25">
      <c r="A91" t="s">
        <v>31</v>
      </c>
      <c r="B91" t="s">
        <v>32</v>
      </c>
      <c r="C91" t="s">
        <v>33</v>
      </c>
      <c r="D91" t="s">
        <v>34</v>
      </c>
      <c r="E91" t="s">
        <v>35</v>
      </c>
      <c r="F91" t="s">
        <v>36</v>
      </c>
      <c r="G91">
        <v>1141685</v>
      </c>
      <c r="H91" t="s">
        <v>77</v>
      </c>
      <c r="I91" t="s">
        <v>96</v>
      </c>
      <c r="J91" t="s">
        <v>77</v>
      </c>
      <c r="K91" t="s">
        <v>111</v>
      </c>
      <c r="L91" s="1">
        <v>46143</v>
      </c>
      <c r="M91" s="1">
        <v>46173</v>
      </c>
      <c r="N91">
        <v>16.090566654700002</v>
      </c>
      <c r="O91" t="s">
        <v>56</v>
      </c>
      <c r="P91" t="s">
        <v>63</v>
      </c>
      <c r="Q91" t="s">
        <v>2301</v>
      </c>
      <c r="R91" t="s">
        <v>2304</v>
      </c>
      <c r="S91" t="s">
        <v>67</v>
      </c>
      <c r="T91" t="s">
        <v>2391</v>
      </c>
      <c r="U91" t="s">
        <v>2536</v>
      </c>
      <c r="V91">
        <v>16</v>
      </c>
      <c r="W91" s="2">
        <v>2807.1610275462999</v>
      </c>
    </row>
    <row r="92" spans="1:23" x14ac:dyDescent="0.25">
      <c r="A92" t="s">
        <v>31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>
        <v>1141685</v>
      </c>
      <c r="H92" t="s">
        <v>79</v>
      </c>
      <c r="I92" t="s">
        <v>94</v>
      </c>
      <c r="J92" t="s">
        <v>101</v>
      </c>
      <c r="K92" t="s">
        <v>116</v>
      </c>
      <c r="L92" s="1">
        <v>46143</v>
      </c>
      <c r="M92" s="1">
        <v>46173</v>
      </c>
      <c r="N92">
        <v>1.641391E-4</v>
      </c>
      <c r="O92" t="s">
        <v>56</v>
      </c>
      <c r="P92" t="s">
        <v>63</v>
      </c>
      <c r="Q92" t="s">
        <v>2301</v>
      </c>
      <c r="R92" t="s">
        <v>2304</v>
      </c>
      <c r="S92" t="s">
        <v>67</v>
      </c>
      <c r="T92" t="s">
        <v>2392</v>
      </c>
      <c r="U92" t="s">
        <v>2537</v>
      </c>
      <c r="V92">
        <v>16</v>
      </c>
      <c r="W92" s="2">
        <v>0.23159536089999999</v>
      </c>
    </row>
    <row r="93" spans="1:23" x14ac:dyDescent="0.25">
      <c r="A93" t="s">
        <v>31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>
        <v>1141685</v>
      </c>
      <c r="H93" t="s">
        <v>79</v>
      </c>
      <c r="I93" t="s">
        <v>94</v>
      </c>
      <c r="J93" t="s">
        <v>101</v>
      </c>
      <c r="K93" t="s">
        <v>116</v>
      </c>
      <c r="L93" s="1">
        <v>46143</v>
      </c>
      <c r="M93" s="1">
        <v>46173</v>
      </c>
      <c r="N93">
        <v>2.5400899999999999E-5</v>
      </c>
      <c r="O93" t="s">
        <v>56</v>
      </c>
      <c r="P93" t="s">
        <v>63</v>
      </c>
      <c r="Q93" t="s">
        <v>2301</v>
      </c>
      <c r="R93" t="s">
        <v>2304</v>
      </c>
      <c r="S93" t="s">
        <v>67</v>
      </c>
      <c r="T93" t="s">
        <v>2393</v>
      </c>
      <c r="U93" t="s">
        <v>2538</v>
      </c>
      <c r="V93">
        <v>16</v>
      </c>
      <c r="W93" s="2">
        <v>3.1197334600000001E-2</v>
      </c>
    </row>
    <row r="94" spans="1:23" x14ac:dyDescent="0.25">
      <c r="A94" t="s">
        <v>31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>
        <v>1141685</v>
      </c>
      <c r="H94" t="s">
        <v>77</v>
      </c>
      <c r="I94" t="s">
        <v>96</v>
      </c>
      <c r="J94" t="s">
        <v>77</v>
      </c>
      <c r="K94" t="s">
        <v>113</v>
      </c>
      <c r="L94" s="1">
        <v>46143</v>
      </c>
      <c r="M94" s="1">
        <v>46173</v>
      </c>
      <c r="N94">
        <v>9.2866923999999993E-3</v>
      </c>
      <c r="O94" t="s">
        <v>56</v>
      </c>
      <c r="P94" t="s">
        <v>63</v>
      </c>
      <c r="Q94" t="s">
        <v>2301</v>
      </c>
      <c r="R94" t="s">
        <v>2304</v>
      </c>
      <c r="S94" t="s">
        <v>67</v>
      </c>
      <c r="T94" t="s">
        <v>2394</v>
      </c>
      <c r="U94" t="s">
        <v>2539</v>
      </c>
      <c r="V94">
        <v>16</v>
      </c>
      <c r="W94" s="2">
        <v>1.6157375881</v>
      </c>
    </row>
    <row r="95" spans="1:23" x14ac:dyDescent="0.25">
      <c r="A95" t="s">
        <v>31</v>
      </c>
      <c r="B95" t="s">
        <v>32</v>
      </c>
      <c r="C95" t="s">
        <v>33</v>
      </c>
      <c r="D95" t="s">
        <v>34</v>
      </c>
      <c r="E95" t="s">
        <v>35</v>
      </c>
      <c r="F95" t="s">
        <v>36</v>
      </c>
      <c r="G95">
        <v>1141685</v>
      </c>
      <c r="H95" t="s">
        <v>77</v>
      </c>
      <c r="I95" t="s">
        <v>96</v>
      </c>
      <c r="J95" t="s">
        <v>77</v>
      </c>
      <c r="K95" t="s">
        <v>113</v>
      </c>
      <c r="L95" s="1">
        <v>46143</v>
      </c>
      <c r="M95" s="1">
        <v>46173</v>
      </c>
      <c r="N95">
        <v>102.37544994620001</v>
      </c>
      <c r="O95" t="s">
        <v>56</v>
      </c>
      <c r="P95" t="s">
        <v>63</v>
      </c>
      <c r="Q95" t="s">
        <v>2301</v>
      </c>
      <c r="R95" t="s">
        <v>2304</v>
      </c>
      <c r="S95" t="s">
        <v>67</v>
      </c>
      <c r="T95" t="s">
        <v>2395</v>
      </c>
      <c r="U95" t="s">
        <v>2540</v>
      </c>
      <c r="V95">
        <v>16</v>
      </c>
      <c r="W95" s="2">
        <v>17860.420477892701</v>
      </c>
    </row>
    <row r="96" spans="1:23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>
        <v>1141685</v>
      </c>
      <c r="H96" t="s">
        <v>77</v>
      </c>
      <c r="I96" t="s">
        <v>96</v>
      </c>
      <c r="J96" t="s">
        <v>77</v>
      </c>
      <c r="K96" t="s">
        <v>113</v>
      </c>
      <c r="L96" s="1">
        <v>46143</v>
      </c>
      <c r="M96" s="1">
        <v>46173</v>
      </c>
      <c r="N96">
        <v>17.9610214904</v>
      </c>
      <c r="O96" t="s">
        <v>56</v>
      </c>
      <c r="P96" t="s">
        <v>63</v>
      </c>
      <c r="Q96" t="s">
        <v>2301</v>
      </c>
      <c r="R96" t="s">
        <v>2304</v>
      </c>
      <c r="S96" t="s">
        <v>67</v>
      </c>
      <c r="T96" t="s">
        <v>2396</v>
      </c>
      <c r="U96" t="s">
        <v>2541</v>
      </c>
      <c r="V96">
        <v>15</v>
      </c>
      <c r="W96" s="2">
        <v>3133.4822321085999</v>
      </c>
    </row>
    <row r="97" spans="1:23" x14ac:dyDescent="0.25">
      <c r="A97" t="s">
        <v>31</v>
      </c>
      <c r="B97" t="s">
        <v>32</v>
      </c>
      <c r="C97" t="s">
        <v>33</v>
      </c>
      <c r="D97" t="s">
        <v>34</v>
      </c>
      <c r="E97" t="s">
        <v>35</v>
      </c>
      <c r="F97" t="s">
        <v>36</v>
      </c>
      <c r="G97">
        <v>1141685</v>
      </c>
      <c r="H97" t="s">
        <v>77</v>
      </c>
      <c r="I97" t="s">
        <v>96</v>
      </c>
      <c r="J97" t="s">
        <v>77</v>
      </c>
      <c r="K97" t="s">
        <v>113</v>
      </c>
      <c r="L97" s="1">
        <v>46143</v>
      </c>
      <c r="M97" s="1">
        <v>46173</v>
      </c>
      <c r="N97">
        <v>0.38175632900000001</v>
      </c>
      <c r="O97" t="s">
        <v>56</v>
      </c>
      <c r="P97" t="s">
        <v>63</v>
      </c>
      <c r="Q97" t="s">
        <v>2301</v>
      </c>
      <c r="R97" t="s">
        <v>2305</v>
      </c>
      <c r="S97" t="s">
        <v>67</v>
      </c>
      <c r="T97" t="s">
        <v>2397</v>
      </c>
      <c r="U97" t="s">
        <v>2542</v>
      </c>
      <c r="V97">
        <v>15</v>
      </c>
      <c r="W97" s="2">
        <v>66.599064054300001</v>
      </c>
    </row>
    <row r="98" spans="1:23" x14ac:dyDescent="0.25">
      <c r="A98" t="s">
        <v>31</v>
      </c>
      <c r="B98" t="s">
        <v>32</v>
      </c>
      <c r="C98" t="s">
        <v>33</v>
      </c>
      <c r="D98" t="s">
        <v>34</v>
      </c>
      <c r="E98" t="s">
        <v>35</v>
      </c>
      <c r="F98" t="s">
        <v>36</v>
      </c>
      <c r="G98">
        <v>1141685</v>
      </c>
      <c r="H98" t="s">
        <v>76</v>
      </c>
      <c r="I98" t="s">
        <v>95</v>
      </c>
      <c r="J98" t="s">
        <v>99</v>
      </c>
      <c r="K98" t="s">
        <v>109</v>
      </c>
      <c r="L98" s="1">
        <v>46143</v>
      </c>
      <c r="M98" s="1">
        <v>46173</v>
      </c>
      <c r="N98">
        <v>8.3239999999999995E-2</v>
      </c>
      <c r="O98" t="s">
        <v>58</v>
      </c>
      <c r="P98" t="s">
        <v>63</v>
      </c>
      <c r="Q98" t="s">
        <v>2300</v>
      </c>
      <c r="R98" t="s">
        <v>2305</v>
      </c>
      <c r="S98" t="s">
        <v>67</v>
      </c>
      <c r="T98" t="s">
        <v>2342</v>
      </c>
      <c r="U98" t="s">
        <v>2487</v>
      </c>
      <c r="V98">
        <v>16</v>
      </c>
      <c r="W98" s="2">
        <v>0</v>
      </c>
    </row>
    <row r="99" spans="1:23" x14ac:dyDescent="0.25">
      <c r="A99" t="s">
        <v>31</v>
      </c>
      <c r="B99" t="s">
        <v>32</v>
      </c>
      <c r="C99" t="s">
        <v>33</v>
      </c>
      <c r="D99" t="s">
        <v>34</v>
      </c>
      <c r="E99" t="s">
        <v>35</v>
      </c>
      <c r="F99" t="s">
        <v>36</v>
      </c>
      <c r="G99">
        <v>1141685</v>
      </c>
      <c r="H99" t="s">
        <v>76</v>
      </c>
      <c r="I99" t="s">
        <v>95</v>
      </c>
      <c r="J99" t="s">
        <v>99</v>
      </c>
      <c r="K99" t="s">
        <v>109</v>
      </c>
      <c r="L99" s="1">
        <v>46143</v>
      </c>
      <c r="M99" s="1">
        <v>46173</v>
      </c>
      <c r="N99">
        <v>359</v>
      </c>
      <c r="O99" t="s">
        <v>58</v>
      </c>
      <c r="P99" t="s">
        <v>63</v>
      </c>
      <c r="Q99" t="s">
        <v>2300</v>
      </c>
      <c r="R99" t="s">
        <v>2306</v>
      </c>
      <c r="S99" t="s">
        <v>67</v>
      </c>
      <c r="T99" t="s">
        <v>2344</v>
      </c>
      <c r="U99" t="s">
        <v>2489</v>
      </c>
      <c r="V99">
        <v>17</v>
      </c>
      <c r="W99" s="2">
        <v>0</v>
      </c>
    </row>
    <row r="100" spans="1:23" x14ac:dyDescent="0.25">
      <c r="A100" t="s">
        <v>31</v>
      </c>
      <c r="B100" t="s">
        <v>32</v>
      </c>
      <c r="C100" t="s">
        <v>33</v>
      </c>
      <c r="D100" t="s">
        <v>34</v>
      </c>
      <c r="E100" t="s">
        <v>35</v>
      </c>
      <c r="F100" t="s">
        <v>36</v>
      </c>
      <c r="G100">
        <v>1141685</v>
      </c>
      <c r="H100" t="s">
        <v>76</v>
      </c>
      <c r="I100" t="s">
        <v>95</v>
      </c>
      <c r="J100" t="s">
        <v>99</v>
      </c>
      <c r="K100" t="s">
        <v>109</v>
      </c>
      <c r="L100" s="1">
        <v>46143</v>
      </c>
      <c r="M100" s="1">
        <v>46173</v>
      </c>
      <c r="N100">
        <v>1</v>
      </c>
      <c r="O100" t="s">
        <v>58</v>
      </c>
      <c r="P100" t="s">
        <v>63</v>
      </c>
      <c r="Q100" t="s">
        <v>2300</v>
      </c>
      <c r="R100" t="s">
        <v>2305</v>
      </c>
      <c r="S100" t="s">
        <v>67</v>
      </c>
      <c r="T100" t="s">
        <v>2342</v>
      </c>
      <c r="U100" t="s">
        <v>2487</v>
      </c>
      <c r="V100">
        <v>16</v>
      </c>
      <c r="W100" s="2">
        <v>0</v>
      </c>
    </row>
    <row r="101" spans="1:23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>
        <v>1141685</v>
      </c>
      <c r="H101" t="s">
        <v>76</v>
      </c>
      <c r="I101" t="s">
        <v>95</v>
      </c>
      <c r="J101" t="s">
        <v>99</v>
      </c>
      <c r="K101" t="s">
        <v>109</v>
      </c>
      <c r="L101" s="1">
        <v>46143</v>
      </c>
      <c r="M101" s="1">
        <v>46173</v>
      </c>
      <c r="N101">
        <v>118.78175400000001</v>
      </c>
      <c r="O101" t="s">
        <v>58</v>
      </c>
      <c r="P101" t="s">
        <v>63</v>
      </c>
      <c r="Q101" t="s">
        <v>2300</v>
      </c>
      <c r="R101" t="s">
        <v>2304</v>
      </c>
      <c r="S101" t="s">
        <v>67</v>
      </c>
      <c r="T101" t="s">
        <v>2352</v>
      </c>
      <c r="U101" t="s">
        <v>2497</v>
      </c>
      <c r="V101">
        <v>15</v>
      </c>
      <c r="W101" s="2">
        <v>0</v>
      </c>
    </row>
    <row r="102" spans="1:23" x14ac:dyDescent="0.25">
      <c r="A102" t="s">
        <v>31</v>
      </c>
      <c r="B102" t="s">
        <v>32</v>
      </c>
      <c r="C102" t="s">
        <v>33</v>
      </c>
      <c r="D102" t="s">
        <v>34</v>
      </c>
      <c r="E102" t="s">
        <v>35</v>
      </c>
      <c r="F102" t="s">
        <v>36</v>
      </c>
      <c r="G102">
        <v>1141685</v>
      </c>
      <c r="H102" t="s">
        <v>76</v>
      </c>
      <c r="I102" t="s">
        <v>95</v>
      </c>
      <c r="J102" t="s">
        <v>99</v>
      </c>
      <c r="K102" t="s">
        <v>109</v>
      </c>
      <c r="L102" s="1">
        <v>46143</v>
      </c>
      <c r="M102" s="1">
        <v>46173</v>
      </c>
      <c r="N102">
        <v>1.966704</v>
      </c>
      <c r="O102" t="s">
        <v>58</v>
      </c>
      <c r="P102" t="s">
        <v>63</v>
      </c>
      <c r="Q102" t="s">
        <v>2300</v>
      </c>
      <c r="R102" t="s">
        <v>2304</v>
      </c>
      <c r="S102" t="s">
        <v>67</v>
      </c>
      <c r="T102" t="s">
        <v>2326</v>
      </c>
      <c r="U102" t="s">
        <v>2471</v>
      </c>
      <c r="V102">
        <v>16</v>
      </c>
      <c r="W102" s="2">
        <v>0</v>
      </c>
    </row>
    <row r="103" spans="1:23" x14ac:dyDescent="0.25">
      <c r="A103" t="s">
        <v>31</v>
      </c>
      <c r="B103" t="s">
        <v>32</v>
      </c>
      <c r="C103" t="s">
        <v>33</v>
      </c>
      <c r="D103" t="s">
        <v>34</v>
      </c>
      <c r="E103" t="s">
        <v>35</v>
      </c>
      <c r="F103" t="s">
        <v>36</v>
      </c>
      <c r="G103">
        <v>1141685</v>
      </c>
      <c r="H103" t="s">
        <v>76</v>
      </c>
      <c r="I103" t="s">
        <v>95</v>
      </c>
      <c r="J103" t="s">
        <v>99</v>
      </c>
      <c r="K103" t="s">
        <v>109</v>
      </c>
      <c r="L103" s="1">
        <v>46143</v>
      </c>
      <c r="M103" s="1">
        <v>46173</v>
      </c>
      <c r="N103">
        <v>58.765773000000003</v>
      </c>
      <c r="O103" t="s">
        <v>58</v>
      </c>
      <c r="P103" t="s">
        <v>63</v>
      </c>
      <c r="Q103" t="s">
        <v>2300</v>
      </c>
      <c r="R103" t="s">
        <v>2304</v>
      </c>
      <c r="S103" t="s">
        <v>67</v>
      </c>
      <c r="T103" t="s">
        <v>2326</v>
      </c>
      <c r="U103" t="s">
        <v>2471</v>
      </c>
      <c r="V103">
        <v>16</v>
      </c>
      <c r="W103" s="2">
        <v>0</v>
      </c>
    </row>
    <row r="104" spans="1:23" x14ac:dyDescent="0.25">
      <c r="A104" t="s">
        <v>31</v>
      </c>
      <c r="B104" t="s">
        <v>32</v>
      </c>
      <c r="C104" t="s">
        <v>33</v>
      </c>
      <c r="D104" t="s">
        <v>34</v>
      </c>
      <c r="E104" t="s">
        <v>35</v>
      </c>
      <c r="F104" t="s">
        <v>36</v>
      </c>
      <c r="G104">
        <v>1141685</v>
      </c>
      <c r="H104" t="s">
        <v>79</v>
      </c>
      <c r="I104" t="s">
        <v>94</v>
      </c>
      <c r="J104" t="s">
        <v>101</v>
      </c>
      <c r="K104" t="s">
        <v>116</v>
      </c>
      <c r="L104" s="1">
        <v>46143</v>
      </c>
      <c r="M104" s="1">
        <v>46173</v>
      </c>
      <c r="N104">
        <v>0.53000230530000003</v>
      </c>
      <c r="O104" t="s">
        <v>56</v>
      </c>
      <c r="P104" t="s">
        <v>63</v>
      </c>
      <c r="Q104" t="s">
        <v>2301</v>
      </c>
      <c r="R104" t="s">
        <v>2305</v>
      </c>
      <c r="S104" t="s">
        <v>67</v>
      </c>
      <c r="T104" t="s">
        <v>2398</v>
      </c>
      <c r="U104" t="s">
        <v>2543</v>
      </c>
      <c r="V104">
        <v>16</v>
      </c>
      <c r="W104" s="2">
        <v>739.71798334380003</v>
      </c>
    </row>
    <row r="105" spans="1:23" x14ac:dyDescent="0.25">
      <c r="A105" t="s">
        <v>31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>
        <v>1141685</v>
      </c>
      <c r="H105" t="s">
        <v>79</v>
      </c>
      <c r="I105" t="s">
        <v>94</v>
      </c>
      <c r="J105" t="s">
        <v>101</v>
      </c>
      <c r="K105" t="s">
        <v>116</v>
      </c>
      <c r="L105" s="1">
        <v>46143</v>
      </c>
      <c r="M105" s="1">
        <v>46173</v>
      </c>
      <c r="N105">
        <v>1.7001819041999999</v>
      </c>
      <c r="O105" t="s">
        <v>56</v>
      </c>
      <c r="P105" t="s">
        <v>63</v>
      </c>
      <c r="Q105" t="s">
        <v>2301</v>
      </c>
      <c r="R105" t="s">
        <v>2304</v>
      </c>
      <c r="S105" t="s">
        <v>67</v>
      </c>
      <c r="T105" t="s">
        <v>2399</v>
      </c>
      <c r="U105" t="s">
        <v>2544</v>
      </c>
      <c r="V105">
        <v>16</v>
      </c>
      <c r="W105" s="2">
        <v>2372.9106945041999</v>
      </c>
    </row>
    <row r="106" spans="1:23" x14ac:dyDescent="0.25">
      <c r="A106" t="s">
        <v>31</v>
      </c>
      <c r="B106" t="s">
        <v>32</v>
      </c>
      <c r="C106" t="s">
        <v>33</v>
      </c>
      <c r="D106" t="s">
        <v>34</v>
      </c>
      <c r="E106" t="s">
        <v>35</v>
      </c>
      <c r="F106" t="s">
        <v>36</v>
      </c>
      <c r="G106">
        <v>1141685</v>
      </c>
      <c r="H106" t="s">
        <v>79</v>
      </c>
      <c r="I106" t="s">
        <v>94</v>
      </c>
      <c r="J106" t="s">
        <v>101</v>
      </c>
      <c r="K106" t="s">
        <v>116</v>
      </c>
      <c r="L106" s="1">
        <v>46143</v>
      </c>
      <c r="M106" s="1">
        <v>46173</v>
      </c>
      <c r="N106">
        <v>1.3254540721000001</v>
      </c>
      <c r="O106" t="s">
        <v>56</v>
      </c>
      <c r="P106" t="s">
        <v>63</v>
      </c>
      <c r="Q106" t="s">
        <v>2301</v>
      </c>
      <c r="R106" t="s">
        <v>2304</v>
      </c>
      <c r="S106" t="s">
        <v>67</v>
      </c>
      <c r="T106" t="s">
        <v>2400</v>
      </c>
      <c r="U106" t="s">
        <v>2545</v>
      </c>
      <c r="V106">
        <v>16</v>
      </c>
      <c r="W106" s="2">
        <v>1849.9105706190001</v>
      </c>
    </row>
    <row r="107" spans="1:23" x14ac:dyDescent="0.25">
      <c r="A107" t="s">
        <v>31</v>
      </c>
      <c r="B107" t="s">
        <v>32</v>
      </c>
      <c r="C107" t="s">
        <v>33</v>
      </c>
      <c r="D107" t="s">
        <v>34</v>
      </c>
      <c r="E107" t="s">
        <v>35</v>
      </c>
      <c r="F107" t="s">
        <v>36</v>
      </c>
      <c r="G107">
        <v>1141685</v>
      </c>
      <c r="H107" t="s">
        <v>87</v>
      </c>
      <c r="I107" t="s">
        <v>87</v>
      </c>
      <c r="J107" t="s">
        <v>87</v>
      </c>
      <c r="K107" t="s">
        <v>125</v>
      </c>
      <c r="L107" s="1">
        <v>46143</v>
      </c>
      <c r="M107" s="1">
        <v>46173</v>
      </c>
      <c r="N107">
        <v>744</v>
      </c>
      <c r="O107" t="s">
        <v>58</v>
      </c>
      <c r="P107" t="s">
        <v>63</v>
      </c>
      <c r="Q107" t="s">
        <v>2301</v>
      </c>
      <c r="R107" t="s">
        <v>158</v>
      </c>
      <c r="S107" t="s">
        <v>67</v>
      </c>
      <c r="T107" t="s">
        <v>2401</v>
      </c>
      <c r="U107" t="s">
        <v>2546</v>
      </c>
      <c r="V107">
        <v>12</v>
      </c>
      <c r="W107" s="2">
        <v>324495.598</v>
      </c>
    </row>
    <row r="108" spans="1:23" x14ac:dyDescent="0.25">
      <c r="A108" t="s">
        <v>31</v>
      </c>
      <c r="B108" t="s">
        <v>32</v>
      </c>
      <c r="C108" t="s">
        <v>33</v>
      </c>
      <c r="D108" t="s">
        <v>34</v>
      </c>
      <c r="E108" t="s">
        <v>35</v>
      </c>
      <c r="F108" t="s">
        <v>36</v>
      </c>
      <c r="G108">
        <v>1141685</v>
      </c>
      <c r="H108" t="s">
        <v>92</v>
      </c>
      <c r="I108" t="s">
        <v>97</v>
      </c>
      <c r="J108" t="s">
        <v>107</v>
      </c>
      <c r="K108" t="s">
        <v>130</v>
      </c>
      <c r="L108" s="1">
        <v>46143</v>
      </c>
      <c r="M108" s="1">
        <v>46173</v>
      </c>
      <c r="N108">
        <v>41.6</v>
      </c>
      <c r="O108" t="s">
        <v>57</v>
      </c>
      <c r="P108" t="s">
        <v>63</v>
      </c>
      <c r="Q108" t="s">
        <v>2303</v>
      </c>
      <c r="R108" t="s">
        <v>2308</v>
      </c>
      <c r="S108" t="s">
        <v>67</v>
      </c>
      <c r="T108" t="s">
        <v>2402</v>
      </c>
      <c r="U108" t="s">
        <v>2547</v>
      </c>
      <c r="V108">
        <v>9</v>
      </c>
      <c r="W108" s="2">
        <v>100153.9971839958</v>
      </c>
    </row>
    <row r="109" spans="1:23" x14ac:dyDescent="0.25">
      <c r="A109" t="s">
        <v>31</v>
      </c>
      <c r="B109" t="s">
        <v>32</v>
      </c>
      <c r="C109" t="s">
        <v>33</v>
      </c>
      <c r="D109" t="s">
        <v>34</v>
      </c>
      <c r="E109" t="s">
        <v>35</v>
      </c>
      <c r="F109" t="s">
        <v>36</v>
      </c>
      <c r="G109">
        <v>1141685</v>
      </c>
      <c r="H109" t="s">
        <v>88</v>
      </c>
      <c r="I109" t="s">
        <v>88</v>
      </c>
      <c r="J109" t="s">
        <v>88</v>
      </c>
      <c r="K109" t="s">
        <v>126</v>
      </c>
      <c r="L109" s="1">
        <v>46143</v>
      </c>
      <c r="M109" s="1">
        <v>46173</v>
      </c>
      <c r="N109">
        <v>744</v>
      </c>
      <c r="O109" t="s">
        <v>58</v>
      </c>
      <c r="P109" t="s">
        <v>63</v>
      </c>
      <c r="Q109" t="s">
        <v>2303</v>
      </c>
      <c r="R109" t="s">
        <v>2312</v>
      </c>
      <c r="S109" t="s">
        <v>67</v>
      </c>
      <c r="T109" t="s">
        <v>2403</v>
      </c>
      <c r="U109" t="s">
        <v>2548</v>
      </c>
      <c r="V109">
        <v>8</v>
      </c>
      <c r="W109" s="2">
        <v>389394.72360000003</v>
      </c>
    </row>
    <row r="110" spans="1:23" x14ac:dyDescent="0.25">
      <c r="A110" t="s">
        <v>31</v>
      </c>
      <c r="B110" t="s">
        <v>32</v>
      </c>
      <c r="C110" t="s">
        <v>33</v>
      </c>
      <c r="D110" t="s">
        <v>34</v>
      </c>
      <c r="E110" t="s">
        <v>35</v>
      </c>
      <c r="F110" t="s">
        <v>36</v>
      </c>
      <c r="G110">
        <v>1141685</v>
      </c>
      <c r="H110" t="s">
        <v>89</v>
      </c>
      <c r="I110" t="s">
        <v>89</v>
      </c>
      <c r="J110" t="s">
        <v>89</v>
      </c>
      <c r="K110" t="s">
        <v>127</v>
      </c>
      <c r="L110" s="1">
        <v>46143</v>
      </c>
      <c r="M110" s="1">
        <v>46173</v>
      </c>
      <c r="N110">
        <v>3.6400000000000001E-4</v>
      </c>
      <c r="O110" t="s">
        <v>60</v>
      </c>
      <c r="P110" t="s">
        <v>63</v>
      </c>
      <c r="Q110" t="s">
        <v>2303</v>
      </c>
      <c r="R110" t="s">
        <v>2312</v>
      </c>
      <c r="S110" t="s">
        <v>67</v>
      </c>
      <c r="T110" t="s">
        <v>2404</v>
      </c>
      <c r="U110" t="s">
        <v>2549</v>
      </c>
      <c r="V110">
        <v>8</v>
      </c>
      <c r="W110" s="2">
        <v>0</v>
      </c>
    </row>
    <row r="111" spans="1:23" x14ac:dyDescent="0.25">
      <c r="A111" t="s">
        <v>31</v>
      </c>
      <c r="B111" t="s">
        <v>32</v>
      </c>
      <c r="C111" t="s">
        <v>33</v>
      </c>
      <c r="D111" t="s">
        <v>34</v>
      </c>
      <c r="E111" t="s">
        <v>35</v>
      </c>
      <c r="F111" t="s">
        <v>36</v>
      </c>
      <c r="G111">
        <v>1141685</v>
      </c>
      <c r="H111" t="s">
        <v>76</v>
      </c>
      <c r="I111" t="s">
        <v>95</v>
      </c>
      <c r="J111" t="s">
        <v>99</v>
      </c>
      <c r="K111" t="s">
        <v>109</v>
      </c>
      <c r="L111" s="1">
        <v>46143</v>
      </c>
      <c r="M111" s="1">
        <v>46173</v>
      </c>
      <c r="N111">
        <v>170</v>
      </c>
      <c r="O111" t="s">
        <v>58</v>
      </c>
      <c r="P111" t="s">
        <v>63</v>
      </c>
      <c r="Q111" t="s">
        <v>2300</v>
      </c>
      <c r="R111" t="s">
        <v>2306</v>
      </c>
      <c r="S111" t="s">
        <v>67</v>
      </c>
      <c r="T111" t="s">
        <v>2344</v>
      </c>
      <c r="U111" t="s">
        <v>2489</v>
      </c>
      <c r="V111">
        <v>17</v>
      </c>
      <c r="W111" s="2">
        <v>0</v>
      </c>
    </row>
    <row r="112" spans="1:23" x14ac:dyDescent="0.25">
      <c r="A112" t="s">
        <v>31</v>
      </c>
      <c r="B112" t="s">
        <v>32</v>
      </c>
      <c r="C112" t="s">
        <v>33</v>
      </c>
      <c r="D112" t="s">
        <v>34</v>
      </c>
      <c r="E112" t="s">
        <v>35</v>
      </c>
      <c r="F112" t="s">
        <v>36</v>
      </c>
      <c r="G112">
        <v>1141685</v>
      </c>
      <c r="H112" t="s">
        <v>91</v>
      </c>
      <c r="I112" t="s">
        <v>95</v>
      </c>
      <c r="J112" t="s">
        <v>106</v>
      </c>
      <c r="K112" t="s">
        <v>479</v>
      </c>
      <c r="L112" s="1">
        <v>46143</v>
      </c>
      <c r="M112" s="1">
        <v>46173</v>
      </c>
      <c r="N112">
        <v>1</v>
      </c>
      <c r="O112" t="s">
        <v>58</v>
      </c>
      <c r="P112" t="s">
        <v>63</v>
      </c>
      <c r="Q112" t="s">
        <v>2300</v>
      </c>
      <c r="R112" t="s">
        <v>2304</v>
      </c>
      <c r="S112" t="s">
        <v>67</v>
      </c>
      <c r="T112" t="s">
        <v>2405</v>
      </c>
      <c r="U112" t="s">
        <v>2550</v>
      </c>
      <c r="V112">
        <v>16</v>
      </c>
      <c r="W112" s="2">
        <v>4361.5</v>
      </c>
    </row>
    <row r="113" spans="1:23" x14ac:dyDescent="0.25">
      <c r="A113" t="s">
        <v>31</v>
      </c>
      <c r="B113" t="s">
        <v>32</v>
      </c>
      <c r="C113" t="s">
        <v>33</v>
      </c>
      <c r="D113" t="s">
        <v>34</v>
      </c>
      <c r="E113" t="s">
        <v>35</v>
      </c>
      <c r="F113" t="s">
        <v>36</v>
      </c>
      <c r="G113">
        <v>1141685</v>
      </c>
      <c r="H113" t="s">
        <v>91</v>
      </c>
      <c r="I113" t="s">
        <v>95</v>
      </c>
      <c r="J113" t="s">
        <v>106</v>
      </c>
      <c r="K113" t="s">
        <v>479</v>
      </c>
      <c r="L113" s="1">
        <v>46143</v>
      </c>
      <c r="M113" s="1">
        <v>46173</v>
      </c>
      <c r="N113">
        <v>1</v>
      </c>
      <c r="O113" t="s">
        <v>58</v>
      </c>
      <c r="P113" t="s">
        <v>63</v>
      </c>
      <c r="Q113" t="s">
        <v>2300</v>
      </c>
      <c r="R113" t="s">
        <v>2304</v>
      </c>
      <c r="S113" t="s">
        <v>67</v>
      </c>
      <c r="T113" t="s">
        <v>2405</v>
      </c>
      <c r="U113" t="s">
        <v>2550</v>
      </c>
      <c r="V113">
        <v>16</v>
      </c>
      <c r="W113" s="2">
        <v>4361.5</v>
      </c>
    </row>
    <row r="114" spans="1:23" x14ac:dyDescent="0.25">
      <c r="A114" t="s">
        <v>31</v>
      </c>
      <c r="B114" t="s">
        <v>32</v>
      </c>
      <c r="C114" t="s">
        <v>33</v>
      </c>
      <c r="D114" t="s">
        <v>34</v>
      </c>
      <c r="E114" t="s">
        <v>35</v>
      </c>
      <c r="F114" t="s">
        <v>36</v>
      </c>
      <c r="G114">
        <v>1141685</v>
      </c>
      <c r="H114" t="s">
        <v>76</v>
      </c>
      <c r="I114" t="s">
        <v>95</v>
      </c>
      <c r="J114" t="s">
        <v>99</v>
      </c>
      <c r="K114" t="s">
        <v>109</v>
      </c>
      <c r="L114" s="1">
        <v>46143</v>
      </c>
      <c r="M114" s="1">
        <v>46173</v>
      </c>
      <c r="N114">
        <v>0.20000299999999999</v>
      </c>
      <c r="O114" t="s">
        <v>58</v>
      </c>
      <c r="P114" t="s">
        <v>63</v>
      </c>
      <c r="Q114" t="s">
        <v>2300</v>
      </c>
      <c r="R114" t="s">
        <v>2305</v>
      </c>
      <c r="S114" t="s">
        <v>67</v>
      </c>
      <c r="T114" t="s">
        <v>2342</v>
      </c>
      <c r="U114" t="s">
        <v>2487</v>
      </c>
      <c r="V114">
        <v>16</v>
      </c>
      <c r="W114" s="2">
        <v>0</v>
      </c>
    </row>
    <row r="115" spans="1:23" x14ac:dyDescent="0.25">
      <c r="A115" t="s">
        <v>31</v>
      </c>
      <c r="B115" t="s">
        <v>32</v>
      </c>
      <c r="C115" t="s">
        <v>33</v>
      </c>
      <c r="D115" t="s">
        <v>34</v>
      </c>
      <c r="E115" t="s">
        <v>35</v>
      </c>
      <c r="F115" t="s">
        <v>36</v>
      </c>
      <c r="G115">
        <v>1141685</v>
      </c>
      <c r="H115" t="s">
        <v>76</v>
      </c>
      <c r="I115" t="s">
        <v>95</v>
      </c>
      <c r="J115" t="s">
        <v>99</v>
      </c>
      <c r="K115" t="s">
        <v>109</v>
      </c>
      <c r="L115" s="1">
        <v>46143</v>
      </c>
      <c r="M115" s="1">
        <v>46173</v>
      </c>
      <c r="N115">
        <v>1</v>
      </c>
      <c r="O115" t="s">
        <v>58</v>
      </c>
      <c r="P115" t="s">
        <v>63</v>
      </c>
      <c r="Q115" t="s">
        <v>2300</v>
      </c>
      <c r="R115" t="s">
        <v>2304</v>
      </c>
      <c r="S115" t="s">
        <v>67</v>
      </c>
      <c r="T115" t="s">
        <v>2326</v>
      </c>
      <c r="U115" t="s">
        <v>2471</v>
      </c>
      <c r="V115">
        <v>16</v>
      </c>
      <c r="W115" s="2">
        <v>0</v>
      </c>
    </row>
    <row r="116" spans="1:23" x14ac:dyDescent="0.25">
      <c r="A116" t="s">
        <v>31</v>
      </c>
      <c r="B116" t="s">
        <v>32</v>
      </c>
      <c r="C116" t="s">
        <v>33</v>
      </c>
      <c r="D116" t="s">
        <v>34</v>
      </c>
      <c r="E116" t="s">
        <v>35</v>
      </c>
      <c r="F116" t="s">
        <v>36</v>
      </c>
      <c r="G116">
        <v>1141685</v>
      </c>
      <c r="H116" t="s">
        <v>76</v>
      </c>
      <c r="I116" t="s">
        <v>95</v>
      </c>
      <c r="J116" t="s">
        <v>99</v>
      </c>
      <c r="K116" t="s">
        <v>109</v>
      </c>
      <c r="L116" s="1">
        <v>46143</v>
      </c>
      <c r="M116" s="1">
        <v>46173</v>
      </c>
      <c r="N116">
        <v>1.1335379999999999</v>
      </c>
      <c r="O116" t="s">
        <v>58</v>
      </c>
      <c r="P116" t="s">
        <v>63</v>
      </c>
      <c r="Q116" t="s">
        <v>2300</v>
      </c>
      <c r="R116" t="s">
        <v>2304</v>
      </c>
      <c r="S116" t="s">
        <v>67</v>
      </c>
      <c r="T116" t="s">
        <v>2326</v>
      </c>
      <c r="U116" t="s">
        <v>2471</v>
      </c>
      <c r="V116">
        <v>16</v>
      </c>
      <c r="W116" s="2">
        <v>0</v>
      </c>
    </row>
    <row r="117" spans="1:23" x14ac:dyDescent="0.25">
      <c r="A117" t="s">
        <v>31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>
        <v>1141685</v>
      </c>
      <c r="H117" t="s">
        <v>76</v>
      </c>
      <c r="I117" t="s">
        <v>95</v>
      </c>
      <c r="J117" t="s">
        <v>99</v>
      </c>
      <c r="K117" t="s">
        <v>109</v>
      </c>
      <c r="L117" s="1">
        <v>46143</v>
      </c>
      <c r="M117" s="1">
        <v>46173</v>
      </c>
      <c r="N117">
        <v>0.983352</v>
      </c>
      <c r="O117" t="s">
        <v>58</v>
      </c>
      <c r="P117" t="s">
        <v>63</v>
      </c>
      <c r="Q117" t="s">
        <v>2300</v>
      </c>
      <c r="R117" t="s">
        <v>2304</v>
      </c>
      <c r="S117" t="s">
        <v>67</v>
      </c>
      <c r="T117" t="s">
        <v>2326</v>
      </c>
      <c r="U117" t="s">
        <v>2471</v>
      </c>
      <c r="V117">
        <v>16</v>
      </c>
      <c r="W117" s="2">
        <v>0</v>
      </c>
    </row>
    <row r="118" spans="1:23" x14ac:dyDescent="0.25">
      <c r="A118" t="s">
        <v>31</v>
      </c>
      <c r="B118" t="s">
        <v>32</v>
      </c>
      <c r="C118" t="s">
        <v>33</v>
      </c>
      <c r="D118" t="s">
        <v>34</v>
      </c>
      <c r="E118" t="s">
        <v>35</v>
      </c>
      <c r="F118" t="s">
        <v>36</v>
      </c>
      <c r="G118">
        <v>1141685</v>
      </c>
      <c r="H118" t="s">
        <v>76</v>
      </c>
      <c r="I118" t="s">
        <v>95</v>
      </c>
      <c r="J118" t="s">
        <v>99</v>
      </c>
      <c r="K118" t="s">
        <v>109</v>
      </c>
      <c r="L118" s="1">
        <v>46143</v>
      </c>
      <c r="M118" s="1">
        <v>46173</v>
      </c>
      <c r="N118">
        <v>285.17859700000002</v>
      </c>
      <c r="O118" t="s">
        <v>58</v>
      </c>
      <c r="P118" t="s">
        <v>63</v>
      </c>
      <c r="Q118" t="s">
        <v>2300</v>
      </c>
      <c r="R118" t="s">
        <v>2304</v>
      </c>
      <c r="S118" t="s">
        <v>67</v>
      </c>
      <c r="T118" t="s">
        <v>2326</v>
      </c>
      <c r="U118" t="s">
        <v>2471</v>
      </c>
      <c r="V118">
        <v>16</v>
      </c>
      <c r="W118" s="2">
        <v>0</v>
      </c>
    </row>
    <row r="119" spans="1:23" x14ac:dyDescent="0.25">
      <c r="A119" t="s">
        <v>31</v>
      </c>
      <c r="B119" t="s">
        <v>32</v>
      </c>
      <c r="C119" t="s">
        <v>33</v>
      </c>
      <c r="D119" t="s">
        <v>34</v>
      </c>
      <c r="E119" t="s">
        <v>35</v>
      </c>
      <c r="F119" t="s">
        <v>36</v>
      </c>
      <c r="G119">
        <v>1141685</v>
      </c>
      <c r="H119" t="s">
        <v>76</v>
      </c>
      <c r="I119" t="s">
        <v>95</v>
      </c>
      <c r="J119" t="s">
        <v>99</v>
      </c>
      <c r="K119" t="s">
        <v>109</v>
      </c>
      <c r="L119" s="1">
        <v>46143</v>
      </c>
      <c r="M119" s="1">
        <v>46173</v>
      </c>
      <c r="N119">
        <v>0.20000299999999999</v>
      </c>
      <c r="O119" t="s">
        <v>58</v>
      </c>
      <c r="P119" t="s">
        <v>63</v>
      </c>
      <c r="Q119" t="s">
        <v>2300</v>
      </c>
      <c r="R119" t="s">
        <v>2304</v>
      </c>
      <c r="S119" t="s">
        <v>67</v>
      </c>
      <c r="T119" t="s">
        <v>2326</v>
      </c>
      <c r="U119" t="s">
        <v>2471</v>
      </c>
      <c r="V119">
        <v>16</v>
      </c>
      <c r="W119" s="2">
        <v>0</v>
      </c>
    </row>
    <row r="120" spans="1:23" x14ac:dyDescent="0.25">
      <c r="A120" t="s">
        <v>31</v>
      </c>
      <c r="B120" t="s">
        <v>32</v>
      </c>
      <c r="C120" t="s">
        <v>33</v>
      </c>
      <c r="D120" t="s">
        <v>34</v>
      </c>
      <c r="E120" t="s">
        <v>35</v>
      </c>
      <c r="F120" t="s">
        <v>36</v>
      </c>
      <c r="G120">
        <v>1141685</v>
      </c>
      <c r="H120" t="s">
        <v>76</v>
      </c>
      <c r="I120" t="s">
        <v>95</v>
      </c>
      <c r="J120" t="s">
        <v>99</v>
      </c>
      <c r="K120" t="s">
        <v>109</v>
      </c>
      <c r="L120" s="1">
        <v>46143</v>
      </c>
      <c r="M120" s="1">
        <v>46173</v>
      </c>
      <c r="N120">
        <v>58.554172999999999</v>
      </c>
      <c r="O120" t="s">
        <v>58</v>
      </c>
      <c r="P120" t="s">
        <v>63</v>
      </c>
      <c r="Q120" t="s">
        <v>2300</v>
      </c>
      <c r="R120" t="s">
        <v>2304</v>
      </c>
      <c r="S120" t="s">
        <v>67</v>
      </c>
      <c r="T120" t="s">
        <v>2326</v>
      </c>
      <c r="U120" t="s">
        <v>2471</v>
      </c>
      <c r="V120">
        <v>16</v>
      </c>
      <c r="W120" s="2">
        <v>0</v>
      </c>
    </row>
    <row r="121" spans="1:23" x14ac:dyDescent="0.25">
      <c r="A121" t="s">
        <v>31</v>
      </c>
      <c r="B121" t="s">
        <v>32</v>
      </c>
      <c r="C121" t="s">
        <v>33</v>
      </c>
      <c r="D121" t="s">
        <v>34</v>
      </c>
      <c r="E121" t="s">
        <v>35</v>
      </c>
      <c r="F121" t="s">
        <v>36</v>
      </c>
      <c r="G121">
        <v>1141685</v>
      </c>
      <c r="H121" t="s">
        <v>76</v>
      </c>
      <c r="I121" t="s">
        <v>95</v>
      </c>
      <c r="J121" t="s">
        <v>99</v>
      </c>
      <c r="K121" t="s">
        <v>109</v>
      </c>
      <c r="L121" s="1">
        <v>46143</v>
      </c>
      <c r="M121" s="1">
        <v>46173</v>
      </c>
      <c r="N121">
        <v>24.418879</v>
      </c>
      <c r="O121" t="s">
        <v>58</v>
      </c>
      <c r="P121" t="s">
        <v>63</v>
      </c>
      <c r="Q121" t="s">
        <v>2300</v>
      </c>
      <c r="R121" t="s">
        <v>2304</v>
      </c>
      <c r="S121" t="s">
        <v>67</v>
      </c>
      <c r="T121" t="s">
        <v>2326</v>
      </c>
      <c r="U121" t="s">
        <v>2471</v>
      </c>
      <c r="V121">
        <v>16</v>
      </c>
      <c r="W121" s="2">
        <v>0</v>
      </c>
    </row>
    <row r="122" spans="1:23" x14ac:dyDescent="0.25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36</v>
      </c>
      <c r="G122">
        <v>1141685</v>
      </c>
      <c r="H122" t="s">
        <v>76</v>
      </c>
      <c r="I122" t="s">
        <v>95</v>
      </c>
      <c r="J122" t="s">
        <v>99</v>
      </c>
      <c r="K122" t="s">
        <v>109</v>
      </c>
      <c r="L122" s="1">
        <v>46143</v>
      </c>
      <c r="M122" s="1">
        <v>46173</v>
      </c>
      <c r="N122">
        <v>127.13198</v>
      </c>
      <c r="O122" t="s">
        <v>58</v>
      </c>
      <c r="P122" t="s">
        <v>63</v>
      </c>
      <c r="Q122" t="s">
        <v>2300</v>
      </c>
      <c r="R122" t="s">
        <v>2304</v>
      </c>
      <c r="S122" t="s">
        <v>67</v>
      </c>
      <c r="T122" t="s">
        <v>2326</v>
      </c>
      <c r="U122" t="s">
        <v>2471</v>
      </c>
      <c r="V122">
        <v>16</v>
      </c>
      <c r="W122" s="2">
        <v>0</v>
      </c>
    </row>
    <row r="123" spans="1:23" x14ac:dyDescent="0.25">
      <c r="A123" t="s">
        <v>31</v>
      </c>
      <c r="B123" t="s">
        <v>32</v>
      </c>
      <c r="C123" t="s">
        <v>33</v>
      </c>
      <c r="D123" t="s">
        <v>34</v>
      </c>
      <c r="E123" t="s">
        <v>35</v>
      </c>
      <c r="F123" t="s">
        <v>36</v>
      </c>
      <c r="G123">
        <v>1141685</v>
      </c>
      <c r="H123" t="s">
        <v>76</v>
      </c>
      <c r="I123" t="s">
        <v>95</v>
      </c>
      <c r="J123" t="s">
        <v>99</v>
      </c>
      <c r="K123" t="s">
        <v>109</v>
      </c>
      <c r="L123" s="1">
        <v>46143</v>
      </c>
      <c r="M123" s="1">
        <v>46173</v>
      </c>
      <c r="N123">
        <v>11.033454000000001</v>
      </c>
      <c r="O123" t="s">
        <v>58</v>
      </c>
      <c r="P123" t="s">
        <v>63</v>
      </c>
      <c r="Q123" t="s">
        <v>2300</v>
      </c>
      <c r="R123" t="s">
        <v>2304</v>
      </c>
      <c r="S123" t="s">
        <v>67</v>
      </c>
      <c r="T123" t="s">
        <v>2352</v>
      </c>
      <c r="U123" t="s">
        <v>2497</v>
      </c>
      <c r="V123">
        <v>15</v>
      </c>
      <c r="W123" s="2">
        <v>0</v>
      </c>
    </row>
    <row r="124" spans="1:23" x14ac:dyDescent="0.25">
      <c r="A124" t="s">
        <v>31</v>
      </c>
      <c r="B124" t="s">
        <v>32</v>
      </c>
      <c r="C124" t="s">
        <v>33</v>
      </c>
      <c r="D124" t="s">
        <v>34</v>
      </c>
      <c r="E124" t="s">
        <v>35</v>
      </c>
      <c r="F124" t="s">
        <v>36</v>
      </c>
      <c r="G124">
        <v>1141685</v>
      </c>
      <c r="H124" t="s">
        <v>76</v>
      </c>
      <c r="I124" t="s">
        <v>95</v>
      </c>
      <c r="J124" t="s">
        <v>99</v>
      </c>
      <c r="K124" t="s">
        <v>109</v>
      </c>
      <c r="L124" s="1">
        <v>46143</v>
      </c>
      <c r="M124" s="1">
        <v>46173</v>
      </c>
      <c r="N124">
        <v>15.299949</v>
      </c>
      <c r="O124" t="s">
        <v>58</v>
      </c>
      <c r="P124" t="s">
        <v>63</v>
      </c>
      <c r="Q124" t="s">
        <v>2300</v>
      </c>
      <c r="R124" t="s">
        <v>2304</v>
      </c>
      <c r="S124" t="s">
        <v>67</v>
      </c>
      <c r="T124" t="s">
        <v>2326</v>
      </c>
      <c r="U124" t="s">
        <v>2471</v>
      </c>
      <c r="V124">
        <v>16</v>
      </c>
      <c r="W124" s="2">
        <v>0</v>
      </c>
    </row>
    <row r="125" spans="1:23" x14ac:dyDescent="0.25">
      <c r="A125" t="s">
        <v>31</v>
      </c>
      <c r="B125" t="s">
        <v>32</v>
      </c>
      <c r="C125" t="s">
        <v>33</v>
      </c>
      <c r="D125" t="s">
        <v>34</v>
      </c>
      <c r="E125" t="s">
        <v>35</v>
      </c>
      <c r="F125" t="s">
        <v>36</v>
      </c>
      <c r="G125">
        <v>1141685</v>
      </c>
      <c r="H125" t="s">
        <v>76</v>
      </c>
      <c r="I125" t="s">
        <v>95</v>
      </c>
      <c r="J125" t="s">
        <v>99</v>
      </c>
      <c r="K125" t="s">
        <v>109</v>
      </c>
      <c r="L125" s="1">
        <v>46143</v>
      </c>
      <c r="M125" s="1">
        <v>46173</v>
      </c>
      <c r="N125">
        <v>3.1667700000000001</v>
      </c>
      <c r="O125" t="s">
        <v>58</v>
      </c>
      <c r="P125" t="s">
        <v>63</v>
      </c>
      <c r="Q125" t="s">
        <v>2300</v>
      </c>
      <c r="R125" t="s">
        <v>2304</v>
      </c>
      <c r="S125" t="s">
        <v>67</v>
      </c>
      <c r="T125" t="s">
        <v>2352</v>
      </c>
      <c r="U125" t="s">
        <v>2497</v>
      </c>
      <c r="V125">
        <v>15</v>
      </c>
      <c r="W125" s="2">
        <v>0</v>
      </c>
    </row>
    <row r="126" spans="1:23" x14ac:dyDescent="0.25">
      <c r="A126" t="s">
        <v>31</v>
      </c>
      <c r="B126" t="s">
        <v>32</v>
      </c>
      <c r="C126" t="s">
        <v>33</v>
      </c>
      <c r="D126" t="s">
        <v>34</v>
      </c>
      <c r="E126" t="s">
        <v>35</v>
      </c>
      <c r="F126" t="s">
        <v>36</v>
      </c>
      <c r="G126">
        <v>1141685</v>
      </c>
      <c r="H126" t="s">
        <v>86</v>
      </c>
      <c r="I126" t="s">
        <v>42</v>
      </c>
      <c r="J126" t="s">
        <v>86</v>
      </c>
      <c r="K126" t="s">
        <v>124</v>
      </c>
      <c r="L126" s="1">
        <v>46143</v>
      </c>
      <c r="M126" s="1">
        <v>46173</v>
      </c>
      <c r="N126">
        <v>5.9000000000000003E-4</v>
      </c>
      <c r="O126" t="s">
        <v>135</v>
      </c>
      <c r="P126" t="s">
        <v>63</v>
      </c>
      <c r="Q126" t="s">
        <v>2300</v>
      </c>
      <c r="R126" t="s">
        <v>2321</v>
      </c>
      <c r="S126" t="s">
        <v>67</v>
      </c>
      <c r="T126" t="s">
        <v>2406</v>
      </c>
      <c r="U126" t="s">
        <v>2551</v>
      </c>
      <c r="V126">
        <v>17</v>
      </c>
      <c r="W126" s="2">
        <v>202.88245467199999</v>
      </c>
    </row>
    <row r="127" spans="1:23" x14ac:dyDescent="0.25">
      <c r="A127" t="s">
        <v>31</v>
      </c>
      <c r="B127" t="s">
        <v>32</v>
      </c>
      <c r="C127" t="s">
        <v>33</v>
      </c>
      <c r="D127" t="s">
        <v>34</v>
      </c>
      <c r="E127" t="s">
        <v>35</v>
      </c>
      <c r="F127" t="s">
        <v>36</v>
      </c>
      <c r="G127">
        <v>1141685</v>
      </c>
      <c r="H127" t="s">
        <v>75</v>
      </c>
      <c r="I127" t="s">
        <v>94</v>
      </c>
      <c r="J127" t="s">
        <v>98</v>
      </c>
      <c r="K127" t="s">
        <v>108</v>
      </c>
      <c r="L127" s="1">
        <v>46143</v>
      </c>
      <c r="M127" s="1">
        <v>46173</v>
      </c>
      <c r="N127">
        <v>6.7283845999999998E-3</v>
      </c>
      <c r="O127" t="s">
        <v>56</v>
      </c>
      <c r="P127" t="s">
        <v>63</v>
      </c>
      <c r="Q127" t="s">
        <v>2301</v>
      </c>
      <c r="R127" t="s">
        <v>2306</v>
      </c>
      <c r="S127" t="s">
        <v>67</v>
      </c>
      <c r="T127" t="s">
        <v>2407</v>
      </c>
      <c r="U127" t="s">
        <v>2552</v>
      </c>
      <c r="V127">
        <v>16</v>
      </c>
      <c r="W127" s="2">
        <v>12.821873740599999</v>
      </c>
    </row>
    <row r="128" spans="1:23" x14ac:dyDescent="0.25">
      <c r="A128" t="s">
        <v>31</v>
      </c>
      <c r="B128" t="s">
        <v>32</v>
      </c>
      <c r="C128" t="s">
        <v>33</v>
      </c>
      <c r="D128" t="s">
        <v>34</v>
      </c>
      <c r="E128" t="s">
        <v>35</v>
      </c>
      <c r="F128" t="s">
        <v>36</v>
      </c>
      <c r="G128">
        <v>1141685</v>
      </c>
      <c r="H128" t="s">
        <v>75</v>
      </c>
      <c r="I128" t="s">
        <v>94</v>
      </c>
      <c r="J128" t="s">
        <v>98</v>
      </c>
      <c r="K128" t="s">
        <v>108</v>
      </c>
      <c r="L128" s="1">
        <v>46143</v>
      </c>
      <c r="M128" s="1">
        <v>46173</v>
      </c>
      <c r="N128">
        <v>0.53450695150000005</v>
      </c>
      <c r="O128" t="s">
        <v>56</v>
      </c>
      <c r="P128" t="s">
        <v>63</v>
      </c>
      <c r="Q128" t="s">
        <v>2301</v>
      </c>
      <c r="R128" t="s">
        <v>2305</v>
      </c>
      <c r="S128" t="s">
        <v>67</v>
      </c>
      <c r="T128" t="s">
        <v>2408</v>
      </c>
      <c r="U128" t="s">
        <v>2553</v>
      </c>
      <c r="V128">
        <v>15</v>
      </c>
      <c r="W128" s="2">
        <v>1020.3326110053</v>
      </c>
    </row>
    <row r="129" spans="1:23" x14ac:dyDescent="0.25">
      <c r="A129" t="s">
        <v>31</v>
      </c>
      <c r="B129" t="s">
        <v>32</v>
      </c>
      <c r="C129" t="s">
        <v>33</v>
      </c>
      <c r="D129" t="s">
        <v>34</v>
      </c>
      <c r="E129" t="s">
        <v>35</v>
      </c>
      <c r="F129" t="s">
        <v>36</v>
      </c>
      <c r="G129">
        <v>1141685</v>
      </c>
      <c r="H129" t="s">
        <v>75</v>
      </c>
      <c r="I129" t="s">
        <v>94</v>
      </c>
      <c r="J129" t="s">
        <v>98</v>
      </c>
      <c r="K129" t="s">
        <v>108</v>
      </c>
      <c r="L129" s="1">
        <v>46143</v>
      </c>
      <c r="M129" s="1">
        <v>46173</v>
      </c>
      <c r="N129">
        <v>1.0184413E-3</v>
      </c>
      <c r="O129" t="s">
        <v>56</v>
      </c>
      <c r="P129" t="s">
        <v>63</v>
      </c>
      <c r="Q129" t="s">
        <v>2301</v>
      </c>
      <c r="R129" t="s">
        <v>2305</v>
      </c>
      <c r="S129" t="s">
        <v>67</v>
      </c>
      <c r="T129" t="s">
        <v>2409</v>
      </c>
      <c r="U129" t="s">
        <v>2554</v>
      </c>
      <c r="V129">
        <v>16</v>
      </c>
      <c r="W129" s="2">
        <v>2.1362719298999999</v>
      </c>
    </row>
    <row r="130" spans="1:23" x14ac:dyDescent="0.25">
      <c r="A130" t="s">
        <v>31</v>
      </c>
      <c r="B130" t="s">
        <v>32</v>
      </c>
      <c r="C130" t="s">
        <v>33</v>
      </c>
      <c r="D130" t="s">
        <v>34</v>
      </c>
      <c r="E130" t="s">
        <v>35</v>
      </c>
      <c r="F130" t="s">
        <v>36</v>
      </c>
      <c r="G130">
        <v>1141685</v>
      </c>
      <c r="H130" t="s">
        <v>75</v>
      </c>
      <c r="I130" t="s">
        <v>94</v>
      </c>
      <c r="J130" t="s">
        <v>98</v>
      </c>
      <c r="K130" t="s">
        <v>108</v>
      </c>
      <c r="L130" s="1">
        <v>46143</v>
      </c>
      <c r="M130" s="1">
        <v>46173</v>
      </c>
      <c r="N130">
        <v>6.0247000000000001E-6</v>
      </c>
      <c r="O130" t="s">
        <v>56</v>
      </c>
      <c r="P130" t="s">
        <v>63</v>
      </c>
      <c r="Q130" t="s">
        <v>2301</v>
      </c>
      <c r="R130" t="s">
        <v>2304</v>
      </c>
      <c r="S130" t="s">
        <v>67</v>
      </c>
      <c r="T130" t="s">
        <v>2410</v>
      </c>
      <c r="U130" t="s">
        <v>2555</v>
      </c>
      <c r="V130">
        <v>16</v>
      </c>
      <c r="W130" s="2">
        <v>1.10993377E-2</v>
      </c>
    </row>
    <row r="131" spans="1:23" x14ac:dyDescent="0.25">
      <c r="A131" t="s">
        <v>31</v>
      </c>
      <c r="B131" t="s">
        <v>32</v>
      </c>
      <c r="C131" t="s">
        <v>33</v>
      </c>
      <c r="D131" t="s">
        <v>34</v>
      </c>
      <c r="E131" t="s">
        <v>35</v>
      </c>
      <c r="F131" t="s">
        <v>36</v>
      </c>
      <c r="G131">
        <v>1141685</v>
      </c>
      <c r="H131" t="s">
        <v>75</v>
      </c>
      <c r="I131" t="s">
        <v>94</v>
      </c>
      <c r="J131" t="s">
        <v>98</v>
      </c>
      <c r="K131" t="s">
        <v>108</v>
      </c>
      <c r="L131" s="1">
        <v>46143</v>
      </c>
      <c r="M131" s="1">
        <v>46173</v>
      </c>
      <c r="N131">
        <v>0.22800175189999999</v>
      </c>
      <c r="O131" t="s">
        <v>56</v>
      </c>
      <c r="P131" t="s">
        <v>63</v>
      </c>
      <c r="Q131" t="s">
        <v>2301</v>
      </c>
      <c r="R131" t="s">
        <v>2304</v>
      </c>
      <c r="S131" t="s">
        <v>67</v>
      </c>
      <c r="T131" t="s">
        <v>2411</v>
      </c>
      <c r="U131" t="s">
        <v>2556</v>
      </c>
      <c r="V131">
        <v>16</v>
      </c>
      <c r="W131" s="2">
        <v>477.32708038689998</v>
      </c>
    </row>
    <row r="132" spans="1:23" x14ac:dyDescent="0.25">
      <c r="A132" t="s">
        <v>31</v>
      </c>
      <c r="B132" t="s">
        <v>32</v>
      </c>
      <c r="C132" t="s">
        <v>33</v>
      </c>
      <c r="D132" t="s">
        <v>34</v>
      </c>
      <c r="E132" t="s">
        <v>35</v>
      </c>
      <c r="F132" t="s">
        <v>36</v>
      </c>
      <c r="G132">
        <v>1141685</v>
      </c>
      <c r="H132" t="s">
        <v>75</v>
      </c>
      <c r="I132" t="s">
        <v>94</v>
      </c>
      <c r="J132" t="s">
        <v>98</v>
      </c>
      <c r="K132" t="s">
        <v>108</v>
      </c>
      <c r="L132" s="1">
        <v>46143</v>
      </c>
      <c r="M132" s="1">
        <v>46173</v>
      </c>
      <c r="N132">
        <v>1.1493729999999999E-4</v>
      </c>
      <c r="O132" t="s">
        <v>56</v>
      </c>
      <c r="P132" t="s">
        <v>63</v>
      </c>
      <c r="Q132" t="s">
        <v>2301</v>
      </c>
      <c r="R132" t="s">
        <v>2305</v>
      </c>
      <c r="S132" t="s">
        <v>67</v>
      </c>
      <c r="T132" t="s">
        <v>2412</v>
      </c>
      <c r="U132" t="s">
        <v>2557</v>
      </c>
      <c r="V132">
        <v>16</v>
      </c>
      <c r="W132" s="2">
        <v>0.24174873559999999</v>
      </c>
    </row>
    <row r="133" spans="1:23" x14ac:dyDescent="0.25">
      <c r="A133" t="s">
        <v>31</v>
      </c>
      <c r="B133" t="s">
        <v>32</v>
      </c>
      <c r="C133" t="s">
        <v>33</v>
      </c>
      <c r="D133" t="s">
        <v>34</v>
      </c>
      <c r="E133" t="s">
        <v>35</v>
      </c>
      <c r="F133" t="s">
        <v>36</v>
      </c>
      <c r="G133">
        <v>1141685</v>
      </c>
      <c r="H133" t="s">
        <v>77</v>
      </c>
      <c r="I133" t="s">
        <v>96</v>
      </c>
      <c r="J133" t="s">
        <v>77</v>
      </c>
      <c r="K133" t="s">
        <v>113</v>
      </c>
      <c r="L133" s="1">
        <v>46143</v>
      </c>
      <c r="M133" s="1">
        <v>46173</v>
      </c>
      <c r="N133">
        <v>117.7301204856</v>
      </c>
      <c r="O133" t="s">
        <v>56</v>
      </c>
      <c r="P133" t="s">
        <v>63</v>
      </c>
      <c r="Q133" t="s">
        <v>2301</v>
      </c>
      <c r="R133" t="s">
        <v>2304</v>
      </c>
      <c r="S133" t="s">
        <v>67</v>
      </c>
      <c r="T133" t="s">
        <v>2413</v>
      </c>
      <c r="U133" t="s">
        <v>2558</v>
      </c>
      <c r="V133">
        <v>16</v>
      </c>
      <c r="W133" s="2">
        <v>20539.193201535101</v>
      </c>
    </row>
    <row r="134" spans="1:23" x14ac:dyDescent="0.25">
      <c r="A134" t="s">
        <v>31</v>
      </c>
      <c r="B134" t="s">
        <v>32</v>
      </c>
      <c r="C134" t="s">
        <v>33</v>
      </c>
      <c r="D134" t="s">
        <v>34</v>
      </c>
      <c r="E134" t="s">
        <v>35</v>
      </c>
      <c r="F134" t="s">
        <v>36</v>
      </c>
      <c r="G134">
        <v>1141685</v>
      </c>
      <c r="H134" t="s">
        <v>77</v>
      </c>
      <c r="I134" t="s">
        <v>96</v>
      </c>
      <c r="J134" t="s">
        <v>77</v>
      </c>
      <c r="K134" t="s">
        <v>113</v>
      </c>
      <c r="L134" s="1">
        <v>46143</v>
      </c>
      <c r="M134" s="1">
        <v>46173</v>
      </c>
      <c r="N134">
        <v>28.658056655900001</v>
      </c>
      <c r="O134" t="s">
        <v>56</v>
      </c>
      <c r="P134" t="s">
        <v>63</v>
      </c>
      <c r="Q134" t="s">
        <v>2301</v>
      </c>
      <c r="R134" t="s">
        <v>2304</v>
      </c>
      <c r="S134" t="s">
        <v>67</v>
      </c>
      <c r="T134" t="s">
        <v>2414</v>
      </c>
      <c r="U134" t="s">
        <v>2559</v>
      </c>
      <c r="V134">
        <v>15</v>
      </c>
      <c r="W134" s="2">
        <v>4999.6824164854997</v>
      </c>
    </row>
    <row r="135" spans="1:23" x14ac:dyDescent="0.25">
      <c r="A135" t="s">
        <v>31</v>
      </c>
      <c r="B135" t="s">
        <v>32</v>
      </c>
      <c r="C135" t="s">
        <v>33</v>
      </c>
      <c r="D135" t="s">
        <v>34</v>
      </c>
      <c r="E135" t="s">
        <v>35</v>
      </c>
      <c r="F135" t="s">
        <v>36</v>
      </c>
      <c r="G135">
        <v>1141685</v>
      </c>
      <c r="H135" t="s">
        <v>75</v>
      </c>
      <c r="I135" t="s">
        <v>94</v>
      </c>
      <c r="J135" t="s">
        <v>98</v>
      </c>
      <c r="K135" t="s">
        <v>108</v>
      </c>
      <c r="L135" s="1">
        <v>46143</v>
      </c>
      <c r="M135" s="1">
        <v>46173</v>
      </c>
      <c r="N135">
        <v>1.1429200000000001E-5</v>
      </c>
      <c r="O135" t="s">
        <v>56</v>
      </c>
      <c r="P135" t="s">
        <v>63</v>
      </c>
      <c r="Q135" t="s">
        <v>2301</v>
      </c>
      <c r="R135" t="s">
        <v>2304</v>
      </c>
      <c r="S135" t="s">
        <v>67</v>
      </c>
      <c r="T135" t="s">
        <v>2415</v>
      </c>
      <c r="U135" t="s">
        <v>2560</v>
      </c>
      <c r="V135">
        <v>16</v>
      </c>
      <c r="W135" s="2">
        <v>2.1055970399999999E-2</v>
      </c>
    </row>
    <row r="136" spans="1:23" x14ac:dyDescent="0.25">
      <c r="A136" t="s">
        <v>31</v>
      </c>
      <c r="B136" t="s">
        <v>32</v>
      </c>
      <c r="C136" t="s">
        <v>33</v>
      </c>
      <c r="D136" t="s">
        <v>34</v>
      </c>
      <c r="E136" t="s">
        <v>35</v>
      </c>
      <c r="F136" t="s">
        <v>36</v>
      </c>
      <c r="G136">
        <v>1141685</v>
      </c>
      <c r="H136" t="s">
        <v>75</v>
      </c>
      <c r="I136" t="s">
        <v>94</v>
      </c>
      <c r="J136" t="s">
        <v>98</v>
      </c>
      <c r="K136" t="s">
        <v>108</v>
      </c>
      <c r="L136" s="1">
        <v>46143</v>
      </c>
      <c r="M136" s="1">
        <v>46173</v>
      </c>
      <c r="N136">
        <v>4.9136825799999999E-2</v>
      </c>
      <c r="O136" t="s">
        <v>56</v>
      </c>
      <c r="P136" t="s">
        <v>63</v>
      </c>
      <c r="Q136" t="s">
        <v>2301</v>
      </c>
      <c r="R136" t="s">
        <v>2304</v>
      </c>
      <c r="S136" t="s">
        <v>67</v>
      </c>
      <c r="T136" t="s">
        <v>2416</v>
      </c>
      <c r="U136" t="s">
        <v>2561</v>
      </c>
      <c r="V136">
        <v>15</v>
      </c>
      <c r="W136" s="2">
        <v>97.240784576099998</v>
      </c>
    </row>
    <row r="137" spans="1:23" x14ac:dyDescent="0.25">
      <c r="A137" t="s">
        <v>31</v>
      </c>
      <c r="B137" t="s">
        <v>32</v>
      </c>
      <c r="C137" t="s">
        <v>33</v>
      </c>
      <c r="D137" t="s">
        <v>34</v>
      </c>
      <c r="E137" t="s">
        <v>35</v>
      </c>
      <c r="F137" t="s">
        <v>36</v>
      </c>
      <c r="G137">
        <v>1141685</v>
      </c>
      <c r="H137" t="s">
        <v>75</v>
      </c>
      <c r="I137" t="s">
        <v>94</v>
      </c>
      <c r="J137" t="s">
        <v>98</v>
      </c>
      <c r="K137" t="s">
        <v>108</v>
      </c>
      <c r="L137" s="1">
        <v>46143</v>
      </c>
      <c r="M137" s="1">
        <v>46173</v>
      </c>
      <c r="N137">
        <v>5.3905595100000002E-2</v>
      </c>
      <c r="O137" t="s">
        <v>56</v>
      </c>
      <c r="P137" t="s">
        <v>63</v>
      </c>
      <c r="Q137" t="s">
        <v>2301</v>
      </c>
      <c r="R137" t="s">
        <v>2304</v>
      </c>
      <c r="S137" t="s">
        <v>67</v>
      </c>
      <c r="T137" t="s">
        <v>2417</v>
      </c>
      <c r="U137" t="s">
        <v>2562</v>
      </c>
      <c r="V137">
        <v>15</v>
      </c>
      <c r="W137" s="2">
        <v>106.02951601549999</v>
      </c>
    </row>
    <row r="138" spans="1:23" x14ac:dyDescent="0.25">
      <c r="A138" t="s">
        <v>31</v>
      </c>
      <c r="B138" t="s">
        <v>32</v>
      </c>
      <c r="C138" t="s">
        <v>33</v>
      </c>
      <c r="D138" t="s">
        <v>34</v>
      </c>
      <c r="E138" t="s">
        <v>35</v>
      </c>
      <c r="F138" t="s">
        <v>36</v>
      </c>
      <c r="G138">
        <v>1141685</v>
      </c>
      <c r="H138" t="s">
        <v>91</v>
      </c>
      <c r="I138" t="s">
        <v>95</v>
      </c>
      <c r="J138" t="s">
        <v>106</v>
      </c>
      <c r="K138" t="s">
        <v>479</v>
      </c>
      <c r="L138" s="1">
        <v>46143</v>
      </c>
      <c r="M138" s="1">
        <v>46173</v>
      </c>
      <c r="N138">
        <v>1</v>
      </c>
      <c r="O138" t="s">
        <v>58</v>
      </c>
      <c r="P138" t="s">
        <v>63</v>
      </c>
      <c r="Q138" t="s">
        <v>2300</v>
      </c>
      <c r="R138" t="s">
        <v>2304</v>
      </c>
      <c r="S138" t="s">
        <v>67</v>
      </c>
      <c r="T138" t="s">
        <v>2405</v>
      </c>
      <c r="U138" t="s">
        <v>2550</v>
      </c>
      <c r="V138">
        <v>16</v>
      </c>
      <c r="W138" s="2">
        <v>4361.5</v>
      </c>
    </row>
    <row r="139" spans="1:23" x14ac:dyDescent="0.25">
      <c r="A139" t="s">
        <v>31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>
        <v>1141685</v>
      </c>
      <c r="H139" t="s">
        <v>76</v>
      </c>
      <c r="I139" t="s">
        <v>95</v>
      </c>
      <c r="J139" t="s">
        <v>99</v>
      </c>
      <c r="K139" t="s">
        <v>109</v>
      </c>
      <c r="L139" s="1">
        <v>46143</v>
      </c>
      <c r="M139" s="1">
        <v>46173</v>
      </c>
      <c r="N139">
        <v>6.8834710000000001</v>
      </c>
      <c r="O139" t="s">
        <v>58</v>
      </c>
      <c r="P139" t="s">
        <v>63</v>
      </c>
      <c r="Q139" t="s">
        <v>2300</v>
      </c>
      <c r="R139" t="s">
        <v>2305</v>
      </c>
      <c r="S139" t="s">
        <v>67</v>
      </c>
      <c r="T139" t="s">
        <v>2342</v>
      </c>
      <c r="U139" t="s">
        <v>2487</v>
      </c>
      <c r="V139">
        <v>16</v>
      </c>
      <c r="W139" s="2">
        <v>0</v>
      </c>
    </row>
    <row r="140" spans="1:23" x14ac:dyDescent="0.25">
      <c r="A140" t="s">
        <v>31</v>
      </c>
      <c r="B140" t="s">
        <v>32</v>
      </c>
      <c r="C140" t="s">
        <v>33</v>
      </c>
      <c r="D140" t="s">
        <v>34</v>
      </c>
      <c r="E140" t="s">
        <v>35</v>
      </c>
      <c r="F140" t="s">
        <v>36</v>
      </c>
      <c r="G140">
        <v>1141685</v>
      </c>
      <c r="H140" t="s">
        <v>76</v>
      </c>
      <c r="I140" t="s">
        <v>95</v>
      </c>
      <c r="J140" t="s">
        <v>99</v>
      </c>
      <c r="K140" t="s">
        <v>109</v>
      </c>
      <c r="L140" s="1">
        <v>46143</v>
      </c>
      <c r="M140" s="1">
        <v>46173</v>
      </c>
      <c r="N140">
        <v>3.3293999999999997E-2</v>
      </c>
      <c r="O140" t="s">
        <v>58</v>
      </c>
      <c r="P140" t="s">
        <v>63</v>
      </c>
      <c r="Q140" t="s">
        <v>2300</v>
      </c>
      <c r="R140" t="s">
        <v>2305</v>
      </c>
      <c r="S140" t="s">
        <v>67</v>
      </c>
      <c r="T140" t="s">
        <v>2342</v>
      </c>
      <c r="U140" t="s">
        <v>2487</v>
      </c>
      <c r="V140">
        <v>16</v>
      </c>
      <c r="W140" s="2">
        <v>0</v>
      </c>
    </row>
    <row r="141" spans="1:23" x14ac:dyDescent="0.25">
      <c r="A141" t="s">
        <v>31</v>
      </c>
      <c r="B141" t="s">
        <v>32</v>
      </c>
      <c r="C141" t="s">
        <v>33</v>
      </c>
      <c r="D141" t="s">
        <v>34</v>
      </c>
      <c r="E141" t="s">
        <v>35</v>
      </c>
      <c r="F141" t="s">
        <v>36</v>
      </c>
      <c r="G141">
        <v>1141685</v>
      </c>
      <c r="H141" t="s">
        <v>76</v>
      </c>
      <c r="I141" t="s">
        <v>95</v>
      </c>
      <c r="J141" t="s">
        <v>99</v>
      </c>
      <c r="K141" t="s">
        <v>109</v>
      </c>
      <c r="L141" s="1">
        <v>46143</v>
      </c>
      <c r="M141" s="1">
        <v>46173</v>
      </c>
      <c r="N141">
        <v>163.96670599999999</v>
      </c>
      <c r="O141" t="s">
        <v>58</v>
      </c>
      <c r="P141" t="s">
        <v>63</v>
      </c>
      <c r="Q141" t="s">
        <v>2300</v>
      </c>
      <c r="R141" t="s">
        <v>2305</v>
      </c>
      <c r="S141" t="s">
        <v>67</v>
      </c>
      <c r="T141" t="s">
        <v>2342</v>
      </c>
      <c r="U141" t="s">
        <v>2487</v>
      </c>
      <c r="V141">
        <v>16</v>
      </c>
      <c r="W141" s="2">
        <v>0</v>
      </c>
    </row>
    <row r="142" spans="1:23" x14ac:dyDescent="0.25">
      <c r="A142" t="s">
        <v>31</v>
      </c>
      <c r="B142" t="s">
        <v>32</v>
      </c>
      <c r="C142" t="s">
        <v>33</v>
      </c>
      <c r="D142" t="s">
        <v>34</v>
      </c>
      <c r="E142" t="s">
        <v>35</v>
      </c>
      <c r="F142" t="s">
        <v>36</v>
      </c>
      <c r="G142">
        <v>1141685</v>
      </c>
      <c r="H142" t="s">
        <v>76</v>
      </c>
      <c r="I142" t="s">
        <v>95</v>
      </c>
      <c r="J142" t="s">
        <v>99</v>
      </c>
      <c r="K142" t="s">
        <v>109</v>
      </c>
      <c r="L142" s="1">
        <v>46143</v>
      </c>
      <c r="M142" s="1">
        <v>46173</v>
      </c>
      <c r="N142">
        <v>0.26667099999999999</v>
      </c>
      <c r="O142" t="s">
        <v>58</v>
      </c>
      <c r="P142" t="s">
        <v>63</v>
      </c>
      <c r="Q142" t="s">
        <v>2300</v>
      </c>
      <c r="R142" t="s">
        <v>2305</v>
      </c>
      <c r="S142" t="s">
        <v>67</v>
      </c>
      <c r="T142" t="s">
        <v>2342</v>
      </c>
      <c r="U142" t="s">
        <v>2487</v>
      </c>
      <c r="V142">
        <v>16</v>
      </c>
      <c r="W142" s="2">
        <v>0</v>
      </c>
    </row>
    <row r="143" spans="1:23" x14ac:dyDescent="0.25">
      <c r="A143" t="s">
        <v>31</v>
      </c>
      <c r="B143" t="s">
        <v>32</v>
      </c>
      <c r="C143" t="s">
        <v>33</v>
      </c>
      <c r="D143" t="s">
        <v>34</v>
      </c>
      <c r="E143" t="s">
        <v>35</v>
      </c>
      <c r="F143" t="s">
        <v>36</v>
      </c>
      <c r="G143">
        <v>1141685</v>
      </c>
      <c r="H143" t="s">
        <v>38</v>
      </c>
      <c r="I143" t="s">
        <v>38</v>
      </c>
      <c r="J143" t="s">
        <v>38</v>
      </c>
      <c r="K143" t="s">
        <v>53</v>
      </c>
      <c r="L143" s="1">
        <v>46143</v>
      </c>
      <c r="M143" s="1">
        <v>46173</v>
      </c>
      <c r="N143">
        <v>1.8340942499999999E-2</v>
      </c>
      <c r="O143" t="s">
        <v>57</v>
      </c>
      <c r="P143" t="s">
        <v>63</v>
      </c>
      <c r="Q143" t="s">
        <v>2303</v>
      </c>
      <c r="R143" t="s">
        <v>2309</v>
      </c>
      <c r="S143" t="s">
        <v>66</v>
      </c>
      <c r="T143" t="s">
        <v>2418</v>
      </c>
      <c r="U143" t="s">
        <v>2563</v>
      </c>
      <c r="V143">
        <v>6</v>
      </c>
      <c r="W143" s="2">
        <v>44.923684880700002</v>
      </c>
    </row>
    <row r="144" spans="1:23" x14ac:dyDescent="0.25">
      <c r="A144" t="s">
        <v>31</v>
      </c>
      <c r="B144" t="s">
        <v>32</v>
      </c>
      <c r="C144" t="s">
        <v>33</v>
      </c>
      <c r="D144" t="s">
        <v>34</v>
      </c>
      <c r="E144" t="s">
        <v>35</v>
      </c>
      <c r="F144" t="s">
        <v>36</v>
      </c>
      <c r="G144">
        <v>1141685</v>
      </c>
      <c r="H144" t="s">
        <v>76</v>
      </c>
      <c r="I144" t="s">
        <v>95</v>
      </c>
      <c r="J144" t="s">
        <v>99</v>
      </c>
      <c r="K144" t="s">
        <v>109</v>
      </c>
      <c r="L144" s="1">
        <v>46143</v>
      </c>
      <c r="M144" s="1">
        <v>46173</v>
      </c>
      <c r="N144">
        <v>3.550211</v>
      </c>
      <c r="O144" t="s">
        <v>58</v>
      </c>
      <c r="P144" t="s">
        <v>63</v>
      </c>
      <c r="Q144" t="s">
        <v>2300</v>
      </c>
      <c r="R144" t="s">
        <v>2304</v>
      </c>
      <c r="S144" t="s">
        <v>67</v>
      </c>
      <c r="T144" t="s">
        <v>2326</v>
      </c>
      <c r="U144" t="s">
        <v>2471</v>
      </c>
      <c r="V144">
        <v>16</v>
      </c>
      <c r="W144" s="2">
        <v>0</v>
      </c>
    </row>
    <row r="145" spans="1:23" x14ac:dyDescent="0.25">
      <c r="A145" t="s">
        <v>31</v>
      </c>
      <c r="B145" t="s">
        <v>32</v>
      </c>
      <c r="C145" t="s">
        <v>33</v>
      </c>
      <c r="D145" t="s">
        <v>34</v>
      </c>
      <c r="E145" t="s">
        <v>35</v>
      </c>
      <c r="F145" t="s">
        <v>36</v>
      </c>
      <c r="G145">
        <v>1141685</v>
      </c>
      <c r="H145" t="s">
        <v>76</v>
      </c>
      <c r="I145" t="s">
        <v>95</v>
      </c>
      <c r="J145" t="s">
        <v>99</v>
      </c>
      <c r="K145" t="s">
        <v>109</v>
      </c>
      <c r="L145" s="1">
        <v>46143</v>
      </c>
      <c r="M145" s="1">
        <v>46173</v>
      </c>
      <c r="N145">
        <v>2</v>
      </c>
      <c r="O145" t="s">
        <v>58</v>
      </c>
      <c r="P145" t="s">
        <v>63</v>
      </c>
      <c r="Q145" t="s">
        <v>2300</v>
      </c>
      <c r="R145" t="s">
        <v>2304</v>
      </c>
      <c r="S145" t="s">
        <v>67</v>
      </c>
      <c r="T145" t="s">
        <v>2326</v>
      </c>
      <c r="U145" t="s">
        <v>2471</v>
      </c>
      <c r="V145">
        <v>16</v>
      </c>
      <c r="W145" s="2">
        <v>0</v>
      </c>
    </row>
    <row r="146" spans="1:23" x14ac:dyDescent="0.25">
      <c r="A146" t="s">
        <v>31</v>
      </c>
      <c r="B146" t="s">
        <v>32</v>
      </c>
      <c r="C146" t="s">
        <v>33</v>
      </c>
      <c r="D146" t="s">
        <v>34</v>
      </c>
      <c r="E146" t="s">
        <v>35</v>
      </c>
      <c r="F146" t="s">
        <v>36</v>
      </c>
      <c r="G146">
        <v>1141685</v>
      </c>
      <c r="H146" t="s">
        <v>76</v>
      </c>
      <c r="I146" t="s">
        <v>95</v>
      </c>
      <c r="J146" t="s">
        <v>99</v>
      </c>
      <c r="K146" t="s">
        <v>109</v>
      </c>
      <c r="L146" s="1">
        <v>46143</v>
      </c>
      <c r="M146" s="1">
        <v>46173</v>
      </c>
      <c r="N146">
        <v>0.983352</v>
      </c>
      <c r="O146" t="s">
        <v>58</v>
      </c>
      <c r="P146" t="s">
        <v>63</v>
      </c>
      <c r="Q146" t="s">
        <v>2300</v>
      </c>
      <c r="R146" t="s">
        <v>2304</v>
      </c>
      <c r="S146" t="s">
        <v>67</v>
      </c>
      <c r="T146" t="s">
        <v>2326</v>
      </c>
      <c r="U146" t="s">
        <v>2471</v>
      </c>
      <c r="V146">
        <v>16</v>
      </c>
      <c r="W146" s="2">
        <v>0</v>
      </c>
    </row>
    <row r="147" spans="1:23" x14ac:dyDescent="0.25">
      <c r="A147" t="s">
        <v>31</v>
      </c>
      <c r="B147" t="s">
        <v>32</v>
      </c>
      <c r="C147" t="s">
        <v>33</v>
      </c>
      <c r="D147" t="s">
        <v>34</v>
      </c>
      <c r="E147" t="s">
        <v>35</v>
      </c>
      <c r="F147" t="s">
        <v>36</v>
      </c>
      <c r="G147">
        <v>1141685</v>
      </c>
      <c r="H147" t="s">
        <v>76</v>
      </c>
      <c r="I147" t="s">
        <v>95</v>
      </c>
      <c r="J147" t="s">
        <v>99</v>
      </c>
      <c r="K147" t="s">
        <v>109</v>
      </c>
      <c r="L147" s="1">
        <v>46143</v>
      </c>
      <c r="M147" s="1">
        <v>46173</v>
      </c>
      <c r="N147">
        <v>7.400906</v>
      </c>
      <c r="O147" t="s">
        <v>58</v>
      </c>
      <c r="P147" t="s">
        <v>63</v>
      </c>
      <c r="Q147" t="s">
        <v>2300</v>
      </c>
      <c r="R147" t="s">
        <v>2304</v>
      </c>
      <c r="S147" t="s">
        <v>67</v>
      </c>
      <c r="T147" t="s">
        <v>2352</v>
      </c>
      <c r="U147" t="s">
        <v>2497</v>
      </c>
      <c r="V147">
        <v>15</v>
      </c>
      <c r="W147" s="2">
        <v>0</v>
      </c>
    </row>
    <row r="148" spans="1:23" x14ac:dyDescent="0.25">
      <c r="A148" t="s">
        <v>31</v>
      </c>
      <c r="B148" t="s">
        <v>32</v>
      </c>
      <c r="C148" t="s">
        <v>33</v>
      </c>
      <c r="D148" t="s">
        <v>34</v>
      </c>
      <c r="E148" t="s">
        <v>35</v>
      </c>
      <c r="F148" t="s">
        <v>36</v>
      </c>
      <c r="G148">
        <v>1141685</v>
      </c>
      <c r="H148" t="s">
        <v>76</v>
      </c>
      <c r="I148" t="s">
        <v>95</v>
      </c>
      <c r="J148" t="s">
        <v>99</v>
      </c>
      <c r="K148" t="s">
        <v>109</v>
      </c>
      <c r="L148" s="1">
        <v>46143</v>
      </c>
      <c r="M148" s="1">
        <v>46173</v>
      </c>
      <c r="N148">
        <v>64.899317999999994</v>
      </c>
      <c r="O148" t="s">
        <v>58</v>
      </c>
      <c r="P148" t="s">
        <v>63</v>
      </c>
      <c r="Q148" t="s">
        <v>2300</v>
      </c>
      <c r="R148" t="s">
        <v>2304</v>
      </c>
      <c r="S148" t="s">
        <v>67</v>
      </c>
      <c r="T148" t="s">
        <v>2326</v>
      </c>
      <c r="U148" t="s">
        <v>2471</v>
      </c>
      <c r="V148">
        <v>16</v>
      </c>
      <c r="W148" s="2">
        <v>0</v>
      </c>
    </row>
    <row r="149" spans="1:23" x14ac:dyDescent="0.25">
      <c r="A149" t="s">
        <v>31</v>
      </c>
      <c r="B149" t="s">
        <v>32</v>
      </c>
      <c r="C149" t="s">
        <v>33</v>
      </c>
      <c r="D149" t="s">
        <v>34</v>
      </c>
      <c r="E149" t="s">
        <v>35</v>
      </c>
      <c r="F149" t="s">
        <v>36</v>
      </c>
      <c r="G149">
        <v>1141685</v>
      </c>
      <c r="H149" t="s">
        <v>75</v>
      </c>
      <c r="I149" t="s">
        <v>94</v>
      </c>
      <c r="J149" t="s">
        <v>98</v>
      </c>
      <c r="K149" t="s">
        <v>108</v>
      </c>
      <c r="L149" s="1">
        <v>46143</v>
      </c>
      <c r="M149" s="1">
        <v>46173</v>
      </c>
      <c r="N149">
        <v>5.48616704E-2</v>
      </c>
      <c r="O149" t="s">
        <v>56</v>
      </c>
      <c r="P149" t="s">
        <v>63</v>
      </c>
      <c r="Q149" t="s">
        <v>2301</v>
      </c>
      <c r="R149" t="s">
        <v>2304</v>
      </c>
      <c r="S149" t="s">
        <v>67</v>
      </c>
      <c r="T149" t="s">
        <v>2419</v>
      </c>
      <c r="U149" t="s">
        <v>2564</v>
      </c>
      <c r="V149">
        <v>15</v>
      </c>
      <c r="W149" s="2">
        <v>109.5734919309</v>
      </c>
    </row>
    <row r="150" spans="1:23" x14ac:dyDescent="0.25">
      <c r="A150" t="s">
        <v>31</v>
      </c>
      <c r="B150" t="s">
        <v>32</v>
      </c>
      <c r="C150" t="s">
        <v>33</v>
      </c>
      <c r="D150" t="s">
        <v>34</v>
      </c>
      <c r="E150" t="s">
        <v>35</v>
      </c>
      <c r="F150" t="s">
        <v>36</v>
      </c>
      <c r="G150">
        <v>1141685</v>
      </c>
      <c r="H150" t="s">
        <v>79</v>
      </c>
      <c r="I150" t="s">
        <v>94</v>
      </c>
      <c r="J150" t="s">
        <v>101</v>
      </c>
      <c r="K150" t="s">
        <v>114</v>
      </c>
      <c r="L150" s="1">
        <v>46143</v>
      </c>
      <c r="M150" s="1">
        <v>46173</v>
      </c>
      <c r="N150">
        <v>2.5575198000000001E-3</v>
      </c>
      <c r="O150" t="s">
        <v>56</v>
      </c>
      <c r="P150" t="s">
        <v>63</v>
      </c>
      <c r="Q150" t="s">
        <v>2301</v>
      </c>
      <c r="R150" t="s">
        <v>2306</v>
      </c>
      <c r="S150" t="s">
        <v>67</v>
      </c>
      <c r="T150" t="s">
        <v>2420</v>
      </c>
      <c r="U150" t="s">
        <v>2565</v>
      </c>
      <c r="V150">
        <v>17</v>
      </c>
      <c r="W150" s="2">
        <v>3.5711417523</v>
      </c>
    </row>
    <row r="151" spans="1:23" x14ac:dyDescent="0.25">
      <c r="A151" t="s">
        <v>31</v>
      </c>
      <c r="B151" t="s">
        <v>32</v>
      </c>
      <c r="C151" t="s">
        <v>33</v>
      </c>
      <c r="D151" t="s">
        <v>34</v>
      </c>
      <c r="E151" t="s">
        <v>35</v>
      </c>
      <c r="F151" t="s">
        <v>36</v>
      </c>
      <c r="G151">
        <v>1141685</v>
      </c>
      <c r="H151" t="s">
        <v>79</v>
      </c>
      <c r="I151" t="s">
        <v>94</v>
      </c>
      <c r="J151" t="s">
        <v>101</v>
      </c>
      <c r="K151" t="s">
        <v>114</v>
      </c>
      <c r="L151" s="1">
        <v>46143</v>
      </c>
      <c r="M151" s="1">
        <v>46173</v>
      </c>
      <c r="N151">
        <v>1.3037267318000001</v>
      </c>
      <c r="O151" t="s">
        <v>56</v>
      </c>
      <c r="P151" t="s">
        <v>63</v>
      </c>
      <c r="Q151" t="s">
        <v>2301</v>
      </c>
      <c r="R151" t="s">
        <v>2304</v>
      </c>
      <c r="S151" t="s">
        <v>67</v>
      </c>
      <c r="T151" t="s">
        <v>2421</v>
      </c>
      <c r="U151" t="s">
        <v>2566</v>
      </c>
      <c r="V151">
        <v>16</v>
      </c>
      <c r="W151" s="2">
        <v>1819.5850860316</v>
      </c>
    </row>
    <row r="152" spans="1:23" x14ac:dyDescent="0.25">
      <c r="A152" t="s">
        <v>31</v>
      </c>
      <c r="B152" t="s">
        <v>32</v>
      </c>
      <c r="C152" t="s">
        <v>33</v>
      </c>
      <c r="D152" t="s">
        <v>34</v>
      </c>
      <c r="E152" t="s">
        <v>35</v>
      </c>
      <c r="F152" t="s">
        <v>36</v>
      </c>
      <c r="G152">
        <v>1141685</v>
      </c>
      <c r="H152" t="s">
        <v>77</v>
      </c>
      <c r="I152" t="s">
        <v>96</v>
      </c>
      <c r="J152" t="s">
        <v>77</v>
      </c>
      <c r="K152" t="s">
        <v>111</v>
      </c>
      <c r="L152" s="1">
        <v>46143</v>
      </c>
      <c r="M152" s="1">
        <v>46173</v>
      </c>
      <c r="N152">
        <v>3.2360501600000001E-2</v>
      </c>
      <c r="O152" t="s">
        <v>56</v>
      </c>
      <c r="P152" t="s">
        <v>63</v>
      </c>
      <c r="Q152" t="s">
        <v>2302</v>
      </c>
      <c r="R152" t="s">
        <v>2307</v>
      </c>
      <c r="S152" t="s">
        <v>67</v>
      </c>
      <c r="T152" t="s">
        <v>2422</v>
      </c>
      <c r="U152" t="s">
        <v>2567</v>
      </c>
      <c r="V152">
        <v>7</v>
      </c>
      <c r="W152" s="2">
        <v>5.6481395334999993</v>
      </c>
    </row>
    <row r="153" spans="1:23" x14ac:dyDescent="0.25">
      <c r="A153" t="s">
        <v>31</v>
      </c>
      <c r="B153" t="s">
        <v>32</v>
      </c>
      <c r="C153" t="s">
        <v>33</v>
      </c>
      <c r="D153" t="s">
        <v>34</v>
      </c>
      <c r="E153" t="s">
        <v>35</v>
      </c>
      <c r="F153" t="s">
        <v>36</v>
      </c>
      <c r="G153">
        <v>1141685</v>
      </c>
      <c r="H153" t="s">
        <v>75</v>
      </c>
      <c r="I153" t="s">
        <v>94</v>
      </c>
      <c r="J153" t="s">
        <v>98</v>
      </c>
      <c r="K153" t="s">
        <v>108</v>
      </c>
      <c r="L153" s="1">
        <v>46143</v>
      </c>
      <c r="M153" s="1">
        <v>46173</v>
      </c>
      <c r="N153">
        <v>2.6803499999999998E-5</v>
      </c>
      <c r="O153" t="s">
        <v>56</v>
      </c>
      <c r="P153" t="s">
        <v>63</v>
      </c>
      <c r="Q153" t="s">
        <v>2301</v>
      </c>
      <c r="R153" t="s">
        <v>2306</v>
      </c>
      <c r="S153" t="s">
        <v>67</v>
      </c>
      <c r="T153" t="s">
        <v>2423</v>
      </c>
      <c r="U153" t="s">
        <v>2568</v>
      </c>
      <c r="V153">
        <v>17</v>
      </c>
      <c r="W153" s="2">
        <v>5.93799567E-2</v>
      </c>
    </row>
    <row r="154" spans="1:23" x14ac:dyDescent="0.25">
      <c r="A154" t="s">
        <v>31</v>
      </c>
      <c r="B154" t="s">
        <v>32</v>
      </c>
      <c r="C154" t="s">
        <v>33</v>
      </c>
      <c r="D154" t="s">
        <v>34</v>
      </c>
      <c r="E154" t="s">
        <v>35</v>
      </c>
      <c r="F154" t="s">
        <v>36</v>
      </c>
      <c r="G154">
        <v>1141685</v>
      </c>
      <c r="H154" t="s">
        <v>75</v>
      </c>
      <c r="I154" t="s">
        <v>94</v>
      </c>
      <c r="J154" t="s">
        <v>98</v>
      </c>
      <c r="K154" t="s">
        <v>108</v>
      </c>
      <c r="L154" s="1">
        <v>46143</v>
      </c>
      <c r="M154" s="1">
        <v>46173</v>
      </c>
      <c r="N154">
        <v>1.1194499999999999E-5</v>
      </c>
      <c r="O154" t="s">
        <v>56</v>
      </c>
      <c r="P154" t="s">
        <v>63</v>
      </c>
      <c r="Q154" t="s">
        <v>2301</v>
      </c>
      <c r="R154" t="s">
        <v>2304</v>
      </c>
      <c r="S154" t="s">
        <v>67</v>
      </c>
      <c r="T154" t="s">
        <v>2424</v>
      </c>
      <c r="U154" t="s">
        <v>2569</v>
      </c>
      <c r="V154">
        <v>16</v>
      </c>
      <c r="W154" s="2">
        <v>2.06235954E-2</v>
      </c>
    </row>
    <row r="155" spans="1:23" x14ac:dyDescent="0.25">
      <c r="A155" t="s">
        <v>31</v>
      </c>
      <c r="B155" t="s">
        <v>32</v>
      </c>
      <c r="C155" t="s">
        <v>33</v>
      </c>
      <c r="D155" t="s">
        <v>34</v>
      </c>
      <c r="E155" t="s">
        <v>35</v>
      </c>
      <c r="F155" t="s">
        <v>36</v>
      </c>
      <c r="G155">
        <v>1141685</v>
      </c>
      <c r="H155" t="s">
        <v>82</v>
      </c>
      <c r="I155" t="s">
        <v>82</v>
      </c>
      <c r="J155" t="s">
        <v>82</v>
      </c>
      <c r="K155" t="s">
        <v>120</v>
      </c>
      <c r="L155" s="1">
        <v>46143</v>
      </c>
      <c r="M155" s="1">
        <v>46173</v>
      </c>
      <c r="N155">
        <v>1</v>
      </c>
      <c r="O155" t="s">
        <v>61</v>
      </c>
      <c r="P155" t="s">
        <v>63</v>
      </c>
      <c r="Q155" t="s">
        <v>2302</v>
      </c>
      <c r="R155" t="s">
        <v>149</v>
      </c>
      <c r="S155" t="s">
        <v>68</v>
      </c>
      <c r="T155" t="s">
        <v>2425</v>
      </c>
      <c r="U155" t="s">
        <v>2570</v>
      </c>
      <c r="V155">
        <v>7</v>
      </c>
      <c r="W155" s="2">
        <v>2691.9341720419998</v>
      </c>
    </row>
    <row r="156" spans="1:23" x14ac:dyDescent="0.25">
      <c r="A156" t="s">
        <v>31</v>
      </c>
      <c r="B156" t="s">
        <v>32</v>
      </c>
      <c r="C156" t="s">
        <v>33</v>
      </c>
      <c r="D156" t="s">
        <v>34</v>
      </c>
      <c r="E156" t="s">
        <v>35</v>
      </c>
      <c r="F156" t="s">
        <v>36</v>
      </c>
      <c r="G156">
        <v>1141685</v>
      </c>
      <c r="H156" t="s">
        <v>87</v>
      </c>
      <c r="I156" t="s">
        <v>87</v>
      </c>
      <c r="J156" t="s">
        <v>87</v>
      </c>
      <c r="K156" t="s">
        <v>131</v>
      </c>
      <c r="L156" s="1">
        <v>46143</v>
      </c>
      <c r="M156" s="1">
        <v>46173</v>
      </c>
      <c r="N156">
        <v>23.683234088100001</v>
      </c>
      <c r="O156" t="s">
        <v>56</v>
      </c>
      <c r="P156" t="s">
        <v>63</v>
      </c>
      <c r="Q156" t="s">
        <v>2301</v>
      </c>
      <c r="R156" t="s">
        <v>158</v>
      </c>
      <c r="S156" t="s">
        <v>67</v>
      </c>
      <c r="T156" t="s">
        <v>2426</v>
      </c>
      <c r="U156" t="s">
        <v>2571</v>
      </c>
      <c r="V156">
        <v>12</v>
      </c>
      <c r="W156" s="2">
        <v>2065.8918883637998</v>
      </c>
    </row>
    <row r="157" spans="1:23" x14ac:dyDescent="0.25">
      <c r="A157" t="s">
        <v>31</v>
      </c>
      <c r="B157" t="s">
        <v>32</v>
      </c>
      <c r="C157" t="s">
        <v>33</v>
      </c>
      <c r="D157" t="s">
        <v>34</v>
      </c>
      <c r="E157" t="s">
        <v>35</v>
      </c>
      <c r="F157" t="s">
        <v>36</v>
      </c>
      <c r="G157">
        <v>1141685</v>
      </c>
      <c r="H157" t="s">
        <v>75</v>
      </c>
      <c r="I157" t="s">
        <v>94</v>
      </c>
      <c r="J157" t="s">
        <v>98</v>
      </c>
      <c r="K157" t="s">
        <v>108</v>
      </c>
      <c r="L157" s="1">
        <v>46143</v>
      </c>
      <c r="M157" s="1">
        <v>46173</v>
      </c>
      <c r="N157">
        <v>0.23685883360000001</v>
      </c>
      <c r="O157" t="s">
        <v>56</v>
      </c>
      <c r="P157" t="s">
        <v>63</v>
      </c>
      <c r="Q157" t="s">
        <v>2301</v>
      </c>
      <c r="R157" t="s">
        <v>2304</v>
      </c>
      <c r="S157" t="s">
        <v>67</v>
      </c>
      <c r="T157" t="s">
        <v>2427</v>
      </c>
      <c r="U157" t="s">
        <v>2572</v>
      </c>
      <c r="V157">
        <v>16</v>
      </c>
      <c r="W157" s="2">
        <v>495.86446064289999</v>
      </c>
    </row>
    <row r="158" spans="1:23" x14ac:dyDescent="0.25">
      <c r="A158" t="s">
        <v>31</v>
      </c>
      <c r="B158" t="s">
        <v>32</v>
      </c>
      <c r="C158" t="s">
        <v>33</v>
      </c>
      <c r="D158" t="s">
        <v>34</v>
      </c>
      <c r="E158" t="s">
        <v>35</v>
      </c>
      <c r="F158" t="s">
        <v>36</v>
      </c>
      <c r="G158">
        <v>1141685</v>
      </c>
      <c r="H158" t="s">
        <v>75</v>
      </c>
      <c r="I158" t="s">
        <v>94</v>
      </c>
      <c r="J158" t="s">
        <v>98</v>
      </c>
      <c r="K158" t="s">
        <v>108</v>
      </c>
      <c r="L158" s="1">
        <v>46143</v>
      </c>
      <c r="M158" s="1">
        <v>46173</v>
      </c>
      <c r="N158">
        <v>5.1339199999999998E-5</v>
      </c>
      <c r="O158" t="s">
        <v>56</v>
      </c>
      <c r="P158" t="s">
        <v>63</v>
      </c>
      <c r="Q158" t="s">
        <v>2301</v>
      </c>
      <c r="R158" t="s">
        <v>2305</v>
      </c>
      <c r="S158" t="s">
        <v>67</v>
      </c>
      <c r="T158" t="s">
        <v>2428</v>
      </c>
      <c r="U158" t="s">
        <v>2573</v>
      </c>
      <c r="V158">
        <v>16</v>
      </c>
      <c r="W158" s="2">
        <v>0.10458200550000001</v>
      </c>
    </row>
    <row r="159" spans="1:23" x14ac:dyDescent="0.25">
      <c r="A159" t="s">
        <v>31</v>
      </c>
      <c r="B159" t="s">
        <v>32</v>
      </c>
      <c r="C159" t="s">
        <v>33</v>
      </c>
      <c r="D159" t="s">
        <v>34</v>
      </c>
      <c r="E159" t="s">
        <v>35</v>
      </c>
      <c r="F159" t="s">
        <v>36</v>
      </c>
      <c r="G159">
        <v>1141685</v>
      </c>
      <c r="H159" t="s">
        <v>82</v>
      </c>
      <c r="I159" t="s">
        <v>82</v>
      </c>
      <c r="J159" t="s">
        <v>82</v>
      </c>
      <c r="K159" t="s">
        <v>120</v>
      </c>
      <c r="L159" s="1">
        <v>46143</v>
      </c>
      <c r="M159" s="1">
        <v>46173</v>
      </c>
      <c r="N159">
        <v>1</v>
      </c>
      <c r="O159" t="s">
        <v>61</v>
      </c>
      <c r="P159" t="s">
        <v>63</v>
      </c>
      <c r="Q159" t="s">
        <v>2302</v>
      </c>
      <c r="R159" t="s">
        <v>148</v>
      </c>
      <c r="S159" t="s">
        <v>68</v>
      </c>
      <c r="T159" t="s">
        <v>2358</v>
      </c>
      <c r="U159" t="s">
        <v>2503</v>
      </c>
      <c r="V159">
        <v>7</v>
      </c>
      <c r="W159" s="2">
        <v>2691.9341720419998</v>
      </c>
    </row>
    <row r="160" spans="1:23" x14ac:dyDescent="0.25">
      <c r="A160" t="s">
        <v>31</v>
      </c>
      <c r="B160" t="s">
        <v>32</v>
      </c>
      <c r="C160" t="s">
        <v>33</v>
      </c>
      <c r="D160" t="s">
        <v>34</v>
      </c>
      <c r="E160" t="s">
        <v>35</v>
      </c>
      <c r="F160" t="s">
        <v>36</v>
      </c>
      <c r="G160">
        <v>1141685</v>
      </c>
      <c r="H160" t="s">
        <v>76</v>
      </c>
      <c r="I160" t="s">
        <v>95</v>
      </c>
      <c r="J160" t="s">
        <v>99</v>
      </c>
      <c r="K160" t="s">
        <v>109</v>
      </c>
      <c r="L160" s="1">
        <v>46143</v>
      </c>
      <c r="M160" s="1">
        <v>46173</v>
      </c>
      <c r="N160">
        <v>0.98335300000000003</v>
      </c>
      <c r="O160" t="s">
        <v>58</v>
      </c>
      <c r="P160" t="s">
        <v>63</v>
      </c>
      <c r="Q160" t="s">
        <v>2300</v>
      </c>
      <c r="R160" t="s">
        <v>2306</v>
      </c>
      <c r="S160" t="s">
        <v>67</v>
      </c>
      <c r="T160" t="s">
        <v>2344</v>
      </c>
      <c r="U160" t="s">
        <v>2489</v>
      </c>
      <c r="V160">
        <v>17</v>
      </c>
      <c r="W160" s="2">
        <v>0</v>
      </c>
    </row>
    <row r="161" spans="1:23" x14ac:dyDescent="0.25">
      <c r="A161" t="s">
        <v>31</v>
      </c>
      <c r="B161" t="s">
        <v>32</v>
      </c>
      <c r="C161" t="s">
        <v>33</v>
      </c>
      <c r="D161" t="s">
        <v>34</v>
      </c>
      <c r="E161" t="s">
        <v>35</v>
      </c>
      <c r="F161" t="s">
        <v>36</v>
      </c>
      <c r="G161">
        <v>1141685</v>
      </c>
      <c r="H161" t="s">
        <v>76</v>
      </c>
      <c r="I161" t="s">
        <v>95</v>
      </c>
      <c r="J161" t="s">
        <v>99</v>
      </c>
      <c r="K161" t="s">
        <v>109</v>
      </c>
      <c r="L161" s="1">
        <v>46143</v>
      </c>
      <c r="M161" s="1">
        <v>46173</v>
      </c>
      <c r="N161">
        <v>76</v>
      </c>
      <c r="O161" t="s">
        <v>58</v>
      </c>
      <c r="P161" t="s">
        <v>63</v>
      </c>
      <c r="Q161" t="s">
        <v>2300</v>
      </c>
      <c r="R161" t="s">
        <v>2306</v>
      </c>
      <c r="S161" t="s">
        <v>67</v>
      </c>
      <c r="T161" t="s">
        <v>2344</v>
      </c>
      <c r="U161" t="s">
        <v>2489</v>
      </c>
      <c r="V161">
        <v>17</v>
      </c>
      <c r="W161" s="2">
        <v>0</v>
      </c>
    </row>
    <row r="162" spans="1:23" x14ac:dyDescent="0.25">
      <c r="A162" t="s">
        <v>31</v>
      </c>
      <c r="B162" t="s">
        <v>32</v>
      </c>
      <c r="C162" t="s">
        <v>33</v>
      </c>
      <c r="D162" t="s">
        <v>34</v>
      </c>
      <c r="E162" t="s">
        <v>35</v>
      </c>
      <c r="F162" t="s">
        <v>36</v>
      </c>
      <c r="G162">
        <v>1141685</v>
      </c>
      <c r="H162" t="s">
        <v>76</v>
      </c>
      <c r="I162" t="s">
        <v>95</v>
      </c>
      <c r="J162" t="s">
        <v>99</v>
      </c>
      <c r="K162" t="s">
        <v>109</v>
      </c>
      <c r="L162" s="1">
        <v>46143</v>
      </c>
      <c r="M162" s="1">
        <v>46173</v>
      </c>
      <c r="N162">
        <v>1</v>
      </c>
      <c r="O162" t="s">
        <v>58</v>
      </c>
      <c r="P162" t="s">
        <v>63</v>
      </c>
      <c r="Q162" t="s">
        <v>2300</v>
      </c>
      <c r="R162" t="s">
        <v>2306</v>
      </c>
      <c r="S162" t="s">
        <v>67</v>
      </c>
      <c r="T162" t="s">
        <v>2344</v>
      </c>
      <c r="U162" t="s">
        <v>2489</v>
      </c>
      <c r="V162">
        <v>17</v>
      </c>
      <c r="W162" s="2">
        <v>0</v>
      </c>
    </row>
    <row r="163" spans="1:23" x14ac:dyDescent="0.25">
      <c r="A163" t="s">
        <v>31</v>
      </c>
      <c r="B163" t="s">
        <v>32</v>
      </c>
      <c r="C163" t="s">
        <v>33</v>
      </c>
      <c r="D163" t="s">
        <v>34</v>
      </c>
      <c r="E163" t="s">
        <v>35</v>
      </c>
      <c r="F163" t="s">
        <v>36</v>
      </c>
      <c r="G163">
        <v>1141685</v>
      </c>
      <c r="H163" t="s">
        <v>76</v>
      </c>
      <c r="I163" t="s">
        <v>95</v>
      </c>
      <c r="J163" t="s">
        <v>99</v>
      </c>
      <c r="K163" t="s">
        <v>109</v>
      </c>
      <c r="L163" s="1">
        <v>46143</v>
      </c>
      <c r="M163" s="1">
        <v>46173</v>
      </c>
      <c r="N163">
        <v>0.98335300000000003</v>
      </c>
      <c r="O163" t="s">
        <v>58</v>
      </c>
      <c r="P163" t="s">
        <v>63</v>
      </c>
      <c r="Q163" t="s">
        <v>2300</v>
      </c>
      <c r="R163" t="s">
        <v>2304</v>
      </c>
      <c r="S163" t="s">
        <v>67</v>
      </c>
      <c r="T163" t="s">
        <v>2326</v>
      </c>
      <c r="U163" t="s">
        <v>2471</v>
      </c>
      <c r="V163">
        <v>16</v>
      </c>
      <c r="W163" s="2">
        <v>0</v>
      </c>
    </row>
    <row r="164" spans="1:23" x14ac:dyDescent="0.25">
      <c r="A164" t="s">
        <v>31</v>
      </c>
      <c r="B164" t="s">
        <v>32</v>
      </c>
      <c r="C164" t="s">
        <v>33</v>
      </c>
      <c r="D164" t="s">
        <v>34</v>
      </c>
      <c r="E164" t="s">
        <v>35</v>
      </c>
      <c r="F164" t="s">
        <v>36</v>
      </c>
      <c r="G164">
        <v>1141685</v>
      </c>
      <c r="H164" t="s">
        <v>76</v>
      </c>
      <c r="I164" t="s">
        <v>95</v>
      </c>
      <c r="J164" t="s">
        <v>99</v>
      </c>
      <c r="K164" t="s">
        <v>109</v>
      </c>
      <c r="L164" s="1">
        <v>46143</v>
      </c>
      <c r="M164" s="1">
        <v>46173</v>
      </c>
      <c r="N164">
        <v>11.117749999999999</v>
      </c>
      <c r="O164" t="s">
        <v>58</v>
      </c>
      <c r="P164" t="s">
        <v>63</v>
      </c>
      <c r="Q164" t="s">
        <v>2300</v>
      </c>
      <c r="R164" t="s">
        <v>2304</v>
      </c>
      <c r="S164" t="s">
        <v>67</v>
      </c>
      <c r="T164" t="s">
        <v>2326</v>
      </c>
      <c r="U164" t="s">
        <v>2471</v>
      </c>
      <c r="V164">
        <v>16</v>
      </c>
      <c r="W164" s="2">
        <v>0</v>
      </c>
    </row>
    <row r="165" spans="1:23" x14ac:dyDescent="0.25">
      <c r="A165" t="s">
        <v>31</v>
      </c>
      <c r="B165" t="s">
        <v>32</v>
      </c>
      <c r="C165" t="s">
        <v>33</v>
      </c>
      <c r="D165" t="s">
        <v>34</v>
      </c>
      <c r="E165" t="s">
        <v>35</v>
      </c>
      <c r="F165" t="s">
        <v>36</v>
      </c>
      <c r="G165">
        <v>1141685</v>
      </c>
      <c r="H165" t="s">
        <v>76</v>
      </c>
      <c r="I165" t="s">
        <v>95</v>
      </c>
      <c r="J165" t="s">
        <v>99</v>
      </c>
      <c r="K165" t="s">
        <v>109</v>
      </c>
      <c r="L165" s="1">
        <v>46143</v>
      </c>
      <c r="M165" s="1">
        <v>46173</v>
      </c>
      <c r="N165">
        <v>2</v>
      </c>
      <c r="O165" t="s">
        <v>58</v>
      </c>
      <c r="P165" t="s">
        <v>63</v>
      </c>
      <c r="Q165" t="s">
        <v>2300</v>
      </c>
      <c r="R165" t="s">
        <v>2304</v>
      </c>
      <c r="S165" t="s">
        <v>67</v>
      </c>
      <c r="T165" t="s">
        <v>2326</v>
      </c>
      <c r="U165" t="s">
        <v>2471</v>
      </c>
      <c r="V165">
        <v>16</v>
      </c>
      <c r="W165" s="2">
        <v>0</v>
      </c>
    </row>
    <row r="166" spans="1:23" x14ac:dyDescent="0.25">
      <c r="A166" t="s">
        <v>31</v>
      </c>
      <c r="B166" t="s">
        <v>32</v>
      </c>
      <c r="C166" t="s">
        <v>33</v>
      </c>
      <c r="D166" t="s">
        <v>34</v>
      </c>
      <c r="E166" t="s">
        <v>35</v>
      </c>
      <c r="F166" t="s">
        <v>36</v>
      </c>
      <c r="G166">
        <v>1141685</v>
      </c>
      <c r="H166" t="s">
        <v>76</v>
      </c>
      <c r="I166" t="s">
        <v>95</v>
      </c>
      <c r="J166" t="s">
        <v>99</v>
      </c>
      <c r="K166" t="s">
        <v>109</v>
      </c>
      <c r="L166" s="1">
        <v>46143</v>
      </c>
      <c r="M166" s="1">
        <v>46173</v>
      </c>
      <c r="N166">
        <v>15.26723</v>
      </c>
      <c r="O166" t="s">
        <v>58</v>
      </c>
      <c r="P166" t="s">
        <v>63</v>
      </c>
      <c r="Q166" t="s">
        <v>2300</v>
      </c>
      <c r="R166" t="s">
        <v>2304</v>
      </c>
      <c r="S166" t="s">
        <v>67</v>
      </c>
      <c r="T166" t="s">
        <v>2326</v>
      </c>
      <c r="U166" t="s">
        <v>2471</v>
      </c>
      <c r="V166">
        <v>16</v>
      </c>
      <c r="W166" s="2">
        <v>0</v>
      </c>
    </row>
    <row r="167" spans="1:23" x14ac:dyDescent="0.25">
      <c r="A167" t="s">
        <v>31</v>
      </c>
      <c r="B167" t="s">
        <v>32</v>
      </c>
      <c r="C167" t="s">
        <v>33</v>
      </c>
      <c r="D167" t="s">
        <v>34</v>
      </c>
      <c r="E167" t="s">
        <v>35</v>
      </c>
      <c r="F167" t="s">
        <v>36</v>
      </c>
      <c r="G167">
        <v>1141685</v>
      </c>
      <c r="H167" t="s">
        <v>76</v>
      </c>
      <c r="I167" t="s">
        <v>95</v>
      </c>
      <c r="J167" t="s">
        <v>99</v>
      </c>
      <c r="K167" t="s">
        <v>109</v>
      </c>
      <c r="L167" s="1">
        <v>46143</v>
      </c>
      <c r="M167" s="1">
        <v>46173</v>
      </c>
      <c r="N167">
        <v>152.06589600000001</v>
      </c>
      <c r="O167" t="s">
        <v>58</v>
      </c>
      <c r="P167" t="s">
        <v>63</v>
      </c>
      <c r="Q167" t="s">
        <v>2300</v>
      </c>
      <c r="R167" t="s">
        <v>2304</v>
      </c>
      <c r="S167" t="s">
        <v>67</v>
      </c>
      <c r="T167" t="s">
        <v>2326</v>
      </c>
      <c r="U167" t="s">
        <v>2471</v>
      </c>
      <c r="V167">
        <v>16</v>
      </c>
      <c r="W167" s="2">
        <v>0</v>
      </c>
    </row>
    <row r="168" spans="1:23" x14ac:dyDescent="0.25">
      <c r="A168" t="s">
        <v>31</v>
      </c>
      <c r="B168" t="s">
        <v>32</v>
      </c>
      <c r="C168" t="s">
        <v>33</v>
      </c>
      <c r="D168" t="s">
        <v>34</v>
      </c>
      <c r="E168" t="s">
        <v>35</v>
      </c>
      <c r="F168" t="s">
        <v>36</v>
      </c>
      <c r="G168">
        <v>1141685</v>
      </c>
      <c r="H168" t="s">
        <v>76</v>
      </c>
      <c r="I168" t="s">
        <v>95</v>
      </c>
      <c r="J168" t="s">
        <v>99</v>
      </c>
      <c r="K168" t="s">
        <v>109</v>
      </c>
      <c r="L168" s="1">
        <v>46143</v>
      </c>
      <c r="M168" s="1">
        <v>46173</v>
      </c>
      <c r="N168">
        <v>0.366674</v>
      </c>
      <c r="O168" t="s">
        <v>58</v>
      </c>
      <c r="P168" t="s">
        <v>63</v>
      </c>
      <c r="Q168" t="s">
        <v>2300</v>
      </c>
      <c r="R168" t="s">
        <v>2304</v>
      </c>
      <c r="S168" t="s">
        <v>67</v>
      </c>
      <c r="T168" t="s">
        <v>2326</v>
      </c>
      <c r="U168" t="s">
        <v>2471</v>
      </c>
      <c r="V168">
        <v>16</v>
      </c>
      <c r="W168" s="2">
        <v>0</v>
      </c>
    </row>
    <row r="169" spans="1:23" x14ac:dyDescent="0.25">
      <c r="A169" t="s">
        <v>31</v>
      </c>
      <c r="B169" t="s">
        <v>32</v>
      </c>
      <c r="C169" t="s">
        <v>33</v>
      </c>
      <c r="D169" t="s">
        <v>34</v>
      </c>
      <c r="E169" t="s">
        <v>35</v>
      </c>
      <c r="F169" t="s">
        <v>36</v>
      </c>
      <c r="G169">
        <v>1141685</v>
      </c>
      <c r="H169" t="s">
        <v>76</v>
      </c>
      <c r="I169" t="s">
        <v>95</v>
      </c>
      <c r="J169" t="s">
        <v>99</v>
      </c>
      <c r="K169" t="s">
        <v>109</v>
      </c>
      <c r="L169" s="1">
        <v>46143</v>
      </c>
      <c r="M169" s="1">
        <v>46173</v>
      </c>
      <c r="N169">
        <v>79.499906999999993</v>
      </c>
      <c r="O169" t="s">
        <v>58</v>
      </c>
      <c r="P169" t="s">
        <v>63</v>
      </c>
      <c r="Q169" t="s">
        <v>2300</v>
      </c>
      <c r="R169" t="s">
        <v>2304</v>
      </c>
      <c r="S169" t="s">
        <v>67</v>
      </c>
      <c r="T169" t="s">
        <v>2326</v>
      </c>
      <c r="U169" t="s">
        <v>2471</v>
      </c>
      <c r="V169">
        <v>16</v>
      </c>
      <c r="W169" s="2">
        <v>0</v>
      </c>
    </row>
    <row r="170" spans="1:23" x14ac:dyDescent="0.25">
      <c r="A170" t="s">
        <v>31</v>
      </c>
      <c r="B170" t="s">
        <v>32</v>
      </c>
      <c r="C170" t="s">
        <v>33</v>
      </c>
      <c r="D170" t="s">
        <v>34</v>
      </c>
      <c r="E170" t="s">
        <v>35</v>
      </c>
      <c r="F170" t="s">
        <v>36</v>
      </c>
      <c r="G170">
        <v>1141685</v>
      </c>
      <c r="H170" t="s">
        <v>76</v>
      </c>
      <c r="I170" t="s">
        <v>95</v>
      </c>
      <c r="J170" t="s">
        <v>99</v>
      </c>
      <c r="K170" t="s">
        <v>109</v>
      </c>
      <c r="L170" s="1">
        <v>46143</v>
      </c>
      <c r="M170" s="1">
        <v>46173</v>
      </c>
      <c r="N170">
        <v>123</v>
      </c>
      <c r="O170" t="s">
        <v>58</v>
      </c>
      <c r="P170" t="s">
        <v>63</v>
      </c>
      <c r="Q170" t="s">
        <v>2300</v>
      </c>
      <c r="R170" t="s">
        <v>2304</v>
      </c>
      <c r="S170" t="s">
        <v>67</v>
      </c>
      <c r="T170" t="s">
        <v>2352</v>
      </c>
      <c r="U170" t="s">
        <v>2497</v>
      </c>
      <c r="V170">
        <v>15</v>
      </c>
      <c r="W170" s="2">
        <v>0</v>
      </c>
    </row>
    <row r="171" spans="1:23" x14ac:dyDescent="0.25">
      <c r="A171" t="s">
        <v>31</v>
      </c>
      <c r="B171" t="s">
        <v>32</v>
      </c>
      <c r="C171" t="s">
        <v>33</v>
      </c>
      <c r="D171" t="s">
        <v>34</v>
      </c>
      <c r="E171" t="s">
        <v>35</v>
      </c>
      <c r="F171" t="s">
        <v>36</v>
      </c>
      <c r="G171">
        <v>1141685</v>
      </c>
      <c r="H171" t="s">
        <v>76</v>
      </c>
      <c r="I171" t="s">
        <v>95</v>
      </c>
      <c r="J171" t="s">
        <v>99</v>
      </c>
      <c r="K171" t="s">
        <v>109</v>
      </c>
      <c r="L171" s="1">
        <v>46143</v>
      </c>
      <c r="M171" s="1">
        <v>46173</v>
      </c>
      <c r="N171">
        <v>29.700374</v>
      </c>
      <c r="O171" t="s">
        <v>58</v>
      </c>
      <c r="P171" t="s">
        <v>63</v>
      </c>
      <c r="Q171" t="s">
        <v>2300</v>
      </c>
      <c r="R171" t="s">
        <v>2304</v>
      </c>
      <c r="S171" t="s">
        <v>67</v>
      </c>
      <c r="T171" t="s">
        <v>2326</v>
      </c>
      <c r="U171" t="s">
        <v>2471</v>
      </c>
      <c r="V171">
        <v>16</v>
      </c>
      <c r="W171" s="2">
        <v>0</v>
      </c>
    </row>
    <row r="172" spans="1:23" x14ac:dyDescent="0.25">
      <c r="A172" t="s">
        <v>31</v>
      </c>
      <c r="B172" t="s">
        <v>32</v>
      </c>
      <c r="C172" t="s">
        <v>33</v>
      </c>
      <c r="D172" t="s">
        <v>34</v>
      </c>
      <c r="E172" t="s">
        <v>35</v>
      </c>
      <c r="F172" t="s">
        <v>36</v>
      </c>
      <c r="G172">
        <v>1141685</v>
      </c>
      <c r="H172" t="s">
        <v>86</v>
      </c>
      <c r="I172" t="s">
        <v>42</v>
      </c>
      <c r="J172" t="s">
        <v>86</v>
      </c>
      <c r="K172" t="s">
        <v>124</v>
      </c>
      <c r="L172" s="1">
        <v>46143</v>
      </c>
      <c r="M172" s="1">
        <v>46173</v>
      </c>
      <c r="N172">
        <v>0.81666300000000003</v>
      </c>
      <c r="O172" t="s">
        <v>135</v>
      </c>
      <c r="P172" t="s">
        <v>63</v>
      </c>
      <c r="Q172" t="s">
        <v>2300</v>
      </c>
      <c r="R172" t="s">
        <v>2322</v>
      </c>
      <c r="S172" t="s">
        <v>67</v>
      </c>
      <c r="T172" t="s">
        <v>2429</v>
      </c>
      <c r="U172" t="s">
        <v>2574</v>
      </c>
      <c r="V172">
        <v>17</v>
      </c>
      <c r="W172" s="2">
        <v>280818.27479627042</v>
      </c>
    </row>
    <row r="173" spans="1:23" x14ac:dyDescent="0.25">
      <c r="A173" t="s">
        <v>31</v>
      </c>
      <c r="B173" t="s">
        <v>32</v>
      </c>
      <c r="C173" t="s">
        <v>33</v>
      </c>
      <c r="D173" t="s">
        <v>34</v>
      </c>
      <c r="E173" t="s">
        <v>35</v>
      </c>
      <c r="F173" t="s">
        <v>36</v>
      </c>
      <c r="G173">
        <v>1141685</v>
      </c>
      <c r="H173" t="s">
        <v>80</v>
      </c>
      <c r="I173" t="s">
        <v>96</v>
      </c>
      <c r="J173" t="s">
        <v>80</v>
      </c>
      <c r="K173" t="s">
        <v>122</v>
      </c>
      <c r="L173" s="1">
        <v>46143</v>
      </c>
      <c r="M173" s="1">
        <v>46173</v>
      </c>
      <c r="N173">
        <v>1.2179147000000001E-3</v>
      </c>
      <c r="O173" t="s">
        <v>56</v>
      </c>
      <c r="P173" t="s">
        <v>63</v>
      </c>
      <c r="Q173" t="s">
        <v>2301</v>
      </c>
      <c r="R173" t="s">
        <v>2305</v>
      </c>
      <c r="S173" t="s">
        <v>67</v>
      </c>
      <c r="T173" t="s">
        <v>2430</v>
      </c>
      <c r="U173" t="s">
        <v>2575</v>
      </c>
      <c r="V173">
        <v>15</v>
      </c>
      <c r="W173" s="2">
        <v>0.21698011719999999</v>
      </c>
    </row>
    <row r="174" spans="1:23" x14ac:dyDescent="0.25">
      <c r="A174" t="s">
        <v>31</v>
      </c>
      <c r="B174" t="s">
        <v>32</v>
      </c>
      <c r="C174" t="s">
        <v>33</v>
      </c>
      <c r="D174" t="s">
        <v>34</v>
      </c>
      <c r="E174" t="s">
        <v>35</v>
      </c>
      <c r="F174" t="s">
        <v>36</v>
      </c>
      <c r="G174">
        <v>1141685</v>
      </c>
      <c r="H174" t="s">
        <v>80</v>
      </c>
      <c r="I174" t="s">
        <v>96</v>
      </c>
      <c r="J174" t="s">
        <v>80</v>
      </c>
      <c r="K174" t="s">
        <v>122</v>
      </c>
      <c r="L174" s="1">
        <v>46143</v>
      </c>
      <c r="M174" s="1">
        <v>46173</v>
      </c>
      <c r="N174">
        <v>4.0848000000000003E-6</v>
      </c>
      <c r="O174" t="s">
        <v>56</v>
      </c>
      <c r="P174" t="s">
        <v>63</v>
      </c>
      <c r="Q174" t="s">
        <v>2301</v>
      </c>
      <c r="R174" t="s">
        <v>2306</v>
      </c>
      <c r="S174" t="s">
        <v>67</v>
      </c>
      <c r="T174" t="s">
        <v>2431</v>
      </c>
      <c r="U174" t="s">
        <v>2576</v>
      </c>
      <c r="V174">
        <v>17</v>
      </c>
      <c r="W174" s="2">
        <v>6.271149E-4</v>
      </c>
    </row>
    <row r="175" spans="1:23" x14ac:dyDescent="0.25">
      <c r="A175" t="s">
        <v>31</v>
      </c>
      <c r="B175" t="s">
        <v>32</v>
      </c>
      <c r="C175" t="s">
        <v>33</v>
      </c>
      <c r="D175" t="s">
        <v>34</v>
      </c>
      <c r="E175" t="s">
        <v>35</v>
      </c>
      <c r="F175" t="s">
        <v>36</v>
      </c>
      <c r="G175">
        <v>1141685</v>
      </c>
      <c r="H175" t="s">
        <v>77</v>
      </c>
      <c r="I175" t="s">
        <v>96</v>
      </c>
      <c r="J175" t="s">
        <v>77</v>
      </c>
      <c r="K175" t="s">
        <v>111</v>
      </c>
      <c r="L175" s="1">
        <v>46143</v>
      </c>
      <c r="M175" s="1">
        <v>46173</v>
      </c>
      <c r="N175">
        <v>9.7173999999999995E-6</v>
      </c>
      <c r="O175" t="s">
        <v>56</v>
      </c>
      <c r="P175" t="s">
        <v>63</v>
      </c>
      <c r="Q175" t="s">
        <v>2302</v>
      </c>
      <c r="R175" t="s">
        <v>2307</v>
      </c>
      <c r="S175" t="s">
        <v>67</v>
      </c>
      <c r="T175" t="s">
        <v>2432</v>
      </c>
      <c r="U175" t="s">
        <v>2577</v>
      </c>
      <c r="V175">
        <v>7</v>
      </c>
      <c r="W175" s="2">
        <v>1.4918647999999999E-3</v>
      </c>
    </row>
    <row r="176" spans="1:23" x14ac:dyDescent="0.25">
      <c r="A176" t="s">
        <v>31</v>
      </c>
      <c r="B176" t="s">
        <v>32</v>
      </c>
      <c r="C176" t="s">
        <v>33</v>
      </c>
      <c r="D176" t="s">
        <v>34</v>
      </c>
      <c r="E176" t="s">
        <v>35</v>
      </c>
      <c r="F176" t="s">
        <v>36</v>
      </c>
      <c r="G176">
        <v>1141685</v>
      </c>
      <c r="H176" t="s">
        <v>79</v>
      </c>
      <c r="I176" t="s">
        <v>94</v>
      </c>
      <c r="J176" t="s">
        <v>101</v>
      </c>
      <c r="K176" t="s">
        <v>116</v>
      </c>
      <c r="L176" s="1">
        <v>46143</v>
      </c>
      <c r="M176" s="1">
        <v>46173</v>
      </c>
      <c r="N176">
        <v>1.08117E-5</v>
      </c>
      <c r="O176" t="s">
        <v>56</v>
      </c>
      <c r="P176" t="s">
        <v>63</v>
      </c>
      <c r="Q176" t="s">
        <v>2301</v>
      </c>
      <c r="R176" t="s">
        <v>2305</v>
      </c>
      <c r="S176" t="s">
        <v>67</v>
      </c>
      <c r="T176" t="s">
        <v>2433</v>
      </c>
      <c r="U176" t="s">
        <v>2578</v>
      </c>
      <c r="V176">
        <v>16</v>
      </c>
      <c r="W176" s="2">
        <v>1.32789417E-2</v>
      </c>
    </row>
    <row r="177" spans="1:23" x14ac:dyDescent="0.25">
      <c r="A177" t="s">
        <v>31</v>
      </c>
      <c r="B177" t="s">
        <v>32</v>
      </c>
      <c r="C177" t="s">
        <v>33</v>
      </c>
      <c r="D177" t="s">
        <v>34</v>
      </c>
      <c r="E177" t="s">
        <v>35</v>
      </c>
      <c r="F177" t="s">
        <v>36</v>
      </c>
      <c r="G177">
        <v>1141685</v>
      </c>
      <c r="H177" t="s">
        <v>79</v>
      </c>
      <c r="I177" t="s">
        <v>94</v>
      </c>
      <c r="J177" t="s">
        <v>101</v>
      </c>
      <c r="K177" t="s">
        <v>116</v>
      </c>
      <c r="L177" s="1">
        <v>46143</v>
      </c>
      <c r="M177" s="1">
        <v>46173</v>
      </c>
      <c r="N177">
        <v>4.8769035400000001E-2</v>
      </c>
      <c r="O177" t="s">
        <v>56</v>
      </c>
      <c r="P177" t="s">
        <v>63</v>
      </c>
      <c r="Q177" t="s">
        <v>2301</v>
      </c>
      <c r="R177" t="s">
        <v>2305</v>
      </c>
      <c r="S177" t="s">
        <v>67</v>
      </c>
      <c r="T177" t="s">
        <v>2434</v>
      </c>
      <c r="U177" t="s">
        <v>2579</v>
      </c>
      <c r="V177">
        <v>15</v>
      </c>
      <c r="W177" s="2">
        <v>57.072716111399998</v>
      </c>
    </row>
    <row r="178" spans="1:23" x14ac:dyDescent="0.25">
      <c r="A178" t="s">
        <v>31</v>
      </c>
      <c r="B178" t="s">
        <v>32</v>
      </c>
      <c r="C178" t="s">
        <v>33</v>
      </c>
      <c r="D178" t="s">
        <v>34</v>
      </c>
      <c r="E178" t="s">
        <v>35</v>
      </c>
      <c r="F178" t="s">
        <v>36</v>
      </c>
      <c r="G178">
        <v>1141685</v>
      </c>
      <c r="H178" t="s">
        <v>79</v>
      </c>
      <c r="I178" t="s">
        <v>94</v>
      </c>
      <c r="J178" t="s">
        <v>101</v>
      </c>
      <c r="K178" t="s">
        <v>116</v>
      </c>
      <c r="L178" s="1">
        <v>46143</v>
      </c>
      <c r="M178" s="1">
        <v>46173</v>
      </c>
      <c r="N178">
        <v>5.9712700000000002E-5</v>
      </c>
      <c r="O178" t="s">
        <v>56</v>
      </c>
      <c r="P178" t="s">
        <v>63</v>
      </c>
      <c r="Q178" t="s">
        <v>2301</v>
      </c>
      <c r="R178" t="s">
        <v>2304</v>
      </c>
      <c r="S178" t="s">
        <v>67</v>
      </c>
      <c r="T178" t="s">
        <v>2435</v>
      </c>
      <c r="U178" t="s">
        <v>2580</v>
      </c>
      <c r="V178">
        <v>16</v>
      </c>
      <c r="W178" s="2">
        <v>8.3339015699999991E-2</v>
      </c>
    </row>
    <row r="179" spans="1:23" x14ac:dyDescent="0.25">
      <c r="A179" t="s">
        <v>31</v>
      </c>
      <c r="B179" t="s">
        <v>32</v>
      </c>
      <c r="C179" t="s">
        <v>33</v>
      </c>
      <c r="D179" t="s">
        <v>34</v>
      </c>
      <c r="E179" t="s">
        <v>35</v>
      </c>
      <c r="F179" t="s">
        <v>36</v>
      </c>
      <c r="G179">
        <v>1141685</v>
      </c>
      <c r="H179" t="s">
        <v>77</v>
      </c>
      <c r="I179" t="s">
        <v>96</v>
      </c>
      <c r="J179" t="s">
        <v>77</v>
      </c>
      <c r="K179" t="s">
        <v>111</v>
      </c>
      <c r="L179" s="1">
        <v>46143</v>
      </c>
      <c r="M179" s="1">
        <v>46173</v>
      </c>
      <c r="N179">
        <v>0.1156288488</v>
      </c>
      <c r="O179" t="s">
        <v>56</v>
      </c>
      <c r="P179" t="s">
        <v>63</v>
      </c>
      <c r="Q179" t="s">
        <v>2301</v>
      </c>
      <c r="R179" t="s">
        <v>2305</v>
      </c>
      <c r="S179" t="s">
        <v>67</v>
      </c>
      <c r="T179" t="s">
        <v>2436</v>
      </c>
      <c r="U179" t="s">
        <v>2581</v>
      </c>
      <c r="V179">
        <v>15</v>
      </c>
      <c r="W179" s="2">
        <v>20.171895883200001</v>
      </c>
    </row>
    <row r="180" spans="1:23" x14ac:dyDescent="0.25">
      <c r="A180" t="s">
        <v>31</v>
      </c>
      <c r="B180" t="s">
        <v>32</v>
      </c>
      <c r="C180" t="s">
        <v>33</v>
      </c>
      <c r="D180" t="s">
        <v>34</v>
      </c>
      <c r="E180" t="s">
        <v>35</v>
      </c>
      <c r="F180" t="s">
        <v>36</v>
      </c>
      <c r="G180">
        <v>1141685</v>
      </c>
      <c r="H180" t="s">
        <v>77</v>
      </c>
      <c r="I180" t="s">
        <v>96</v>
      </c>
      <c r="J180" t="s">
        <v>77</v>
      </c>
      <c r="K180" t="s">
        <v>111</v>
      </c>
      <c r="L180" s="1">
        <v>46143</v>
      </c>
      <c r="M180" s="1">
        <v>46173</v>
      </c>
      <c r="N180">
        <v>5.03E-8</v>
      </c>
      <c r="O180" t="s">
        <v>56</v>
      </c>
      <c r="P180" t="s">
        <v>63</v>
      </c>
      <c r="Q180" t="s">
        <v>2301</v>
      </c>
      <c r="R180" t="s">
        <v>2304</v>
      </c>
      <c r="S180" t="s">
        <v>67</v>
      </c>
      <c r="T180" t="s">
        <v>2437</v>
      </c>
      <c r="U180" t="s">
        <v>2582</v>
      </c>
      <c r="V180">
        <v>16</v>
      </c>
      <c r="W180" s="2">
        <v>7.7208999999999992E-6</v>
      </c>
    </row>
    <row r="181" spans="1:23" x14ac:dyDescent="0.25">
      <c r="A181" t="s">
        <v>31</v>
      </c>
      <c r="B181" t="s">
        <v>32</v>
      </c>
      <c r="C181" t="s">
        <v>33</v>
      </c>
      <c r="D181" t="s">
        <v>34</v>
      </c>
      <c r="E181" t="s">
        <v>35</v>
      </c>
      <c r="F181" t="s">
        <v>36</v>
      </c>
      <c r="G181">
        <v>1141685</v>
      </c>
      <c r="H181" t="s">
        <v>79</v>
      </c>
      <c r="I181" t="s">
        <v>94</v>
      </c>
      <c r="J181" t="s">
        <v>101</v>
      </c>
      <c r="K181" t="s">
        <v>114</v>
      </c>
      <c r="L181" s="1">
        <v>46143</v>
      </c>
      <c r="M181" s="1">
        <v>46173</v>
      </c>
      <c r="N181">
        <v>1.6759999999999999E-7</v>
      </c>
      <c r="O181" t="s">
        <v>56</v>
      </c>
      <c r="P181" t="s">
        <v>63</v>
      </c>
      <c r="Q181" t="s">
        <v>2301</v>
      </c>
      <c r="R181" t="s">
        <v>2306</v>
      </c>
      <c r="S181" t="s">
        <v>67</v>
      </c>
      <c r="T181" t="s">
        <v>2438</v>
      </c>
      <c r="U181" t="s">
        <v>2583</v>
      </c>
      <c r="V181">
        <v>17</v>
      </c>
      <c r="W181" s="2">
        <v>2.0589269999999999E-4</v>
      </c>
    </row>
    <row r="182" spans="1:23" x14ac:dyDescent="0.25">
      <c r="A182" t="s">
        <v>31</v>
      </c>
      <c r="B182" t="s">
        <v>32</v>
      </c>
      <c r="C182" t="s">
        <v>33</v>
      </c>
      <c r="D182" t="s">
        <v>34</v>
      </c>
      <c r="E182" t="s">
        <v>35</v>
      </c>
      <c r="F182" t="s">
        <v>36</v>
      </c>
      <c r="G182">
        <v>1141685</v>
      </c>
      <c r="H182" t="s">
        <v>77</v>
      </c>
      <c r="I182" t="s">
        <v>96</v>
      </c>
      <c r="J182" t="s">
        <v>77</v>
      </c>
      <c r="K182" t="s">
        <v>111</v>
      </c>
      <c r="L182" s="1">
        <v>46143</v>
      </c>
      <c r="M182" s="1">
        <v>46173</v>
      </c>
      <c r="N182">
        <v>2.81351442E-2</v>
      </c>
      <c r="O182" t="s">
        <v>56</v>
      </c>
      <c r="P182" t="s">
        <v>63</v>
      </c>
      <c r="Q182" t="s">
        <v>2302</v>
      </c>
      <c r="R182" t="s">
        <v>2307</v>
      </c>
      <c r="S182" t="s">
        <v>67</v>
      </c>
      <c r="T182" t="s">
        <v>2439</v>
      </c>
      <c r="U182" t="s">
        <v>2584</v>
      </c>
      <c r="V182">
        <v>7</v>
      </c>
      <c r="W182" s="2">
        <v>4.9094423773999996</v>
      </c>
    </row>
    <row r="183" spans="1:23" x14ac:dyDescent="0.25">
      <c r="A183" t="s">
        <v>31</v>
      </c>
      <c r="B183" t="s">
        <v>32</v>
      </c>
      <c r="C183" t="s">
        <v>33</v>
      </c>
      <c r="D183" t="s">
        <v>34</v>
      </c>
      <c r="E183" t="s">
        <v>35</v>
      </c>
      <c r="F183" t="s">
        <v>36</v>
      </c>
      <c r="G183">
        <v>1141685</v>
      </c>
      <c r="H183" t="s">
        <v>77</v>
      </c>
      <c r="I183" t="s">
        <v>96</v>
      </c>
      <c r="J183" t="s">
        <v>77</v>
      </c>
      <c r="K183" t="s">
        <v>111</v>
      </c>
      <c r="L183" s="1">
        <v>46143</v>
      </c>
      <c r="M183" s="1">
        <v>46173</v>
      </c>
      <c r="N183">
        <v>16.598324250400001</v>
      </c>
      <c r="O183" t="s">
        <v>56</v>
      </c>
      <c r="P183" t="s">
        <v>63</v>
      </c>
      <c r="Q183" t="s">
        <v>2301</v>
      </c>
      <c r="R183" t="s">
        <v>2304</v>
      </c>
      <c r="S183" t="s">
        <v>67</v>
      </c>
      <c r="T183" t="s">
        <v>2440</v>
      </c>
      <c r="U183" t="s">
        <v>2585</v>
      </c>
      <c r="V183">
        <v>16</v>
      </c>
      <c r="W183" s="2">
        <v>2895.7444108791001</v>
      </c>
    </row>
    <row r="184" spans="1:23" x14ac:dyDescent="0.25">
      <c r="A184" t="s">
        <v>31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>
        <v>1141685</v>
      </c>
      <c r="H184" t="s">
        <v>77</v>
      </c>
      <c r="I184" t="s">
        <v>96</v>
      </c>
      <c r="J184" t="s">
        <v>77</v>
      </c>
      <c r="K184" t="s">
        <v>111</v>
      </c>
      <c r="L184" s="1">
        <v>46143</v>
      </c>
      <c r="M184" s="1">
        <v>46173</v>
      </c>
      <c r="N184">
        <v>2.1181218E-3</v>
      </c>
      <c r="O184" t="s">
        <v>56</v>
      </c>
      <c r="P184" t="s">
        <v>63</v>
      </c>
      <c r="Q184" t="s">
        <v>2301</v>
      </c>
      <c r="R184" t="s">
        <v>2304</v>
      </c>
      <c r="S184" t="s">
        <v>67</v>
      </c>
      <c r="T184" t="s">
        <v>2441</v>
      </c>
      <c r="U184" t="s">
        <v>2586</v>
      </c>
      <c r="V184">
        <v>16</v>
      </c>
      <c r="W184" s="2">
        <v>0.36518423059999999</v>
      </c>
    </row>
    <row r="185" spans="1:23" x14ac:dyDescent="0.25">
      <c r="A185" t="s">
        <v>31</v>
      </c>
      <c r="B185" t="s">
        <v>32</v>
      </c>
      <c r="C185" t="s">
        <v>33</v>
      </c>
      <c r="D185" t="s">
        <v>34</v>
      </c>
      <c r="E185" t="s">
        <v>35</v>
      </c>
      <c r="F185" t="s">
        <v>36</v>
      </c>
      <c r="G185">
        <v>1141685</v>
      </c>
      <c r="H185" t="s">
        <v>77</v>
      </c>
      <c r="I185" t="s">
        <v>96</v>
      </c>
      <c r="J185" t="s">
        <v>77</v>
      </c>
      <c r="K185" t="s">
        <v>111</v>
      </c>
      <c r="L185" s="1">
        <v>46143</v>
      </c>
      <c r="M185" s="1">
        <v>46173</v>
      </c>
      <c r="N185">
        <v>2.6780139319999998</v>
      </c>
      <c r="O185" t="s">
        <v>56</v>
      </c>
      <c r="P185" t="s">
        <v>63</v>
      </c>
      <c r="Q185" t="s">
        <v>2301</v>
      </c>
      <c r="R185" t="s">
        <v>2305</v>
      </c>
      <c r="S185" t="s">
        <v>67</v>
      </c>
      <c r="T185" t="s">
        <v>2442</v>
      </c>
      <c r="U185" t="s">
        <v>2587</v>
      </c>
      <c r="V185">
        <v>16</v>
      </c>
      <c r="W185" s="2">
        <v>467.20155329890002</v>
      </c>
    </row>
    <row r="186" spans="1:23" x14ac:dyDescent="0.25">
      <c r="A186" t="s">
        <v>31</v>
      </c>
      <c r="B186" t="s">
        <v>32</v>
      </c>
      <c r="C186" t="s">
        <v>33</v>
      </c>
      <c r="D186" t="s">
        <v>34</v>
      </c>
      <c r="E186" t="s">
        <v>35</v>
      </c>
      <c r="F186" t="s">
        <v>36</v>
      </c>
      <c r="G186">
        <v>1141685</v>
      </c>
      <c r="H186" t="s">
        <v>77</v>
      </c>
      <c r="I186" t="s">
        <v>96</v>
      </c>
      <c r="J186" t="s">
        <v>77</v>
      </c>
      <c r="K186" t="s">
        <v>111</v>
      </c>
      <c r="L186" s="1">
        <v>46143</v>
      </c>
      <c r="M186" s="1">
        <v>46173</v>
      </c>
      <c r="N186">
        <v>23.7983814888</v>
      </c>
      <c r="O186" t="s">
        <v>56</v>
      </c>
      <c r="P186" t="s">
        <v>63</v>
      </c>
      <c r="Q186" t="s">
        <v>2301</v>
      </c>
      <c r="R186" t="s">
        <v>2304</v>
      </c>
      <c r="S186" t="s">
        <v>67</v>
      </c>
      <c r="T186" t="s">
        <v>2443</v>
      </c>
      <c r="U186" t="s">
        <v>2588</v>
      </c>
      <c r="V186">
        <v>16</v>
      </c>
      <c r="W186" s="2">
        <v>4151.8617583847999</v>
      </c>
    </row>
    <row r="187" spans="1:23" x14ac:dyDescent="0.25">
      <c r="A187" t="s">
        <v>31</v>
      </c>
      <c r="B187" t="s">
        <v>32</v>
      </c>
      <c r="C187" t="s">
        <v>33</v>
      </c>
      <c r="D187" t="s">
        <v>34</v>
      </c>
      <c r="E187" t="s">
        <v>35</v>
      </c>
      <c r="F187" t="s">
        <v>36</v>
      </c>
      <c r="G187">
        <v>1141685</v>
      </c>
      <c r="H187" t="s">
        <v>79</v>
      </c>
      <c r="I187" t="s">
        <v>94</v>
      </c>
      <c r="J187" t="s">
        <v>101</v>
      </c>
      <c r="K187" t="s">
        <v>114</v>
      </c>
      <c r="L187" s="1">
        <v>46143</v>
      </c>
      <c r="M187" s="1">
        <v>46173</v>
      </c>
      <c r="N187">
        <v>1.7061126847000001</v>
      </c>
      <c r="O187" t="s">
        <v>56</v>
      </c>
      <c r="P187" t="s">
        <v>63</v>
      </c>
      <c r="Q187" t="s">
        <v>2301</v>
      </c>
      <c r="R187" t="s">
        <v>2304</v>
      </c>
      <c r="S187" t="s">
        <v>67</v>
      </c>
      <c r="T187" t="s">
        <v>2444</v>
      </c>
      <c r="U187" t="s">
        <v>2589</v>
      </c>
      <c r="V187">
        <v>16</v>
      </c>
      <c r="W187" s="2">
        <v>2381.1848695438998</v>
      </c>
    </row>
    <row r="188" spans="1:23" x14ac:dyDescent="0.25">
      <c r="A188" t="s">
        <v>31</v>
      </c>
      <c r="B188" t="s">
        <v>32</v>
      </c>
      <c r="C188" t="s">
        <v>33</v>
      </c>
      <c r="D188" t="s">
        <v>34</v>
      </c>
      <c r="E188" t="s">
        <v>35</v>
      </c>
      <c r="F188" t="s">
        <v>36</v>
      </c>
      <c r="G188">
        <v>1141685</v>
      </c>
      <c r="H188" t="s">
        <v>79</v>
      </c>
      <c r="I188" t="s">
        <v>94</v>
      </c>
      <c r="J188" t="s">
        <v>101</v>
      </c>
      <c r="K188" t="s">
        <v>114</v>
      </c>
      <c r="L188" s="1">
        <v>46143</v>
      </c>
      <c r="M188" s="1">
        <v>46173</v>
      </c>
      <c r="N188">
        <v>9.5909842300000006E-2</v>
      </c>
      <c r="O188" t="s">
        <v>56</v>
      </c>
      <c r="P188" t="s">
        <v>63</v>
      </c>
      <c r="Q188" t="s">
        <v>2301</v>
      </c>
      <c r="R188" t="s">
        <v>2304</v>
      </c>
      <c r="S188" t="s">
        <v>67</v>
      </c>
      <c r="T188" t="s">
        <v>2445</v>
      </c>
      <c r="U188" t="s">
        <v>2590</v>
      </c>
      <c r="V188">
        <v>15</v>
      </c>
      <c r="W188" s="2">
        <v>133.85631484449999</v>
      </c>
    </row>
    <row r="189" spans="1:23" x14ac:dyDescent="0.25">
      <c r="A189" t="s">
        <v>31</v>
      </c>
      <c r="B189" t="s">
        <v>32</v>
      </c>
      <c r="C189" t="s">
        <v>33</v>
      </c>
      <c r="D189" t="s">
        <v>34</v>
      </c>
      <c r="E189" t="s">
        <v>35</v>
      </c>
      <c r="F189" t="s">
        <v>36</v>
      </c>
      <c r="G189">
        <v>1141685</v>
      </c>
      <c r="H189" t="s">
        <v>75</v>
      </c>
      <c r="I189" t="s">
        <v>94</v>
      </c>
      <c r="J189" t="s">
        <v>98</v>
      </c>
      <c r="K189" t="s">
        <v>108</v>
      </c>
      <c r="L189" s="1">
        <v>46143</v>
      </c>
      <c r="M189" s="1">
        <v>46173</v>
      </c>
      <c r="N189">
        <v>0.31477087920000002</v>
      </c>
      <c r="O189" t="s">
        <v>56</v>
      </c>
      <c r="P189" t="s">
        <v>63</v>
      </c>
      <c r="Q189" t="s">
        <v>2301</v>
      </c>
      <c r="R189" t="s">
        <v>2304</v>
      </c>
      <c r="S189" t="s">
        <v>67</v>
      </c>
      <c r="T189" t="s">
        <v>2446</v>
      </c>
      <c r="U189" t="s">
        <v>2591</v>
      </c>
      <c r="V189">
        <v>16</v>
      </c>
      <c r="W189" s="2">
        <v>658.98163534180003</v>
      </c>
    </row>
    <row r="190" spans="1:23" x14ac:dyDescent="0.25">
      <c r="A190" t="s">
        <v>31</v>
      </c>
      <c r="B190" t="s">
        <v>32</v>
      </c>
      <c r="C190" t="s">
        <v>33</v>
      </c>
      <c r="D190" t="s">
        <v>34</v>
      </c>
      <c r="E190" t="s">
        <v>35</v>
      </c>
      <c r="F190" t="s">
        <v>36</v>
      </c>
      <c r="G190">
        <v>1141685</v>
      </c>
      <c r="H190" t="s">
        <v>75</v>
      </c>
      <c r="I190" t="s">
        <v>94</v>
      </c>
      <c r="J190" t="s">
        <v>98</v>
      </c>
      <c r="K190" t="s">
        <v>108</v>
      </c>
      <c r="L190" s="1">
        <v>46143</v>
      </c>
      <c r="M190" s="1">
        <v>46173</v>
      </c>
      <c r="N190">
        <v>5.2893350000000005E-4</v>
      </c>
      <c r="O190" t="s">
        <v>56</v>
      </c>
      <c r="P190" t="s">
        <v>63</v>
      </c>
      <c r="Q190" t="s">
        <v>2301</v>
      </c>
      <c r="R190" t="s">
        <v>2304</v>
      </c>
      <c r="S190" t="s">
        <v>67</v>
      </c>
      <c r="T190" t="s">
        <v>2447</v>
      </c>
      <c r="U190" t="s">
        <v>2592</v>
      </c>
      <c r="V190">
        <v>16</v>
      </c>
      <c r="W190" s="2">
        <v>1.1044528813000001</v>
      </c>
    </row>
    <row r="191" spans="1:23" x14ac:dyDescent="0.25">
      <c r="A191" t="s">
        <v>31</v>
      </c>
      <c r="B191" t="s">
        <v>32</v>
      </c>
      <c r="C191" t="s">
        <v>33</v>
      </c>
      <c r="D191" t="s">
        <v>34</v>
      </c>
      <c r="E191" t="s">
        <v>35</v>
      </c>
      <c r="F191" t="s">
        <v>36</v>
      </c>
      <c r="G191">
        <v>1141685</v>
      </c>
      <c r="H191" t="s">
        <v>75</v>
      </c>
      <c r="I191" t="s">
        <v>94</v>
      </c>
      <c r="J191" t="s">
        <v>98</v>
      </c>
      <c r="K191" t="s">
        <v>108</v>
      </c>
      <c r="L191" s="1">
        <v>46143</v>
      </c>
      <c r="M191" s="1">
        <v>46173</v>
      </c>
      <c r="N191">
        <v>7.2948437199999994E-2</v>
      </c>
      <c r="O191" t="s">
        <v>56</v>
      </c>
      <c r="P191" t="s">
        <v>63</v>
      </c>
      <c r="Q191" t="s">
        <v>2301</v>
      </c>
      <c r="R191" t="s">
        <v>2305</v>
      </c>
      <c r="S191" t="s">
        <v>67</v>
      </c>
      <c r="T191" t="s">
        <v>2448</v>
      </c>
      <c r="U191" t="s">
        <v>2593</v>
      </c>
      <c r="V191">
        <v>16</v>
      </c>
      <c r="W191" s="2">
        <v>152.72273074570001</v>
      </c>
    </row>
    <row r="192" spans="1:23" x14ac:dyDescent="0.25">
      <c r="A192" t="s">
        <v>31</v>
      </c>
      <c r="B192" t="s">
        <v>32</v>
      </c>
      <c r="C192" t="s">
        <v>33</v>
      </c>
      <c r="D192" t="s">
        <v>34</v>
      </c>
      <c r="E192" t="s">
        <v>35</v>
      </c>
      <c r="F192" t="s">
        <v>36</v>
      </c>
      <c r="G192">
        <v>1141685</v>
      </c>
      <c r="H192" t="s">
        <v>76</v>
      </c>
      <c r="I192" t="s">
        <v>95</v>
      </c>
      <c r="J192" t="s">
        <v>99</v>
      </c>
      <c r="K192" t="s">
        <v>109</v>
      </c>
      <c r="L192" s="1">
        <v>46143</v>
      </c>
      <c r="M192" s="1">
        <v>46173</v>
      </c>
      <c r="N192">
        <v>133.83332999999999</v>
      </c>
      <c r="O192" t="s">
        <v>58</v>
      </c>
      <c r="P192" t="s">
        <v>63</v>
      </c>
      <c r="Q192" t="s">
        <v>2300</v>
      </c>
      <c r="R192" t="s">
        <v>2306</v>
      </c>
      <c r="S192" t="s">
        <v>67</v>
      </c>
      <c r="T192" t="s">
        <v>2350</v>
      </c>
      <c r="U192" t="s">
        <v>2495</v>
      </c>
      <c r="V192">
        <v>16</v>
      </c>
      <c r="W192" s="2">
        <v>0</v>
      </c>
    </row>
    <row r="193" spans="1:23" x14ac:dyDescent="0.25">
      <c r="A193" t="s">
        <v>31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>
        <v>1141685</v>
      </c>
      <c r="H193" t="s">
        <v>76</v>
      </c>
      <c r="I193" t="s">
        <v>95</v>
      </c>
      <c r="J193" t="s">
        <v>99</v>
      </c>
      <c r="K193" t="s">
        <v>109</v>
      </c>
      <c r="L193" s="1">
        <v>46143</v>
      </c>
      <c r="M193" s="1">
        <v>46173</v>
      </c>
      <c r="N193">
        <v>0.16667000000000001</v>
      </c>
      <c r="O193" t="s">
        <v>58</v>
      </c>
      <c r="P193" t="s">
        <v>63</v>
      </c>
      <c r="Q193" t="s">
        <v>2300</v>
      </c>
      <c r="R193" t="s">
        <v>2306</v>
      </c>
      <c r="S193" t="s">
        <v>67</v>
      </c>
      <c r="T193" t="s">
        <v>2350</v>
      </c>
      <c r="U193" t="s">
        <v>2495</v>
      </c>
      <c r="V193">
        <v>16</v>
      </c>
      <c r="W193" s="2">
        <v>0</v>
      </c>
    </row>
    <row r="194" spans="1:23" x14ac:dyDescent="0.25">
      <c r="A194" t="s">
        <v>31</v>
      </c>
      <c r="B194" t="s">
        <v>32</v>
      </c>
      <c r="C194" t="s">
        <v>33</v>
      </c>
      <c r="D194" t="s">
        <v>34</v>
      </c>
      <c r="E194" t="s">
        <v>35</v>
      </c>
      <c r="F194" t="s">
        <v>36</v>
      </c>
      <c r="G194">
        <v>1141685</v>
      </c>
      <c r="H194" t="s">
        <v>76</v>
      </c>
      <c r="I194" t="s">
        <v>95</v>
      </c>
      <c r="J194" t="s">
        <v>99</v>
      </c>
      <c r="K194" t="s">
        <v>109</v>
      </c>
      <c r="L194" s="1">
        <v>46143</v>
      </c>
      <c r="M194" s="1">
        <v>46173</v>
      </c>
      <c r="N194">
        <v>3.3293999999999997E-2</v>
      </c>
      <c r="O194" t="s">
        <v>58</v>
      </c>
      <c r="P194" t="s">
        <v>63</v>
      </c>
      <c r="Q194" t="s">
        <v>2300</v>
      </c>
      <c r="R194" t="s">
        <v>2305</v>
      </c>
      <c r="S194" t="s">
        <v>67</v>
      </c>
      <c r="T194" t="s">
        <v>2349</v>
      </c>
      <c r="U194" t="s">
        <v>2494</v>
      </c>
      <c r="V194">
        <v>15</v>
      </c>
      <c r="W194" s="2">
        <v>0</v>
      </c>
    </row>
    <row r="195" spans="1:23" x14ac:dyDescent="0.25">
      <c r="A195" t="s">
        <v>31</v>
      </c>
      <c r="B195" t="s">
        <v>32</v>
      </c>
      <c r="C195" t="s">
        <v>33</v>
      </c>
      <c r="D195" t="s">
        <v>34</v>
      </c>
      <c r="E195" t="s">
        <v>35</v>
      </c>
      <c r="F195" t="s">
        <v>36</v>
      </c>
      <c r="G195">
        <v>1141685</v>
      </c>
      <c r="H195" t="s">
        <v>76</v>
      </c>
      <c r="I195" t="s">
        <v>95</v>
      </c>
      <c r="J195" t="s">
        <v>99</v>
      </c>
      <c r="K195" t="s">
        <v>109</v>
      </c>
      <c r="L195" s="1">
        <v>46143</v>
      </c>
      <c r="M195" s="1">
        <v>46173</v>
      </c>
      <c r="N195">
        <v>313.19716299999999</v>
      </c>
      <c r="O195" t="s">
        <v>58</v>
      </c>
      <c r="P195" t="s">
        <v>63</v>
      </c>
      <c r="Q195" t="s">
        <v>2300</v>
      </c>
      <c r="R195" t="s">
        <v>2304</v>
      </c>
      <c r="S195" t="s">
        <v>67</v>
      </c>
      <c r="T195" t="s">
        <v>2326</v>
      </c>
      <c r="U195" t="s">
        <v>2471</v>
      </c>
      <c r="V195">
        <v>16</v>
      </c>
      <c r="W195" s="2">
        <v>0</v>
      </c>
    </row>
    <row r="196" spans="1:23" x14ac:dyDescent="0.25">
      <c r="A196" t="s">
        <v>31</v>
      </c>
      <c r="B196" t="s">
        <v>32</v>
      </c>
      <c r="C196" t="s">
        <v>33</v>
      </c>
      <c r="D196" t="s">
        <v>34</v>
      </c>
      <c r="E196" t="s">
        <v>35</v>
      </c>
      <c r="F196" t="s">
        <v>36</v>
      </c>
      <c r="G196">
        <v>1141685</v>
      </c>
      <c r="H196" t="s">
        <v>76</v>
      </c>
      <c r="I196" t="s">
        <v>95</v>
      </c>
      <c r="J196" t="s">
        <v>99</v>
      </c>
      <c r="K196" t="s">
        <v>109</v>
      </c>
      <c r="L196" s="1">
        <v>46143</v>
      </c>
      <c r="M196" s="1">
        <v>46173</v>
      </c>
      <c r="N196">
        <v>12.383893</v>
      </c>
      <c r="O196" t="s">
        <v>58</v>
      </c>
      <c r="P196" t="s">
        <v>63</v>
      </c>
      <c r="Q196" t="s">
        <v>2300</v>
      </c>
      <c r="R196" t="s">
        <v>2304</v>
      </c>
      <c r="S196" t="s">
        <v>67</v>
      </c>
      <c r="T196" t="s">
        <v>2326</v>
      </c>
      <c r="U196" t="s">
        <v>2471</v>
      </c>
      <c r="V196">
        <v>16</v>
      </c>
      <c r="W196" s="2">
        <v>0</v>
      </c>
    </row>
    <row r="197" spans="1:23" x14ac:dyDescent="0.25">
      <c r="A197" t="s">
        <v>31</v>
      </c>
      <c r="B197" t="s">
        <v>32</v>
      </c>
      <c r="C197" t="s">
        <v>33</v>
      </c>
      <c r="D197" t="s">
        <v>34</v>
      </c>
      <c r="E197" t="s">
        <v>35</v>
      </c>
      <c r="F197" t="s">
        <v>36</v>
      </c>
      <c r="G197">
        <v>1141685</v>
      </c>
      <c r="H197" t="s">
        <v>76</v>
      </c>
      <c r="I197" t="s">
        <v>95</v>
      </c>
      <c r="J197" t="s">
        <v>99</v>
      </c>
      <c r="K197" t="s">
        <v>109</v>
      </c>
      <c r="L197" s="1">
        <v>46143</v>
      </c>
      <c r="M197" s="1">
        <v>46173</v>
      </c>
      <c r="N197">
        <v>141.66484299999999</v>
      </c>
      <c r="O197" t="s">
        <v>58</v>
      </c>
      <c r="P197" t="s">
        <v>63</v>
      </c>
      <c r="Q197" t="s">
        <v>2300</v>
      </c>
      <c r="R197" t="s">
        <v>2304</v>
      </c>
      <c r="S197" t="s">
        <v>67</v>
      </c>
      <c r="T197" t="s">
        <v>2326</v>
      </c>
      <c r="U197" t="s">
        <v>2471</v>
      </c>
      <c r="V197">
        <v>16</v>
      </c>
      <c r="W197" s="2">
        <v>0</v>
      </c>
    </row>
    <row r="198" spans="1:23" x14ac:dyDescent="0.25">
      <c r="A198" t="s">
        <v>31</v>
      </c>
      <c r="B198" t="s">
        <v>32</v>
      </c>
      <c r="C198" t="s">
        <v>33</v>
      </c>
      <c r="D198" t="s">
        <v>34</v>
      </c>
      <c r="E198" t="s">
        <v>35</v>
      </c>
      <c r="F198" t="s">
        <v>36</v>
      </c>
      <c r="G198">
        <v>1141685</v>
      </c>
      <c r="H198" t="s">
        <v>76</v>
      </c>
      <c r="I198" t="s">
        <v>95</v>
      </c>
      <c r="J198" t="s">
        <v>99</v>
      </c>
      <c r="K198" t="s">
        <v>109</v>
      </c>
      <c r="L198" s="1">
        <v>46143</v>
      </c>
      <c r="M198" s="1">
        <v>46173</v>
      </c>
      <c r="N198">
        <v>0.23333699999999999</v>
      </c>
      <c r="O198" t="s">
        <v>58</v>
      </c>
      <c r="P198" t="s">
        <v>63</v>
      </c>
      <c r="Q198" t="s">
        <v>2300</v>
      </c>
      <c r="R198" t="s">
        <v>2304</v>
      </c>
      <c r="S198" t="s">
        <v>67</v>
      </c>
      <c r="T198" t="s">
        <v>2326</v>
      </c>
      <c r="U198" t="s">
        <v>2471</v>
      </c>
      <c r="V198">
        <v>16</v>
      </c>
      <c r="W198" s="2">
        <v>0</v>
      </c>
    </row>
    <row r="199" spans="1:23" x14ac:dyDescent="0.25">
      <c r="A199" t="s">
        <v>31</v>
      </c>
      <c r="B199" t="s">
        <v>32</v>
      </c>
      <c r="C199" t="s">
        <v>33</v>
      </c>
      <c r="D199" t="s">
        <v>34</v>
      </c>
      <c r="E199" t="s">
        <v>35</v>
      </c>
      <c r="F199" t="s">
        <v>36</v>
      </c>
      <c r="G199">
        <v>1141685</v>
      </c>
      <c r="H199" t="s">
        <v>76</v>
      </c>
      <c r="I199" t="s">
        <v>95</v>
      </c>
      <c r="J199" t="s">
        <v>99</v>
      </c>
      <c r="K199" t="s">
        <v>109</v>
      </c>
      <c r="L199" s="1">
        <v>46143</v>
      </c>
      <c r="M199" s="1">
        <v>46173</v>
      </c>
      <c r="N199">
        <v>255.08121399999999</v>
      </c>
      <c r="O199" t="s">
        <v>58</v>
      </c>
      <c r="P199" t="s">
        <v>63</v>
      </c>
      <c r="Q199" t="s">
        <v>2300</v>
      </c>
      <c r="R199" t="s">
        <v>2304</v>
      </c>
      <c r="S199" t="s">
        <v>67</v>
      </c>
      <c r="T199" t="s">
        <v>2326</v>
      </c>
      <c r="U199" t="s">
        <v>2471</v>
      </c>
      <c r="V199">
        <v>16</v>
      </c>
      <c r="W199" s="2">
        <v>0</v>
      </c>
    </row>
    <row r="200" spans="1:23" x14ac:dyDescent="0.25">
      <c r="A200" t="s">
        <v>31</v>
      </c>
      <c r="B200" t="s">
        <v>32</v>
      </c>
      <c r="C200" t="s">
        <v>33</v>
      </c>
      <c r="D200" t="s">
        <v>34</v>
      </c>
      <c r="E200" t="s">
        <v>35</v>
      </c>
      <c r="F200" t="s">
        <v>36</v>
      </c>
      <c r="G200">
        <v>1141685</v>
      </c>
      <c r="H200" t="s">
        <v>76</v>
      </c>
      <c r="I200" t="s">
        <v>95</v>
      </c>
      <c r="J200" t="s">
        <v>99</v>
      </c>
      <c r="K200" t="s">
        <v>109</v>
      </c>
      <c r="L200" s="1">
        <v>46143</v>
      </c>
      <c r="M200" s="1">
        <v>46173</v>
      </c>
      <c r="N200">
        <v>54.583036</v>
      </c>
      <c r="O200" t="s">
        <v>58</v>
      </c>
      <c r="P200" t="s">
        <v>63</v>
      </c>
      <c r="Q200" t="s">
        <v>2300</v>
      </c>
      <c r="R200" t="s">
        <v>2304</v>
      </c>
      <c r="S200" t="s">
        <v>67</v>
      </c>
      <c r="T200" t="s">
        <v>2326</v>
      </c>
      <c r="U200" t="s">
        <v>2471</v>
      </c>
      <c r="V200">
        <v>16</v>
      </c>
      <c r="W200" s="2">
        <v>0</v>
      </c>
    </row>
    <row r="201" spans="1:23" x14ac:dyDescent="0.25">
      <c r="A201" t="s">
        <v>31</v>
      </c>
      <c r="B201" t="s">
        <v>32</v>
      </c>
      <c r="C201" t="s">
        <v>33</v>
      </c>
      <c r="D201" t="s">
        <v>34</v>
      </c>
      <c r="E201" t="s">
        <v>35</v>
      </c>
      <c r="F201" t="s">
        <v>36</v>
      </c>
      <c r="G201">
        <v>1141685</v>
      </c>
      <c r="H201" t="s">
        <v>76</v>
      </c>
      <c r="I201" t="s">
        <v>95</v>
      </c>
      <c r="J201" t="s">
        <v>99</v>
      </c>
      <c r="K201" t="s">
        <v>109</v>
      </c>
      <c r="L201" s="1">
        <v>46143</v>
      </c>
      <c r="M201" s="1">
        <v>46173</v>
      </c>
      <c r="N201">
        <v>8.8332300000000004</v>
      </c>
      <c r="O201" t="s">
        <v>58</v>
      </c>
      <c r="P201" t="s">
        <v>63</v>
      </c>
      <c r="Q201" t="s">
        <v>2300</v>
      </c>
      <c r="R201" t="s">
        <v>2304</v>
      </c>
      <c r="S201" t="s">
        <v>67</v>
      </c>
      <c r="T201" t="s">
        <v>2352</v>
      </c>
      <c r="U201" t="s">
        <v>2497</v>
      </c>
      <c r="V201">
        <v>15</v>
      </c>
      <c r="W201" s="2">
        <v>0</v>
      </c>
    </row>
    <row r="202" spans="1:23" x14ac:dyDescent="0.25">
      <c r="A202" t="s">
        <v>31</v>
      </c>
      <c r="B202" t="s">
        <v>32</v>
      </c>
      <c r="C202" t="s">
        <v>33</v>
      </c>
      <c r="D202" t="s">
        <v>34</v>
      </c>
      <c r="E202" t="s">
        <v>35</v>
      </c>
      <c r="F202" t="s">
        <v>36</v>
      </c>
      <c r="G202">
        <v>1141685</v>
      </c>
      <c r="H202" t="s">
        <v>76</v>
      </c>
      <c r="I202" t="s">
        <v>95</v>
      </c>
      <c r="J202" t="s">
        <v>99</v>
      </c>
      <c r="K202" t="s">
        <v>109</v>
      </c>
      <c r="L202" s="1">
        <v>46143</v>
      </c>
      <c r="M202" s="1">
        <v>46173</v>
      </c>
      <c r="N202">
        <v>0.98335300000000003</v>
      </c>
      <c r="O202" t="s">
        <v>58</v>
      </c>
      <c r="P202" t="s">
        <v>63</v>
      </c>
      <c r="Q202" t="s">
        <v>2300</v>
      </c>
      <c r="R202" t="s">
        <v>2304</v>
      </c>
      <c r="S202" t="s">
        <v>67</v>
      </c>
      <c r="T202" t="s">
        <v>2352</v>
      </c>
      <c r="U202" t="s">
        <v>2497</v>
      </c>
      <c r="V202">
        <v>15</v>
      </c>
      <c r="W202" s="2">
        <v>0</v>
      </c>
    </row>
    <row r="203" spans="1:23" x14ac:dyDescent="0.25">
      <c r="A203" t="s">
        <v>31</v>
      </c>
      <c r="B203" t="s">
        <v>32</v>
      </c>
      <c r="C203" t="s">
        <v>33</v>
      </c>
      <c r="D203" t="s">
        <v>34</v>
      </c>
      <c r="E203" t="s">
        <v>35</v>
      </c>
      <c r="F203" t="s">
        <v>36</v>
      </c>
      <c r="G203">
        <v>1141685</v>
      </c>
      <c r="H203" t="s">
        <v>86</v>
      </c>
      <c r="I203" t="s">
        <v>42</v>
      </c>
      <c r="J203" t="s">
        <v>86</v>
      </c>
      <c r="K203" t="s">
        <v>132</v>
      </c>
      <c r="L203" s="1">
        <v>46143</v>
      </c>
      <c r="M203" s="1">
        <v>46173</v>
      </c>
      <c r="N203">
        <v>0.99936999999999998</v>
      </c>
      <c r="O203" t="s">
        <v>135</v>
      </c>
      <c r="P203" t="s">
        <v>63</v>
      </c>
      <c r="Q203" t="s">
        <v>2300</v>
      </c>
      <c r="R203" t="s">
        <v>2323</v>
      </c>
      <c r="S203" t="s">
        <v>67</v>
      </c>
      <c r="T203" t="s">
        <v>2449</v>
      </c>
      <c r="U203" t="s">
        <v>2594</v>
      </c>
      <c r="V203">
        <v>10</v>
      </c>
      <c r="W203" s="2">
        <v>177959.14061908319</v>
      </c>
    </row>
    <row r="204" spans="1:23" x14ac:dyDescent="0.25">
      <c r="A204" t="s">
        <v>31</v>
      </c>
      <c r="B204" t="s">
        <v>32</v>
      </c>
      <c r="C204" t="s">
        <v>33</v>
      </c>
      <c r="D204" t="s">
        <v>34</v>
      </c>
      <c r="E204" t="s">
        <v>35</v>
      </c>
      <c r="F204" t="s">
        <v>36</v>
      </c>
      <c r="G204">
        <v>1141685</v>
      </c>
      <c r="H204" t="s">
        <v>81</v>
      </c>
      <c r="I204" t="s">
        <v>97</v>
      </c>
      <c r="J204" t="s">
        <v>102</v>
      </c>
      <c r="K204" t="s">
        <v>117</v>
      </c>
      <c r="L204" s="1">
        <v>46143</v>
      </c>
      <c r="M204" s="1">
        <v>46173</v>
      </c>
      <c r="N204">
        <v>696</v>
      </c>
      <c r="O204" t="s">
        <v>58</v>
      </c>
      <c r="P204" t="s">
        <v>63</v>
      </c>
      <c r="Q204" t="s">
        <v>2303</v>
      </c>
      <c r="R204" t="s">
        <v>2308</v>
      </c>
      <c r="S204" t="s">
        <v>67</v>
      </c>
      <c r="T204" t="s">
        <v>2361</v>
      </c>
      <c r="U204" t="s">
        <v>2506</v>
      </c>
      <c r="V204">
        <v>9</v>
      </c>
      <c r="W204" s="2">
        <v>0</v>
      </c>
    </row>
    <row r="205" spans="1:23" x14ac:dyDescent="0.25">
      <c r="A205" t="s">
        <v>31</v>
      </c>
      <c r="B205" t="s">
        <v>32</v>
      </c>
      <c r="C205" t="s">
        <v>33</v>
      </c>
      <c r="D205" t="s">
        <v>34</v>
      </c>
      <c r="E205" t="s">
        <v>35</v>
      </c>
      <c r="F205" t="s">
        <v>36</v>
      </c>
      <c r="G205">
        <v>1141685</v>
      </c>
      <c r="H205" t="s">
        <v>80</v>
      </c>
      <c r="I205" t="s">
        <v>96</v>
      </c>
      <c r="J205" t="s">
        <v>80</v>
      </c>
      <c r="K205" t="s">
        <v>122</v>
      </c>
      <c r="L205" s="1">
        <v>46143</v>
      </c>
      <c r="M205" s="1">
        <v>46173</v>
      </c>
      <c r="N205">
        <v>0.83671698530000005</v>
      </c>
      <c r="O205" t="s">
        <v>56</v>
      </c>
      <c r="P205" t="s">
        <v>63</v>
      </c>
      <c r="Q205" t="s">
        <v>2301</v>
      </c>
      <c r="R205" t="s">
        <v>2304</v>
      </c>
      <c r="S205" t="s">
        <v>67</v>
      </c>
      <c r="T205" t="s">
        <v>2450</v>
      </c>
      <c r="U205" t="s">
        <v>2595</v>
      </c>
      <c r="V205">
        <v>16</v>
      </c>
      <c r="W205" s="2">
        <v>145.97680782750001</v>
      </c>
    </row>
    <row r="206" spans="1:23" x14ac:dyDescent="0.25">
      <c r="A206" t="s">
        <v>31</v>
      </c>
      <c r="B206" t="s">
        <v>32</v>
      </c>
      <c r="C206" t="s">
        <v>33</v>
      </c>
      <c r="D206" t="s">
        <v>34</v>
      </c>
      <c r="E206" t="s">
        <v>35</v>
      </c>
      <c r="F206" t="s">
        <v>36</v>
      </c>
      <c r="G206">
        <v>1141685</v>
      </c>
      <c r="H206" t="s">
        <v>80</v>
      </c>
      <c r="I206" t="s">
        <v>96</v>
      </c>
      <c r="J206" t="s">
        <v>80</v>
      </c>
      <c r="K206" t="s">
        <v>122</v>
      </c>
      <c r="L206" s="1">
        <v>46143</v>
      </c>
      <c r="M206" s="1">
        <v>46173</v>
      </c>
      <c r="N206">
        <v>0.1203329908</v>
      </c>
      <c r="O206" t="s">
        <v>56</v>
      </c>
      <c r="P206" t="s">
        <v>63</v>
      </c>
      <c r="Q206" t="s">
        <v>2301</v>
      </c>
      <c r="R206" t="s">
        <v>2304</v>
      </c>
      <c r="S206" t="s">
        <v>67</v>
      </c>
      <c r="T206" t="s">
        <v>2451</v>
      </c>
      <c r="U206" t="s">
        <v>2596</v>
      </c>
      <c r="V206">
        <v>15</v>
      </c>
      <c r="W206" s="2">
        <v>20.994098341099999</v>
      </c>
    </row>
    <row r="207" spans="1:23" x14ac:dyDescent="0.25">
      <c r="A207" t="s">
        <v>31</v>
      </c>
      <c r="B207" t="s">
        <v>32</v>
      </c>
      <c r="C207" t="s">
        <v>33</v>
      </c>
      <c r="D207" t="s">
        <v>34</v>
      </c>
      <c r="E207" t="s">
        <v>35</v>
      </c>
      <c r="F207" t="s">
        <v>36</v>
      </c>
      <c r="G207">
        <v>1141685</v>
      </c>
      <c r="H207" t="s">
        <v>80</v>
      </c>
      <c r="I207" t="s">
        <v>96</v>
      </c>
      <c r="J207" t="s">
        <v>80</v>
      </c>
      <c r="K207" t="s">
        <v>122</v>
      </c>
      <c r="L207" s="1">
        <v>46143</v>
      </c>
      <c r="M207" s="1">
        <v>46173</v>
      </c>
      <c r="N207">
        <v>0.1820820011</v>
      </c>
      <c r="O207" t="s">
        <v>56</v>
      </c>
      <c r="P207" t="s">
        <v>63</v>
      </c>
      <c r="Q207" t="s">
        <v>2301</v>
      </c>
      <c r="R207" t="s">
        <v>2304</v>
      </c>
      <c r="S207" t="s">
        <v>67</v>
      </c>
      <c r="T207" t="s">
        <v>2452</v>
      </c>
      <c r="U207" t="s">
        <v>2597</v>
      </c>
      <c r="V207">
        <v>15</v>
      </c>
      <c r="W207" s="2">
        <v>31.7641028052</v>
      </c>
    </row>
    <row r="208" spans="1:23" x14ac:dyDescent="0.25">
      <c r="A208" t="s">
        <v>31</v>
      </c>
      <c r="B208" t="s">
        <v>32</v>
      </c>
      <c r="C208" t="s">
        <v>33</v>
      </c>
      <c r="D208" t="s">
        <v>34</v>
      </c>
      <c r="E208" t="s">
        <v>35</v>
      </c>
      <c r="F208" t="s">
        <v>36</v>
      </c>
      <c r="G208">
        <v>1141685</v>
      </c>
      <c r="H208" t="s">
        <v>80</v>
      </c>
      <c r="I208" t="s">
        <v>96</v>
      </c>
      <c r="J208" t="s">
        <v>80</v>
      </c>
      <c r="K208" t="s">
        <v>115</v>
      </c>
      <c r="L208" s="1">
        <v>46143</v>
      </c>
      <c r="M208" s="1">
        <v>46173</v>
      </c>
      <c r="N208">
        <v>6.8302999999999996E-6</v>
      </c>
      <c r="O208" t="s">
        <v>56</v>
      </c>
      <c r="P208" t="s">
        <v>63</v>
      </c>
      <c r="Q208" t="s">
        <v>2301</v>
      </c>
      <c r="R208" t="s">
        <v>2306</v>
      </c>
      <c r="S208" t="s">
        <v>67</v>
      </c>
      <c r="T208" t="s">
        <v>2453</v>
      </c>
      <c r="U208" t="s">
        <v>2598</v>
      </c>
      <c r="V208">
        <v>17</v>
      </c>
      <c r="W208" s="2">
        <v>1.0486228E-3</v>
      </c>
    </row>
    <row r="209" spans="1:23" x14ac:dyDescent="0.25">
      <c r="A209" t="s">
        <v>31</v>
      </c>
      <c r="B209" t="s">
        <v>32</v>
      </c>
      <c r="C209" t="s">
        <v>33</v>
      </c>
      <c r="D209" t="s">
        <v>34</v>
      </c>
      <c r="E209" t="s">
        <v>35</v>
      </c>
      <c r="F209" t="s">
        <v>36</v>
      </c>
      <c r="G209">
        <v>1141685</v>
      </c>
      <c r="H209" t="s">
        <v>80</v>
      </c>
      <c r="I209" t="s">
        <v>96</v>
      </c>
      <c r="J209" t="s">
        <v>80</v>
      </c>
      <c r="K209" t="s">
        <v>115</v>
      </c>
      <c r="L209" s="1">
        <v>46143</v>
      </c>
      <c r="M209" s="1">
        <v>46173</v>
      </c>
      <c r="N209">
        <v>1.1506242547000001</v>
      </c>
      <c r="O209" t="s">
        <v>56</v>
      </c>
      <c r="P209" t="s">
        <v>63</v>
      </c>
      <c r="Q209" t="s">
        <v>2301</v>
      </c>
      <c r="R209" t="s">
        <v>2304</v>
      </c>
      <c r="S209" t="s">
        <v>67</v>
      </c>
      <c r="T209" t="s">
        <v>2454</v>
      </c>
      <c r="U209" t="s">
        <v>2599</v>
      </c>
      <c r="V209">
        <v>16</v>
      </c>
      <c r="W209" s="2">
        <v>200.7393585781</v>
      </c>
    </row>
    <row r="210" spans="1:23" x14ac:dyDescent="0.25">
      <c r="A210" t="s">
        <v>31</v>
      </c>
      <c r="B210" t="s">
        <v>32</v>
      </c>
      <c r="C210" t="s">
        <v>33</v>
      </c>
      <c r="D210" t="s">
        <v>34</v>
      </c>
      <c r="E210" t="s">
        <v>35</v>
      </c>
      <c r="F210" t="s">
        <v>36</v>
      </c>
      <c r="G210">
        <v>1141685</v>
      </c>
      <c r="H210" t="s">
        <v>79</v>
      </c>
      <c r="I210" t="s">
        <v>94</v>
      </c>
      <c r="J210" t="s">
        <v>101</v>
      </c>
      <c r="K210" t="s">
        <v>114</v>
      </c>
      <c r="L210" s="1">
        <v>46143</v>
      </c>
      <c r="M210" s="1">
        <v>46173</v>
      </c>
      <c r="N210">
        <v>2.2350000000000001E-7</v>
      </c>
      <c r="O210" t="s">
        <v>56</v>
      </c>
      <c r="P210" t="s">
        <v>63</v>
      </c>
      <c r="Q210" t="s">
        <v>2301</v>
      </c>
      <c r="R210" t="s">
        <v>2304</v>
      </c>
      <c r="S210" t="s">
        <v>67</v>
      </c>
      <c r="T210" t="s">
        <v>2455</v>
      </c>
      <c r="U210" t="s">
        <v>2600</v>
      </c>
      <c r="V210">
        <v>16</v>
      </c>
      <c r="W210" s="2">
        <v>2.7452370000000001E-4</v>
      </c>
    </row>
    <row r="211" spans="1:23" x14ac:dyDescent="0.25">
      <c r="A211" t="s">
        <v>31</v>
      </c>
      <c r="B211" t="s">
        <v>32</v>
      </c>
      <c r="C211" t="s">
        <v>33</v>
      </c>
      <c r="D211" t="s">
        <v>34</v>
      </c>
      <c r="E211" t="s">
        <v>35</v>
      </c>
      <c r="F211" t="s">
        <v>36</v>
      </c>
      <c r="G211">
        <v>1141685</v>
      </c>
      <c r="H211" t="s">
        <v>80</v>
      </c>
      <c r="I211" t="s">
        <v>96</v>
      </c>
      <c r="J211" t="s">
        <v>80</v>
      </c>
      <c r="K211" t="s">
        <v>115</v>
      </c>
      <c r="L211" s="1">
        <v>46143</v>
      </c>
      <c r="M211" s="1">
        <v>46173</v>
      </c>
      <c r="N211">
        <v>2.3289210000000001E-4</v>
      </c>
      <c r="O211" t="s">
        <v>56</v>
      </c>
      <c r="P211" t="s">
        <v>63</v>
      </c>
      <c r="Q211" t="s">
        <v>2301</v>
      </c>
      <c r="R211" t="s">
        <v>2304</v>
      </c>
      <c r="S211" t="s">
        <v>67</v>
      </c>
      <c r="T211" t="s">
        <v>2456</v>
      </c>
      <c r="U211" t="s">
        <v>2601</v>
      </c>
      <c r="V211">
        <v>16</v>
      </c>
      <c r="W211" s="2">
        <v>3.5754714700000002E-2</v>
      </c>
    </row>
    <row r="212" spans="1:23" x14ac:dyDescent="0.25">
      <c r="A212" t="s">
        <v>31</v>
      </c>
      <c r="B212" t="s">
        <v>32</v>
      </c>
      <c r="C212" t="s">
        <v>33</v>
      </c>
      <c r="D212" t="s">
        <v>34</v>
      </c>
      <c r="E212" t="s">
        <v>35</v>
      </c>
      <c r="F212" t="s">
        <v>36</v>
      </c>
      <c r="G212">
        <v>1141685</v>
      </c>
      <c r="H212" t="s">
        <v>80</v>
      </c>
      <c r="I212" t="s">
        <v>96</v>
      </c>
      <c r="J212" t="s">
        <v>80</v>
      </c>
      <c r="K212" t="s">
        <v>115</v>
      </c>
      <c r="L212" s="1">
        <v>46143</v>
      </c>
      <c r="M212" s="1">
        <v>46173</v>
      </c>
      <c r="N212">
        <v>6.7800000000000001E-7</v>
      </c>
      <c r="O212" t="s">
        <v>56</v>
      </c>
      <c r="P212" t="s">
        <v>63</v>
      </c>
      <c r="Q212" t="s">
        <v>2301</v>
      </c>
      <c r="R212" t="s">
        <v>2304</v>
      </c>
      <c r="S212" t="s">
        <v>67</v>
      </c>
      <c r="T212" t="s">
        <v>2457</v>
      </c>
      <c r="U212" t="s">
        <v>2602</v>
      </c>
      <c r="V212">
        <v>16</v>
      </c>
      <c r="W212" s="2">
        <v>1.040902E-4</v>
      </c>
    </row>
    <row r="213" spans="1:23" x14ac:dyDescent="0.25">
      <c r="A213" t="s">
        <v>31</v>
      </c>
      <c r="B213" t="s">
        <v>32</v>
      </c>
      <c r="C213" t="s">
        <v>33</v>
      </c>
      <c r="D213" t="s">
        <v>34</v>
      </c>
      <c r="E213" t="s">
        <v>35</v>
      </c>
      <c r="F213" t="s">
        <v>36</v>
      </c>
      <c r="G213">
        <v>1141685</v>
      </c>
      <c r="H213" t="s">
        <v>80</v>
      </c>
      <c r="I213" t="s">
        <v>96</v>
      </c>
      <c r="J213" t="s">
        <v>80</v>
      </c>
      <c r="K213" t="s">
        <v>115</v>
      </c>
      <c r="L213" s="1">
        <v>46143</v>
      </c>
      <c r="M213" s="1">
        <v>46173</v>
      </c>
      <c r="N213">
        <v>1.1182500021999999</v>
      </c>
      <c r="O213" t="s">
        <v>56</v>
      </c>
      <c r="P213" t="s">
        <v>63</v>
      </c>
      <c r="Q213" t="s">
        <v>2301</v>
      </c>
      <c r="R213" t="s">
        <v>2304</v>
      </c>
      <c r="S213" t="s">
        <v>67</v>
      </c>
      <c r="T213" t="s">
        <v>2458</v>
      </c>
      <c r="U213" t="s">
        <v>2603</v>
      </c>
      <c r="V213">
        <v>16</v>
      </c>
      <c r="W213" s="2">
        <v>195.0891079287</v>
      </c>
    </row>
    <row r="214" spans="1:23" x14ac:dyDescent="0.25">
      <c r="A214" t="s">
        <v>31</v>
      </c>
      <c r="B214" t="s">
        <v>32</v>
      </c>
      <c r="C214" t="s">
        <v>33</v>
      </c>
      <c r="D214" t="s">
        <v>34</v>
      </c>
      <c r="E214" t="s">
        <v>35</v>
      </c>
      <c r="F214" t="s">
        <v>36</v>
      </c>
      <c r="G214">
        <v>1141685</v>
      </c>
      <c r="H214" t="s">
        <v>77</v>
      </c>
      <c r="I214" t="s">
        <v>96</v>
      </c>
      <c r="J214" t="s">
        <v>77</v>
      </c>
      <c r="K214" t="s">
        <v>113</v>
      </c>
      <c r="L214" s="1">
        <v>46143</v>
      </c>
      <c r="M214" s="1">
        <v>46173</v>
      </c>
      <c r="N214">
        <v>182.26047764250001</v>
      </c>
      <c r="O214" t="s">
        <v>56</v>
      </c>
      <c r="P214" t="s">
        <v>63</v>
      </c>
      <c r="Q214" t="s">
        <v>2301</v>
      </c>
      <c r="R214" t="s">
        <v>2304</v>
      </c>
      <c r="S214" t="s">
        <v>67</v>
      </c>
      <c r="T214" t="s">
        <v>2459</v>
      </c>
      <c r="U214" t="s">
        <v>2604</v>
      </c>
      <c r="V214">
        <v>16</v>
      </c>
      <c r="W214" s="2">
        <v>31797.163377973699</v>
      </c>
    </row>
    <row r="215" spans="1:23" x14ac:dyDescent="0.25">
      <c r="A215" t="s">
        <v>31</v>
      </c>
      <c r="B215" t="s">
        <v>32</v>
      </c>
      <c r="C215" t="s">
        <v>33</v>
      </c>
      <c r="D215" t="s">
        <v>34</v>
      </c>
      <c r="E215" t="s">
        <v>35</v>
      </c>
      <c r="F215" t="s">
        <v>36</v>
      </c>
      <c r="G215">
        <v>1141685</v>
      </c>
      <c r="H215" t="s">
        <v>77</v>
      </c>
      <c r="I215" t="s">
        <v>96</v>
      </c>
      <c r="J215" t="s">
        <v>77</v>
      </c>
      <c r="K215" t="s">
        <v>113</v>
      </c>
      <c r="L215" s="1">
        <v>46143</v>
      </c>
      <c r="M215" s="1">
        <v>46173</v>
      </c>
      <c r="N215">
        <v>12.5644054404</v>
      </c>
      <c r="O215" t="s">
        <v>56</v>
      </c>
      <c r="P215" t="s">
        <v>63</v>
      </c>
      <c r="Q215" t="s">
        <v>2301</v>
      </c>
      <c r="R215" t="s">
        <v>2305</v>
      </c>
      <c r="S215" t="s">
        <v>67</v>
      </c>
      <c r="T215" t="s">
        <v>2460</v>
      </c>
      <c r="U215" t="s">
        <v>2605</v>
      </c>
      <c r="V215">
        <v>16</v>
      </c>
      <c r="W215" s="2">
        <v>2191.9878323466</v>
      </c>
    </row>
    <row r="216" spans="1:23" x14ac:dyDescent="0.25">
      <c r="A216" t="s">
        <v>31</v>
      </c>
      <c r="B216" t="s">
        <v>32</v>
      </c>
      <c r="C216" t="s">
        <v>33</v>
      </c>
      <c r="D216" t="s">
        <v>34</v>
      </c>
      <c r="E216" t="s">
        <v>35</v>
      </c>
      <c r="F216" t="s">
        <v>36</v>
      </c>
      <c r="G216">
        <v>1141685</v>
      </c>
      <c r="H216" t="s">
        <v>77</v>
      </c>
      <c r="I216" t="s">
        <v>96</v>
      </c>
      <c r="J216" t="s">
        <v>77</v>
      </c>
      <c r="K216" t="s">
        <v>113</v>
      </c>
      <c r="L216" s="1">
        <v>46143</v>
      </c>
      <c r="M216" s="1">
        <v>46173</v>
      </c>
      <c r="N216">
        <v>22.736625905099999</v>
      </c>
      <c r="O216" t="s">
        <v>56</v>
      </c>
      <c r="P216" t="s">
        <v>63</v>
      </c>
      <c r="Q216" t="s">
        <v>2301</v>
      </c>
      <c r="R216" t="s">
        <v>2304</v>
      </c>
      <c r="S216" t="s">
        <v>67</v>
      </c>
      <c r="T216" t="s">
        <v>2461</v>
      </c>
      <c r="U216" t="s">
        <v>2606</v>
      </c>
      <c r="V216">
        <v>15</v>
      </c>
      <c r="W216" s="2">
        <v>3966.6359447628001</v>
      </c>
    </row>
    <row r="217" spans="1:23" x14ac:dyDescent="0.25">
      <c r="A217" t="s">
        <v>31</v>
      </c>
      <c r="B217" t="s">
        <v>32</v>
      </c>
      <c r="C217" t="s">
        <v>33</v>
      </c>
      <c r="D217" t="s">
        <v>34</v>
      </c>
      <c r="E217" t="s">
        <v>35</v>
      </c>
      <c r="F217" t="s">
        <v>36</v>
      </c>
      <c r="G217">
        <v>1141685</v>
      </c>
      <c r="H217" t="s">
        <v>93</v>
      </c>
      <c r="I217" t="s">
        <v>93</v>
      </c>
      <c r="J217" t="s">
        <v>93</v>
      </c>
      <c r="K217" t="s">
        <v>133</v>
      </c>
      <c r="L217" s="1">
        <v>46143</v>
      </c>
      <c r="M217" s="1">
        <v>46173</v>
      </c>
      <c r="N217">
        <v>743.97283662919995</v>
      </c>
      <c r="O217" t="s">
        <v>58</v>
      </c>
      <c r="P217" t="s">
        <v>63</v>
      </c>
      <c r="Q217" t="s">
        <v>2303</v>
      </c>
      <c r="R217" t="s">
        <v>2324</v>
      </c>
      <c r="S217" t="s">
        <v>67</v>
      </c>
      <c r="T217" t="s">
        <v>2462</v>
      </c>
      <c r="U217" t="s">
        <v>2607</v>
      </c>
      <c r="V217">
        <v>10</v>
      </c>
      <c r="W217" s="2">
        <v>1297935.009489377</v>
      </c>
    </row>
    <row r="218" spans="1:23" x14ac:dyDescent="0.25">
      <c r="A218" t="s">
        <v>31</v>
      </c>
      <c r="B218" t="s">
        <v>32</v>
      </c>
      <c r="C218" t="s">
        <v>33</v>
      </c>
      <c r="D218" t="s">
        <v>34</v>
      </c>
      <c r="E218" t="s">
        <v>35</v>
      </c>
      <c r="F218" t="s">
        <v>36</v>
      </c>
      <c r="G218">
        <v>1141685</v>
      </c>
      <c r="H218" t="s">
        <v>79</v>
      </c>
      <c r="I218" t="s">
        <v>94</v>
      </c>
      <c r="J218" t="s">
        <v>101</v>
      </c>
      <c r="K218" t="s">
        <v>114</v>
      </c>
      <c r="L218" s="1">
        <v>46143</v>
      </c>
      <c r="M218" s="1">
        <v>46173</v>
      </c>
      <c r="N218">
        <v>0.15175978840000001</v>
      </c>
      <c r="O218" t="s">
        <v>56</v>
      </c>
      <c r="P218" t="s">
        <v>63</v>
      </c>
      <c r="Q218" t="s">
        <v>2301</v>
      </c>
      <c r="R218" t="s">
        <v>2305</v>
      </c>
      <c r="S218" t="s">
        <v>67</v>
      </c>
      <c r="T218" t="s">
        <v>2463</v>
      </c>
      <c r="U218" t="s">
        <v>2608</v>
      </c>
      <c r="V218">
        <v>16</v>
      </c>
      <c r="W218" s="2">
        <v>211.81112928749999</v>
      </c>
    </row>
    <row r="219" spans="1:23" x14ac:dyDescent="0.25">
      <c r="A219" t="s">
        <v>31</v>
      </c>
      <c r="B219" t="s">
        <v>32</v>
      </c>
      <c r="C219" t="s">
        <v>33</v>
      </c>
      <c r="D219" t="s">
        <v>34</v>
      </c>
      <c r="E219" t="s">
        <v>35</v>
      </c>
      <c r="F219" t="s">
        <v>36</v>
      </c>
      <c r="G219">
        <v>1141685</v>
      </c>
      <c r="H219" t="s">
        <v>79</v>
      </c>
      <c r="I219" t="s">
        <v>94</v>
      </c>
      <c r="J219" t="s">
        <v>101</v>
      </c>
      <c r="K219" t="s">
        <v>114</v>
      </c>
      <c r="L219" s="1">
        <v>46143</v>
      </c>
      <c r="M219" s="1">
        <v>46173</v>
      </c>
      <c r="N219">
        <v>6.7059999999999998E-7</v>
      </c>
      <c r="O219" t="s">
        <v>56</v>
      </c>
      <c r="P219" t="s">
        <v>63</v>
      </c>
      <c r="Q219" t="s">
        <v>2301</v>
      </c>
      <c r="R219" t="s">
        <v>2304</v>
      </c>
      <c r="S219" t="s">
        <v>67</v>
      </c>
      <c r="T219" t="s">
        <v>2464</v>
      </c>
      <c r="U219" t="s">
        <v>2609</v>
      </c>
      <c r="V219">
        <v>16</v>
      </c>
      <c r="W219" s="2">
        <v>8.2357109999999997E-4</v>
      </c>
    </row>
    <row r="220" spans="1:23" x14ac:dyDescent="0.25">
      <c r="A220" t="s">
        <v>31</v>
      </c>
      <c r="B220" t="s">
        <v>32</v>
      </c>
      <c r="C220" t="s">
        <v>33</v>
      </c>
      <c r="D220" t="s">
        <v>34</v>
      </c>
      <c r="E220" t="s">
        <v>35</v>
      </c>
      <c r="F220" t="s">
        <v>36</v>
      </c>
      <c r="G220">
        <v>1141685</v>
      </c>
      <c r="H220" t="s">
        <v>79</v>
      </c>
      <c r="I220" t="s">
        <v>94</v>
      </c>
      <c r="J220" t="s">
        <v>101</v>
      </c>
      <c r="K220" t="s">
        <v>114</v>
      </c>
      <c r="L220" s="1">
        <v>46143</v>
      </c>
      <c r="M220" s="1">
        <v>46173</v>
      </c>
      <c r="N220">
        <v>1.7808353854000001</v>
      </c>
      <c r="O220" t="s">
        <v>56</v>
      </c>
      <c r="P220" t="s">
        <v>63</v>
      </c>
      <c r="Q220" t="s">
        <v>2301</v>
      </c>
      <c r="R220" t="s">
        <v>2304</v>
      </c>
      <c r="S220" t="s">
        <v>67</v>
      </c>
      <c r="T220" t="s">
        <v>2465</v>
      </c>
      <c r="U220" t="s">
        <v>2610</v>
      </c>
      <c r="V220">
        <v>16</v>
      </c>
      <c r="W220" s="2">
        <v>2485.4791710513</v>
      </c>
    </row>
    <row r="221" spans="1:23" x14ac:dyDescent="0.25">
      <c r="A221" t="s">
        <v>31</v>
      </c>
      <c r="B221" t="s">
        <v>32</v>
      </c>
      <c r="C221" t="s">
        <v>33</v>
      </c>
      <c r="D221" t="s">
        <v>34</v>
      </c>
      <c r="E221" t="s">
        <v>35</v>
      </c>
      <c r="F221" t="s">
        <v>36</v>
      </c>
      <c r="G221">
        <v>1141685</v>
      </c>
      <c r="H221" t="s">
        <v>79</v>
      </c>
      <c r="I221" t="s">
        <v>94</v>
      </c>
      <c r="J221" t="s">
        <v>101</v>
      </c>
      <c r="K221" t="s">
        <v>114</v>
      </c>
      <c r="L221" s="1">
        <v>46143</v>
      </c>
      <c r="M221" s="1">
        <v>46173</v>
      </c>
      <c r="N221">
        <v>5.6003870000000003E-4</v>
      </c>
      <c r="O221" t="s">
        <v>56</v>
      </c>
      <c r="P221" t="s">
        <v>63</v>
      </c>
      <c r="Q221" t="s">
        <v>2301</v>
      </c>
      <c r="R221" t="s">
        <v>2306</v>
      </c>
      <c r="S221" t="s">
        <v>67</v>
      </c>
      <c r="T221" t="s">
        <v>2466</v>
      </c>
      <c r="U221" t="s">
        <v>2611</v>
      </c>
      <c r="V221">
        <v>16</v>
      </c>
      <c r="W221" s="2">
        <v>0.77783866329999996</v>
      </c>
    </row>
    <row r="222" spans="1:23" x14ac:dyDescent="0.25">
      <c r="A222" t="s">
        <v>31</v>
      </c>
      <c r="B222" t="s">
        <v>32</v>
      </c>
      <c r="C222" t="s">
        <v>33</v>
      </c>
      <c r="D222" t="s">
        <v>34</v>
      </c>
      <c r="E222" t="s">
        <v>35</v>
      </c>
      <c r="F222" t="s">
        <v>36</v>
      </c>
      <c r="G222">
        <v>1141685</v>
      </c>
      <c r="H222" t="s">
        <v>79</v>
      </c>
      <c r="I222" t="s">
        <v>94</v>
      </c>
      <c r="J222" t="s">
        <v>101</v>
      </c>
      <c r="K222" t="s">
        <v>114</v>
      </c>
      <c r="L222" s="1">
        <v>46143</v>
      </c>
      <c r="M222" s="1">
        <v>46173</v>
      </c>
      <c r="N222">
        <v>2.2350000000000001E-7</v>
      </c>
      <c r="O222" t="s">
        <v>56</v>
      </c>
      <c r="P222" t="s">
        <v>63</v>
      </c>
      <c r="Q222" t="s">
        <v>2301</v>
      </c>
      <c r="R222" t="s">
        <v>2304</v>
      </c>
      <c r="S222" t="s">
        <v>67</v>
      </c>
      <c r="T222" t="s">
        <v>2455</v>
      </c>
      <c r="U222" t="s">
        <v>2600</v>
      </c>
      <c r="V222">
        <v>16</v>
      </c>
      <c r="W222" s="2">
        <v>2.7452370000000001E-4</v>
      </c>
    </row>
    <row r="223" spans="1:23" x14ac:dyDescent="0.25">
      <c r="A223" t="s">
        <v>31</v>
      </c>
      <c r="B223" t="s">
        <v>32</v>
      </c>
      <c r="C223" t="s">
        <v>33</v>
      </c>
      <c r="D223" t="s">
        <v>34</v>
      </c>
      <c r="E223" t="s">
        <v>35</v>
      </c>
      <c r="F223" t="s">
        <v>36</v>
      </c>
      <c r="G223">
        <v>1141685</v>
      </c>
      <c r="H223" t="s">
        <v>79</v>
      </c>
      <c r="I223" t="s">
        <v>94</v>
      </c>
      <c r="J223" t="s">
        <v>101</v>
      </c>
      <c r="K223" t="s">
        <v>114</v>
      </c>
      <c r="L223" s="1">
        <v>46143</v>
      </c>
      <c r="M223" s="1">
        <v>46173</v>
      </c>
      <c r="N223">
        <v>2.2350000000000001E-7</v>
      </c>
      <c r="O223" t="s">
        <v>56</v>
      </c>
      <c r="P223" t="s">
        <v>63</v>
      </c>
      <c r="Q223" t="s">
        <v>2301</v>
      </c>
      <c r="R223" t="s">
        <v>2304</v>
      </c>
      <c r="S223" t="s">
        <v>67</v>
      </c>
      <c r="T223" t="s">
        <v>2455</v>
      </c>
      <c r="U223" t="s">
        <v>2600</v>
      </c>
      <c r="V223">
        <v>16</v>
      </c>
      <c r="W223" s="2">
        <v>2.7452370000000001E-4</v>
      </c>
    </row>
    <row r="224" spans="1:23" x14ac:dyDescent="0.25">
      <c r="A224" t="s">
        <v>31</v>
      </c>
      <c r="B224" t="s">
        <v>32</v>
      </c>
      <c r="C224" t="s">
        <v>33</v>
      </c>
      <c r="D224" t="s">
        <v>34</v>
      </c>
      <c r="E224" t="s">
        <v>35</v>
      </c>
      <c r="F224" t="s">
        <v>36</v>
      </c>
      <c r="G224">
        <v>1141685</v>
      </c>
      <c r="H224" t="s">
        <v>79</v>
      </c>
      <c r="I224" t="s">
        <v>94</v>
      </c>
      <c r="J224" t="s">
        <v>101</v>
      </c>
      <c r="K224" t="s">
        <v>114</v>
      </c>
      <c r="L224" s="1">
        <v>46143</v>
      </c>
      <c r="M224" s="1">
        <v>46173</v>
      </c>
      <c r="N224">
        <v>1.118E-7</v>
      </c>
      <c r="O224" t="s">
        <v>56</v>
      </c>
      <c r="P224" t="s">
        <v>63</v>
      </c>
      <c r="Q224" t="s">
        <v>2301</v>
      </c>
      <c r="R224" t="s">
        <v>2305</v>
      </c>
      <c r="S224" t="s">
        <v>67</v>
      </c>
      <c r="T224" t="s">
        <v>2467</v>
      </c>
      <c r="U224" t="s">
        <v>2612</v>
      </c>
      <c r="V224">
        <v>16</v>
      </c>
      <c r="W224" s="2">
        <v>1.3726179999999999E-4</v>
      </c>
    </row>
    <row r="225" spans="1:23" x14ac:dyDescent="0.25">
      <c r="A225" t="s">
        <v>31</v>
      </c>
      <c r="B225" t="s">
        <v>32</v>
      </c>
      <c r="C225" t="s">
        <v>33</v>
      </c>
      <c r="D225" t="s">
        <v>34</v>
      </c>
      <c r="E225" t="s">
        <v>35</v>
      </c>
      <c r="F225" t="s">
        <v>36</v>
      </c>
      <c r="G225">
        <v>1141685</v>
      </c>
      <c r="H225" t="s">
        <v>82</v>
      </c>
      <c r="I225" t="s">
        <v>82</v>
      </c>
      <c r="J225" t="s">
        <v>82</v>
      </c>
      <c r="K225" t="s">
        <v>118</v>
      </c>
      <c r="L225" s="1">
        <v>46143</v>
      </c>
      <c r="M225" s="1">
        <v>46173</v>
      </c>
      <c r="N225">
        <v>0.287161</v>
      </c>
      <c r="O225" t="s">
        <v>60</v>
      </c>
      <c r="P225" t="s">
        <v>63</v>
      </c>
      <c r="Q225" t="s">
        <v>2302</v>
      </c>
      <c r="R225" t="s">
        <v>147</v>
      </c>
      <c r="S225" t="s">
        <v>68</v>
      </c>
      <c r="T225" t="s">
        <v>2468</v>
      </c>
      <c r="U225" t="s">
        <v>2613</v>
      </c>
      <c r="V225">
        <v>7</v>
      </c>
      <c r="W225" s="2">
        <v>2003.923403712</v>
      </c>
    </row>
    <row r="226" spans="1:23" x14ac:dyDescent="0.25">
      <c r="A226" t="s">
        <v>31</v>
      </c>
      <c r="B226" t="s">
        <v>32</v>
      </c>
      <c r="C226" t="s">
        <v>33</v>
      </c>
      <c r="D226" t="s">
        <v>34</v>
      </c>
      <c r="E226" t="s">
        <v>35</v>
      </c>
      <c r="F226" t="s">
        <v>36</v>
      </c>
      <c r="G226">
        <v>1141685</v>
      </c>
      <c r="H226" t="s">
        <v>81</v>
      </c>
      <c r="I226" t="s">
        <v>97</v>
      </c>
      <c r="J226" t="s">
        <v>102</v>
      </c>
      <c r="K226" t="s">
        <v>117</v>
      </c>
      <c r="L226" s="1">
        <v>46143</v>
      </c>
      <c r="M226" s="1">
        <v>46173</v>
      </c>
      <c r="N226">
        <v>88</v>
      </c>
      <c r="O226" t="s">
        <v>58</v>
      </c>
      <c r="P226" t="s">
        <v>63</v>
      </c>
      <c r="Q226" t="s">
        <v>2303</v>
      </c>
      <c r="R226" t="s">
        <v>2308</v>
      </c>
      <c r="S226" t="s">
        <v>67</v>
      </c>
      <c r="T226" t="s">
        <v>2361</v>
      </c>
      <c r="U226" t="s">
        <v>2506</v>
      </c>
      <c r="V226">
        <v>9</v>
      </c>
      <c r="W226" s="2">
        <v>0</v>
      </c>
    </row>
    <row r="227" spans="1:23" x14ac:dyDescent="0.25">
      <c r="A227" t="s">
        <v>31</v>
      </c>
      <c r="B227" t="s">
        <v>32</v>
      </c>
      <c r="C227" t="s">
        <v>33</v>
      </c>
      <c r="D227" t="s">
        <v>34</v>
      </c>
      <c r="E227" t="s">
        <v>35</v>
      </c>
      <c r="F227" t="s">
        <v>36</v>
      </c>
      <c r="G227">
        <v>1141685</v>
      </c>
      <c r="H227" t="s">
        <v>81</v>
      </c>
      <c r="I227" t="s">
        <v>97</v>
      </c>
      <c r="J227" t="s">
        <v>102</v>
      </c>
      <c r="K227" t="s">
        <v>117</v>
      </c>
      <c r="L227" s="1">
        <v>46143</v>
      </c>
      <c r="M227" s="1">
        <v>46173</v>
      </c>
      <c r="N227">
        <v>371</v>
      </c>
      <c r="O227" t="s">
        <v>58</v>
      </c>
      <c r="P227" t="s">
        <v>63</v>
      </c>
      <c r="Q227" t="s">
        <v>2303</v>
      </c>
      <c r="R227" t="s">
        <v>2308</v>
      </c>
      <c r="S227" t="s">
        <v>67</v>
      </c>
      <c r="T227" t="s">
        <v>2361</v>
      </c>
      <c r="U227" t="s">
        <v>2506</v>
      </c>
      <c r="V227">
        <v>9</v>
      </c>
      <c r="W227" s="2">
        <v>0</v>
      </c>
    </row>
    <row r="228" spans="1:23" x14ac:dyDescent="0.25">
      <c r="A228" t="s">
        <v>31</v>
      </c>
      <c r="B228" t="s">
        <v>32</v>
      </c>
      <c r="C228" t="s">
        <v>33</v>
      </c>
      <c r="D228" t="s">
        <v>34</v>
      </c>
      <c r="E228" t="s">
        <v>35</v>
      </c>
      <c r="F228" t="s">
        <v>36</v>
      </c>
      <c r="G228">
        <v>1141685</v>
      </c>
      <c r="H228" t="s">
        <v>86</v>
      </c>
      <c r="I228" t="s">
        <v>42</v>
      </c>
      <c r="J228" t="s">
        <v>86</v>
      </c>
      <c r="K228" t="s">
        <v>124</v>
      </c>
      <c r="L228" s="1">
        <v>46143</v>
      </c>
      <c r="M228" s="1">
        <v>46173</v>
      </c>
      <c r="N228">
        <v>0.182784</v>
      </c>
      <c r="O228" t="s">
        <v>135</v>
      </c>
      <c r="P228" t="s">
        <v>63</v>
      </c>
      <c r="Q228" t="s">
        <v>2300</v>
      </c>
      <c r="R228" t="s">
        <v>2325</v>
      </c>
      <c r="S228" t="s">
        <v>67</v>
      </c>
      <c r="T228" t="s">
        <v>2469</v>
      </c>
      <c r="U228" t="s">
        <v>2614</v>
      </c>
      <c r="V228">
        <v>16</v>
      </c>
      <c r="W228" s="2">
        <v>62852.229652147202</v>
      </c>
    </row>
    <row r="229" spans="1:23" x14ac:dyDescent="0.25">
      <c r="A229" t="s">
        <v>31</v>
      </c>
      <c r="B229" t="s">
        <v>32</v>
      </c>
      <c r="C229" t="s">
        <v>33</v>
      </c>
      <c r="D229" t="s">
        <v>34</v>
      </c>
      <c r="E229" t="s">
        <v>35</v>
      </c>
      <c r="F229" t="s">
        <v>36</v>
      </c>
      <c r="G229">
        <v>1141685</v>
      </c>
      <c r="H229" t="s">
        <v>87</v>
      </c>
      <c r="I229" t="s">
        <v>87</v>
      </c>
      <c r="J229" t="s">
        <v>87</v>
      </c>
      <c r="K229" t="s">
        <v>125</v>
      </c>
      <c r="L229" s="1">
        <v>46143</v>
      </c>
      <c r="M229" s="1">
        <v>46173</v>
      </c>
      <c r="N229">
        <v>744</v>
      </c>
      <c r="O229" t="s">
        <v>58</v>
      </c>
      <c r="P229" t="s">
        <v>63</v>
      </c>
      <c r="Q229" t="s">
        <v>2301</v>
      </c>
      <c r="R229" t="s">
        <v>164</v>
      </c>
      <c r="S229" t="s">
        <v>67</v>
      </c>
      <c r="T229" t="s">
        <v>2470</v>
      </c>
      <c r="U229" t="s">
        <v>2615</v>
      </c>
      <c r="V229">
        <v>12</v>
      </c>
      <c r="W229" s="2">
        <v>324495.598</v>
      </c>
    </row>
    <row r="230" spans="1:23" x14ac:dyDescent="0.25">
      <c r="A230" t="s">
        <v>31</v>
      </c>
      <c r="B230" t="s">
        <v>32</v>
      </c>
      <c r="C230" t="s">
        <v>33</v>
      </c>
      <c r="D230" t="s">
        <v>34</v>
      </c>
      <c r="E230" t="s">
        <v>35</v>
      </c>
      <c r="F230" t="s">
        <v>36</v>
      </c>
      <c r="G230">
        <v>1141685</v>
      </c>
      <c r="H230" t="s">
        <v>3065</v>
      </c>
      <c r="I230" t="s">
        <v>42</v>
      </c>
      <c r="J230" t="s">
        <v>3065</v>
      </c>
      <c r="K230" t="s">
        <v>3066</v>
      </c>
      <c r="L230" s="4">
        <v>46173</v>
      </c>
      <c r="M230" s="4">
        <v>46173</v>
      </c>
      <c r="N230">
        <v>1143.22</v>
      </c>
      <c r="O230" t="s">
        <v>59</v>
      </c>
      <c r="P230" t="s">
        <v>63</v>
      </c>
      <c r="Q230" t="s">
        <v>3876</v>
      </c>
      <c r="R230" t="s">
        <v>3877</v>
      </c>
      <c r="S230" t="s">
        <v>66</v>
      </c>
      <c r="T230" t="s">
        <v>3878</v>
      </c>
      <c r="U230" t="s">
        <v>3879</v>
      </c>
      <c r="V230">
        <v>7</v>
      </c>
      <c r="W230" s="2">
        <v>29016</v>
      </c>
    </row>
    <row r="231" spans="1:23" x14ac:dyDescent="0.25">
      <c r="A231" t="s">
        <v>31</v>
      </c>
      <c r="B231" t="s">
        <v>32</v>
      </c>
      <c r="C231" t="s">
        <v>33</v>
      </c>
      <c r="D231" t="s">
        <v>34</v>
      </c>
      <c r="E231" t="s">
        <v>35</v>
      </c>
      <c r="F231" t="s">
        <v>36</v>
      </c>
      <c r="G231">
        <v>1141685</v>
      </c>
      <c r="H231" t="s">
        <v>3065</v>
      </c>
      <c r="I231" t="s">
        <v>42</v>
      </c>
      <c r="J231" t="s">
        <v>3065</v>
      </c>
      <c r="K231" t="s">
        <v>3066</v>
      </c>
      <c r="L231" s="4">
        <v>46173</v>
      </c>
      <c r="M231" s="4">
        <v>46173</v>
      </c>
      <c r="N231">
        <v>1143.22</v>
      </c>
      <c r="O231" t="s">
        <v>59</v>
      </c>
      <c r="P231" t="s">
        <v>63</v>
      </c>
      <c r="Q231" t="s">
        <v>3876</v>
      </c>
      <c r="R231" t="s">
        <v>3877</v>
      </c>
      <c r="S231" t="s">
        <v>66</v>
      </c>
      <c r="T231" t="s">
        <v>3878</v>
      </c>
      <c r="U231" t="s">
        <v>3879</v>
      </c>
      <c r="V231">
        <v>7</v>
      </c>
      <c r="W231" s="2">
        <v>29016</v>
      </c>
    </row>
    <row r="232" spans="1:23" x14ac:dyDescent="0.25">
      <c r="A232" t="s">
        <v>31</v>
      </c>
      <c r="B232" t="s">
        <v>32</v>
      </c>
      <c r="C232" t="s">
        <v>33</v>
      </c>
      <c r="D232" t="s">
        <v>34</v>
      </c>
      <c r="E232" t="s">
        <v>35</v>
      </c>
      <c r="F232" t="s">
        <v>36</v>
      </c>
      <c r="G232">
        <v>1141685</v>
      </c>
      <c r="H232" t="s">
        <v>3065</v>
      </c>
      <c r="I232" t="s">
        <v>42</v>
      </c>
      <c r="J232" t="s">
        <v>3065</v>
      </c>
      <c r="K232" t="s">
        <v>3066</v>
      </c>
      <c r="L232" s="4">
        <v>46173</v>
      </c>
      <c r="M232" s="4">
        <v>46173</v>
      </c>
      <c r="N232">
        <v>1143.22</v>
      </c>
      <c r="O232" t="s">
        <v>59</v>
      </c>
      <c r="P232" t="s">
        <v>63</v>
      </c>
      <c r="Q232" t="s">
        <v>3876</v>
      </c>
      <c r="R232" t="s">
        <v>3877</v>
      </c>
      <c r="S232" t="s">
        <v>66</v>
      </c>
      <c r="T232" t="s">
        <v>3878</v>
      </c>
      <c r="U232" t="s">
        <v>3879</v>
      </c>
      <c r="V232">
        <v>7</v>
      </c>
      <c r="W232" s="2">
        <v>29016</v>
      </c>
    </row>
    <row r="233" spans="1:23" x14ac:dyDescent="0.25">
      <c r="A233" t="s">
        <v>31</v>
      </c>
      <c r="B233" t="s">
        <v>32</v>
      </c>
      <c r="C233" t="s">
        <v>33</v>
      </c>
      <c r="D233" t="s">
        <v>34</v>
      </c>
      <c r="E233" t="s">
        <v>35</v>
      </c>
      <c r="F233" t="s">
        <v>36</v>
      </c>
      <c r="G233">
        <v>1141685</v>
      </c>
      <c r="H233" t="s">
        <v>3065</v>
      </c>
      <c r="I233" t="s">
        <v>42</v>
      </c>
      <c r="J233" t="s">
        <v>3065</v>
      </c>
      <c r="K233" t="s">
        <v>3066</v>
      </c>
      <c r="L233" s="4">
        <v>46173</v>
      </c>
      <c r="M233" s="4">
        <v>46173</v>
      </c>
      <c r="N233">
        <v>1143.22</v>
      </c>
      <c r="O233" t="s">
        <v>59</v>
      </c>
      <c r="P233" t="s">
        <v>63</v>
      </c>
      <c r="Q233" t="s">
        <v>3876</v>
      </c>
      <c r="R233" t="s">
        <v>3877</v>
      </c>
      <c r="S233" t="s">
        <v>66</v>
      </c>
      <c r="T233" t="s">
        <v>3878</v>
      </c>
      <c r="U233" t="s">
        <v>3879</v>
      </c>
      <c r="V233">
        <v>7</v>
      </c>
      <c r="W233" s="2">
        <v>29016</v>
      </c>
    </row>
    <row r="234" spans="1:23" x14ac:dyDescent="0.25">
      <c r="A234" t="s">
        <v>31</v>
      </c>
      <c r="B234" t="s">
        <v>32</v>
      </c>
      <c r="C234" t="s">
        <v>33</v>
      </c>
      <c r="D234" t="s">
        <v>34</v>
      </c>
      <c r="E234" t="s">
        <v>35</v>
      </c>
      <c r="F234" t="s">
        <v>36</v>
      </c>
      <c r="G234">
        <v>1141685</v>
      </c>
      <c r="H234" t="s">
        <v>3065</v>
      </c>
      <c r="I234" t="s">
        <v>42</v>
      </c>
      <c r="J234" t="s">
        <v>3065</v>
      </c>
      <c r="K234" t="s">
        <v>3066</v>
      </c>
      <c r="L234" s="4">
        <v>46173</v>
      </c>
      <c r="M234" s="4">
        <v>46173</v>
      </c>
      <c r="N234">
        <v>1143.22</v>
      </c>
      <c r="O234" t="s">
        <v>59</v>
      </c>
      <c r="P234" t="s">
        <v>63</v>
      </c>
      <c r="Q234" t="s">
        <v>3876</v>
      </c>
      <c r="R234" t="s">
        <v>3877</v>
      </c>
      <c r="S234" t="s">
        <v>66</v>
      </c>
      <c r="T234" t="s">
        <v>3878</v>
      </c>
      <c r="U234" t="s">
        <v>3879</v>
      </c>
      <c r="V234">
        <v>7</v>
      </c>
      <c r="W234" s="2">
        <v>29016</v>
      </c>
    </row>
    <row r="235" spans="1:23" x14ac:dyDescent="0.25">
      <c r="A235" t="s">
        <v>31</v>
      </c>
      <c r="B235" t="s">
        <v>32</v>
      </c>
      <c r="C235" t="s">
        <v>33</v>
      </c>
      <c r="D235" t="s">
        <v>34</v>
      </c>
      <c r="E235" t="s">
        <v>35</v>
      </c>
      <c r="F235" t="s">
        <v>36</v>
      </c>
      <c r="G235">
        <v>1141685</v>
      </c>
      <c r="H235" t="s">
        <v>3065</v>
      </c>
      <c r="I235" t="s">
        <v>42</v>
      </c>
      <c r="J235" t="s">
        <v>3065</v>
      </c>
      <c r="K235" t="s">
        <v>3066</v>
      </c>
      <c r="L235" s="4">
        <v>46173</v>
      </c>
      <c r="M235" s="4">
        <v>46173</v>
      </c>
      <c r="N235">
        <v>1143.22</v>
      </c>
      <c r="O235" t="s">
        <v>59</v>
      </c>
      <c r="P235" t="s">
        <v>63</v>
      </c>
      <c r="Q235" t="s">
        <v>3876</v>
      </c>
      <c r="R235" t="s">
        <v>3877</v>
      </c>
      <c r="S235" t="s">
        <v>66</v>
      </c>
      <c r="T235" t="s">
        <v>3878</v>
      </c>
      <c r="U235" t="s">
        <v>3879</v>
      </c>
      <c r="V235">
        <v>7</v>
      </c>
      <c r="W235" s="2">
        <v>29016</v>
      </c>
    </row>
    <row r="236" spans="1:23" x14ac:dyDescent="0.25">
      <c r="A236" t="s">
        <v>31</v>
      </c>
      <c r="B236" t="s">
        <v>32</v>
      </c>
      <c r="C236" t="s">
        <v>33</v>
      </c>
      <c r="D236" t="s">
        <v>34</v>
      </c>
      <c r="E236" t="s">
        <v>35</v>
      </c>
      <c r="F236" t="s">
        <v>36</v>
      </c>
      <c r="G236">
        <v>1141685</v>
      </c>
      <c r="H236" t="s">
        <v>3065</v>
      </c>
      <c r="I236" t="s">
        <v>42</v>
      </c>
      <c r="J236" t="s">
        <v>3065</v>
      </c>
      <c r="K236" t="s">
        <v>3066</v>
      </c>
      <c r="L236" s="4">
        <v>46173</v>
      </c>
      <c r="M236" s="4">
        <v>46173</v>
      </c>
      <c r="N236">
        <v>1143.22</v>
      </c>
      <c r="O236" t="s">
        <v>59</v>
      </c>
      <c r="P236" t="s">
        <v>63</v>
      </c>
      <c r="Q236" t="s">
        <v>3876</v>
      </c>
      <c r="R236" t="s">
        <v>3877</v>
      </c>
      <c r="S236" t="s">
        <v>66</v>
      </c>
      <c r="T236" t="s">
        <v>3878</v>
      </c>
      <c r="U236" t="s">
        <v>3879</v>
      </c>
      <c r="V236">
        <v>7</v>
      </c>
      <c r="W236" s="2">
        <v>29016</v>
      </c>
    </row>
    <row r="237" spans="1:23" x14ac:dyDescent="0.25">
      <c r="A237" t="s">
        <v>31</v>
      </c>
      <c r="B237" t="s">
        <v>32</v>
      </c>
      <c r="C237" t="s">
        <v>33</v>
      </c>
      <c r="D237" t="s">
        <v>34</v>
      </c>
      <c r="E237" t="s">
        <v>35</v>
      </c>
      <c r="F237" t="s">
        <v>36</v>
      </c>
      <c r="G237">
        <v>1141685</v>
      </c>
      <c r="H237" t="s">
        <v>3065</v>
      </c>
      <c r="I237" t="s">
        <v>42</v>
      </c>
      <c r="J237" t="s">
        <v>3065</v>
      </c>
      <c r="K237" t="s">
        <v>3066</v>
      </c>
      <c r="L237" s="4">
        <v>46173</v>
      </c>
      <c r="M237" s="4">
        <v>46173</v>
      </c>
      <c r="N237">
        <v>1143.22</v>
      </c>
      <c r="O237" t="s">
        <v>59</v>
      </c>
      <c r="P237" t="s">
        <v>63</v>
      </c>
      <c r="Q237" t="s">
        <v>3876</v>
      </c>
      <c r="R237" t="s">
        <v>3877</v>
      </c>
      <c r="S237" t="s">
        <v>66</v>
      </c>
      <c r="T237" t="s">
        <v>3878</v>
      </c>
      <c r="U237" t="s">
        <v>3879</v>
      </c>
      <c r="V237">
        <v>7</v>
      </c>
      <c r="W237" s="2">
        <v>29016</v>
      </c>
    </row>
    <row r="238" spans="1:23" x14ac:dyDescent="0.25">
      <c r="A238" t="s">
        <v>31</v>
      </c>
      <c r="B238" t="s">
        <v>32</v>
      </c>
      <c r="C238" t="s">
        <v>33</v>
      </c>
      <c r="D238" t="s">
        <v>34</v>
      </c>
      <c r="E238" t="s">
        <v>35</v>
      </c>
      <c r="F238" t="s">
        <v>36</v>
      </c>
      <c r="G238">
        <v>1141685</v>
      </c>
      <c r="H238" t="s">
        <v>3065</v>
      </c>
      <c r="I238" t="s">
        <v>42</v>
      </c>
      <c r="J238" t="s">
        <v>3065</v>
      </c>
      <c r="K238" t="s">
        <v>3066</v>
      </c>
      <c r="L238" s="4">
        <v>46173</v>
      </c>
      <c r="M238" s="4">
        <v>46173</v>
      </c>
      <c r="N238">
        <v>1143.22</v>
      </c>
      <c r="O238" t="s">
        <v>59</v>
      </c>
      <c r="P238" t="s">
        <v>63</v>
      </c>
      <c r="Q238" t="s">
        <v>3876</v>
      </c>
      <c r="R238" t="s">
        <v>3877</v>
      </c>
      <c r="S238" t="s">
        <v>66</v>
      </c>
      <c r="T238" t="s">
        <v>3878</v>
      </c>
      <c r="U238" t="s">
        <v>3879</v>
      </c>
      <c r="V238">
        <v>7</v>
      </c>
      <c r="W238" s="2">
        <v>29016</v>
      </c>
    </row>
    <row r="239" spans="1:23" x14ac:dyDescent="0.25">
      <c r="A239" t="s">
        <v>31</v>
      </c>
      <c r="B239" t="s">
        <v>32</v>
      </c>
      <c r="C239" t="s">
        <v>33</v>
      </c>
      <c r="D239" t="s">
        <v>34</v>
      </c>
      <c r="E239" t="s">
        <v>35</v>
      </c>
      <c r="F239" t="s">
        <v>36</v>
      </c>
      <c r="G239">
        <v>1141685</v>
      </c>
      <c r="H239" t="s">
        <v>3065</v>
      </c>
      <c r="I239" t="s">
        <v>42</v>
      </c>
      <c r="J239" t="s">
        <v>3065</v>
      </c>
      <c r="K239" t="s">
        <v>3066</v>
      </c>
      <c r="L239" s="4">
        <v>46173</v>
      </c>
      <c r="M239" s="4">
        <v>46173</v>
      </c>
      <c r="N239">
        <v>1143.22</v>
      </c>
      <c r="O239" t="s">
        <v>59</v>
      </c>
      <c r="P239" t="s">
        <v>63</v>
      </c>
      <c r="Q239" t="s">
        <v>3876</v>
      </c>
      <c r="R239" t="s">
        <v>3877</v>
      </c>
      <c r="S239" t="s">
        <v>66</v>
      </c>
      <c r="T239" t="s">
        <v>3878</v>
      </c>
      <c r="U239" t="s">
        <v>3879</v>
      </c>
      <c r="V239">
        <v>7</v>
      </c>
      <c r="W239" s="2">
        <v>29016</v>
      </c>
    </row>
    <row r="240" spans="1:23" x14ac:dyDescent="0.25">
      <c r="A240" t="s">
        <v>31</v>
      </c>
      <c r="B240" t="s">
        <v>32</v>
      </c>
      <c r="C240" t="s">
        <v>33</v>
      </c>
      <c r="D240" t="s">
        <v>34</v>
      </c>
      <c r="E240" t="s">
        <v>35</v>
      </c>
      <c r="F240" t="s">
        <v>36</v>
      </c>
      <c r="G240">
        <v>1141685</v>
      </c>
      <c r="H240" t="s">
        <v>3065</v>
      </c>
      <c r="I240" t="s">
        <v>42</v>
      </c>
      <c r="J240" t="s">
        <v>3065</v>
      </c>
      <c r="K240" t="s">
        <v>3066</v>
      </c>
      <c r="L240" s="4">
        <v>46173</v>
      </c>
      <c r="M240" s="4">
        <v>46173</v>
      </c>
      <c r="N240">
        <v>1143.22</v>
      </c>
      <c r="O240" t="s">
        <v>59</v>
      </c>
      <c r="P240" t="s">
        <v>63</v>
      </c>
      <c r="Q240" t="s">
        <v>3876</v>
      </c>
      <c r="R240" t="s">
        <v>3877</v>
      </c>
      <c r="S240" t="s">
        <v>66</v>
      </c>
      <c r="T240" t="s">
        <v>3878</v>
      </c>
      <c r="U240" t="s">
        <v>3879</v>
      </c>
      <c r="V240">
        <v>7</v>
      </c>
      <c r="W240" s="2">
        <v>29016</v>
      </c>
    </row>
    <row r="241" spans="1:23" x14ac:dyDescent="0.25">
      <c r="A241" t="s">
        <v>31</v>
      </c>
      <c r="B241" t="s">
        <v>32</v>
      </c>
      <c r="C241" t="s">
        <v>33</v>
      </c>
      <c r="D241" t="s">
        <v>34</v>
      </c>
      <c r="E241" t="s">
        <v>35</v>
      </c>
      <c r="F241" t="s">
        <v>36</v>
      </c>
      <c r="G241">
        <v>1141685</v>
      </c>
      <c r="H241" t="s">
        <v>3065</v>
      </c>
      <c r="I241" t="s">
        <v>42</v>
      </c>
      <c r="J241" t="s">
        <v>3065</v>
      </c>
      <c r="K241" t="s">
        <v>3066</v>
      </c>
      <c r="L241" s="4">
        <v>46173</v>
      </c>
      <c r="M241" s="4">
        <v>46173</v>
      </c>
      <c r="N241">
        <v>1143.22</v>
      </c>
      <c r="O241" t="s">
        <v>59</v>
      </c>
      <c r="P241" t="s">
        <v>63</v>
      </c>
      <c r="Q241" t="s">
        <v>3876</v>
      </c>
      <c r="R241" t="s">
        <v>3877</v>
      </c>
      <c r="S241" t="s">
        <v>66</v>
      </c>
      <c r="T241" t="s">
        <v>3878</v>
      </c>
      <c r="U241" t="s">
        <v>3879</v>
      </c>
      <c r="V241">
        <v>7</v>
      </c>
      <c r="W241" s="2">
        <v>29016</v>
      </c>
    </row>
    <row r="242" spans="1:23" x14ac:dyDescent="0.25">
      <c r="A242" t="s">
        <v>31</v>
      </c>
      <c r="B242" t="s">
        <v>32</v>
      </c>
      <c r="C242" t="s">
        <v>33</v>
      </c>
      <c r="D242" t="s">
        <v>34</v>
      </c>
      <c r="E242" t="s">
        <v>35</v>
      </c>
      <c r="F242" t="s">
        <v>36</v>
      </c>
      <c r="G242">
        <v>1141685</v>
      </c>
      <c r="H242" t="s">
        <v>3065</v>
      </c>
      <c r="I242" t="s">
        <v>42</v>
      </c>
      <c r="J242" t="s">
        <v>3065</v>
      </c>
      <c r="K242" t="s">
        <v>3066</v>
      </c>
      <c r="L242" s="4">
        <v>46173</v>
      </c>
      <c r="M242" s="4">
        <v>46173</v>
      </c>
      <c r="N242">
        <v>1143.22</v>
      </c>
      <c r="O242" t="s">
        <v>59</v>
      </c>
      <c r="P242" t="s">
        <v>63</v>
      </c>
      <c r="Q242" t="s">
        <v>3876</v>
      </c>
      <c r="R242" t="s">
        <v>3877</v>
      </c>
      <c r="S242" t="s">
        <v>66</v>
      </c>
      <c r="T242" t="s">
        <v>3878</v>
      </c>
      <c r="U242" t="s">
        <v>3879</v>
      </c>
      <c r="V242">
        <v>7</v>
      </c>
      <c r="W242" s="2">
        <v>29016</v>
      </c>
    </row>
    <row r="243" spans="1:23" x14ac:dyDescent="0.25">
      <c r="A243" t="s">
        <v>31</v>
      </c>
      <c r="B243" t="s">
        <v>32</v>
      </c>
      <c r="C243" t="s">
        <v>33</v>
      </c>
      <c r="D243" t="s">
        <v>34</v>
      </c>
      <c r="E243" t="s">
        <v>35</v>
      </c>
      <c r="F243" t="s">
        <v>36</v>
      </c>
      <c r="G243">
        <v>1141685</v>
      </c>
      <c r="H243" t="s">
        <v>3065</v>
      </c>
      <c r="I243" t="s">
        <v>42</v>
      </c>
      <c r="J243" t="s">
        <v>3065</v>
      </c>
      <c r="K243" t="s">
        <v>3066</v>
      </c>
      <c r="L243" s="4">
        <v>46173</v>
      </c>
      <c r="M243" s="4">
        <v>46173</v>
      </c>
      <c r="N243">
        <v>1143.22</v>
      </c>
      <c r="O243" t="s">
        <v>59</v>
      </c>
      <c r="P243" t="s">
        <v>63</v>
      </c>
      <c r="Q243" t="s">
        <v>3876</v>
      </c>
      <c r="R243" t="s">
        <v>3877</v>
      </c>
      <c r="S243" t="s">
        <v>66</v>
      </c>
      <c r="T243" t="s">
        <v>3878</v>
      </c>
      <c r="U243" t="s">
        <v>3879</v>
      </c>
      <c r="V243">
        <v>7</v>
      </c>
      <c r="W243" s="2">
        <v>29016</v>
      </c>
    </row>
    <row r="244" spans="1:23" x14ac:dyDescent="0.25">
      <c r="A244" t="s">
        <v>31</v>
      </c>
      <c r="B244" t="s">
        <v>32</v>
      </c>
      <c r="C244" t="s">
        <v>33</v>
      </c>
      <c r="D244" t="s">
        <v>34</v>
      </c>
      <c r="E244" t="s">
        <v>35</v>
      </c>
      <c r="F244" t="s">
        <v>36</v>
      </c>
      <c r="G244">
        <v>1141685</v>
      </c>
      <c r="H244" t="s">
        <v>3065</v>
      </c>
      <c r="I244" t="s">
        <v>42</v>
      </c>
      <c r="J244" t="s">
        <v>3065</v>
      </c>
      <c r="K244" t="s">
        <v>3066</v>
      </c>
      <c r="L244" s="4">
        <v>46173</v>
      </c>
      <c r="M244" s="4">
        <v>46173</v>
      </c>
      <c r="N244">
        <v>1143.22</v>
      </c>
      <c r="O244" t="s">
        <v>59</v>
      </c>
      <c r="P244" t="s">
        <v>63</v>
      </c>
      <c r="Q244" t="s">
        <v>3876</v>
      </c>
      <c r="R244" t="s">
        <v>3877</v>
      </c>
      <c r="S244" t="s">
        <v>66</v>
      </c>
      <c r="T244" t="s">
        <v>3878</v>
      </c>
      <c r="U244" t="s">
        <v>3879</v>
      </c>
      <c r="V244">
        <v>7</v>
      </c>
      <c r="W244" s="2">
        <v>29016</v>
      </c>
    </row>
    <row r="245" spans="1:23" x14ac:dyDescent="0.25">
      <c r="A245" t="s">
        <v>31</v>
      </c>
      <c r="B245" t="s">
        <v>32</v>
      </c>
      <c r="C245" t="s">
        <v>33</v>
      </c>
      <c r="D245" t="s">
        <v>34</v>
      </c>
      <c r="E245" t="s">
        <v>35</v>
      </c>
      <c r="F245" t="s">
        <v>36</v>
      </c>
      <c r="G245">
        <v>1141685</v>
      </c>
      <c r="H245" t="s">
        <v>3065</v>
      </c>
      <c r="I245" t="s">
        <v>42</v>
      </c>
      <c r="J245" t="s">
        <v>3065</v>
      </c>
      <c r="K245" t="s">
        <v>3066</v>
      </c>
      <c r="L245" s="4">
        <v>46173</v>
      </c>
      <c r="M245" s="4">
        <v>46173</v>
      </c>
      <c r="N245">
        <v>1143.22</v>
      </c>
      <c r="O245" t="s">
        <v>59</v>
      </c>
      <c r="P245" t="s">
        <v>63</v>
      </c>
      <c r="Q245" t="s">
        <v>3876</v>
      </c>
      <c r="R245" t="s">
        <v>3877</v>
      </c>
      <c r="S245" t="s">
        <v>66</v>
      </c>
      <c r="T245" t="s">
        <v>3878</v>
      </c>
      <c r="U245" t="s">
        <v>3879</v>
      </c>
      <c r="V245">
        <v>7</v>
      </c>
      <c r="W245" s="2">
        <v>29016</v>
      </c>
    </row>
    <row r="246" spans="1:23" x14ac:dyDescent="0.25">
      <c r="A246" t="s">
        <v>31</v>
      </c>
      <c r="B246" t="s">
        <v>32</v>
      </c>
      <c r="C246" t="s">
        <v>33</v>
      </c>
      <c r="D246" t="s">
        <v>34</v>
      </c>
      <c r="E246" t="s">
        <v>35</v>
      </c>
      <c r="F246" t="s">
        <v>36</v>
      </c>
      <c r="G246">
        <v>1141685</v>
      </c>
      <c r="H246" t="s">
        <v>3065</v>
      </c>
      <c r="I246" t="s">
        <v>42</v>
      </c>
      <c r="J246" t="s">
        <v>3065</v>
      </c>
      <c r="K246" t="s">
        <v>3066</v>
      </c>
      <c r="L246" s="4">
        <v>46173</v>
      </c>
      <c r="M246" s="4">
        <v>46173</v>
      </c>
      <c r="N246">
        <v>1143.22</v>
      </c>
      <c r="O246" t="s">
        <v>59</v>
      </c>
      <c r="P246" t="s">
        <v>63</v>
      </c>
      <c r="Q246" t="s">
        <v>3876</v>
      </c>
      <c r="R246" t="s">
        <v>3877</v>
      </c>
      <c r="S246" t="s">
        <v>66</v>
      </c>
      <c r="T246" t="s">
        <v>3878</v>
      </c>
      <c r="U246" t="s">
        <v>3879</v>
      </c>
      <c r="V246">
        <v>7</v>
      </c>
      <c r="W246" s="2">
        <v>29016</v>
      </c>
    </row>
    <row r="247" spans="1:23" x14ac:dyDescent="0.25">
      <c r="A247" t="s">
        <v>31</v>
      </c>
      <c r="B247" t="s">
        <v>32</v>
      </c>
      <c r="C247" t="s">
        <v>33</v>
      </c>
      <c r="D247" t="s">
        <v>34</v>
      </c>
      <c r="E247" t="s">
        <v>35</v>
      </c>
      <c r="F247" t="s">
        <v>36</v>
      </c>
      <c r="G247">
        <v>1141685</v>
      </c>
      <c r="H247" t="s">
        <v>3065</v>
      </c>
      <c r="I247" t="s">
        <v>42</v>
      </c>
      <c r="J247" t="s">
        <v>3065</v>
      </c>
      <c r="K247" t="s">
        <v>3066</v>
      </c>
      <c r="L247" s="4">
        <v>46173</v>
      </c>
      <c r="M247" s="4">
        <v>46173</v>
      </c>
      <c r="N247">
        <v>1143.22</v>
      </c>
      <c r="O247" t="s">
        <v>59</v>
      </c>
      <c r="P247" t="s">
        <v>63</v>
      </c>
      <c r="Q247" t="s">
        <v>3876</v>
      </c>
      <c r="R247" t="s">
        <v>3877</v>
      </c>
      <c r="S247" t="s">
        <v>66</v>
      </c>
      <c r="T247" t="s">
        <v>3878</v>
      </c>
      <c r="U247" t="s">
        <v>3879</v>
      </c>
      <c r="V247">
        <v>7</v>
      </c>
      <c r="W247" s="2">
        <v>29016</v>
      </c>
    </row>
    <row r="248" spans="1:23" x14ac:dyDescent="0.25">
      <c r="A248" t="s">
        <v>31</v>
      </c>
      <c r="B248" t="s">
        <v>32</v>
      </c>
      <c r="C248" t="s">
        <v>33</v>
      </c>
      <c r="D248" t="s">
        <v>34</v>
      </c>
      <c r="E248" t="s">
        <v>35</v>
      </c>
      <c r="F248" t="s">
        <v>36</v>
      </c>
      <c r="G248">
        <v>1141685</v>
      </c>
      <c r="H248" t="s">
        <v>3065</v>
      </c>
      <c r="I248" t="s">
        <v>42</v>
      </c>
      <c r="J248" t="s">
        <v>3065</v>
      </c>
      <c r="K248" t="s">
        <v>3066</v>
      </c>
      <c r="L248" s="4">
        <v>46173</v>
      </c>
      <c r="M248" s="4">
        <v>46173</v>
      </c>
      <c r="N248">
        <v>1143.22</v>
      </c>
      <c r="O248" t="s">
        <v>59</v>
      </c>
      <c r="P248" t="s">
        <v>63</v>
      </c>
      <c r="Q248" t="s">
        <v>3876</v>
      </c>
      <c r="R248" t="s">
        <v>3877</v>
      </c>
      <c r="S248" t="s">
        <v>66</v>
      </c>
      <c r="T248" t="s">
        <v>3878</v>
      </c>
      <c r="U248" t="s">
        <v>3879</v>
      </c>
      <c r="V248">
        <v>7</v>
      </c>
      <c r="W248" s="2">
        <v>29016</v>
      </c>
    </row>
    <row r="249" spans="1:23" x14ac:dyDescent="0.25">
      <c r="A249" t="s">
        <v>31</v>
      </c>
      <c r="B249" t="s">
        <v>32</v>
      </c>
      <c r="C249" t="s">
        <v>33</v>
      </c>
      <c r="D249" t="s">
        <v>34</v>
      </c>
      <c r="E249" t="s">
        <v>35</v>
      </c>
      <c r="F249" t="s">
        <v>36</v>
      </c>
      <c r="G249">
        <v>1141685</v>
      </c>
      <c r="H249" t="s">
        <v>3065</v>
      </c>
      <c r="I249" t="s">
        <v>42</v>
      </c>
      <c r="J249" t="s">
        <v>3065</v>
      </c>
      <c r="K249" t="s">
        <v>3066</v>
      </c>
      <c r="L249" s="4">
        <v>46173</v>
      </c>
      <c r="M249" s="4">
        <v>46173</v>
      </c>
      <c r="N249">
        <v>1143.22</v>
      </c>
      <c r="O249" t="s">
        <v>59</v>
      </c>
      <c r="P249" t="s">
        <v>63</v>
      </c>
      <c r="Q249" t="s">
        <v>3876</v>
      </c>
      <c r="R249" t="s">
        <v>3877</v>
      </c>
      <c r="S249" t="s">
        <v>66</v>
      </c>
      <c r="T249" t="s">
        <v>3878</v>
      </c>
      <c r="U249" t="s">
        <v>3879</v>
      </c>
      <c r="V249">
        <v>7</v>
      </c>
      <c r="W249" s="2">
        <v>29016</v>
      </c>
    </row>
    <row r="250" spans="1:23" x14ac:dyDescent="0.25">
      <c r="A250" t="s">
        <v>31</v>
      </c>
      <c r="B250" t="s">
        <v>32</v>
      </c>
      <c r="C250" t="s">
        <v>33</v>
      </c>
      <c r="D250" t="s">
        <v>34</v>
      </c>
      <c r="E250" t="s">
        <v>35</v>
      </c>
      <c r="F250" t="s">
        <v>36</v>
      </c>
      <c r="G250">
        <v>1141685</v>
      </c>
      <c r="H250" t="s">
        <v>3065</v>
      </c>
      <c r="I250" t="s">
        <v>42</v>
      </c>
      <c r="J250" t="s">
        <v>3065</v>
      </c>
      <c r="K250" t="s">
        <v>3066</v>
      </c>
      <c r="L250" s="4">
        <v>46173</v>
      </c>
      <c r="M250" s="4">
        <v>46173</v>
      </c>
      <c r="N250">
        <v>1143.22</v>
      </c>
      <c r="O250" t="s">
        <v>59</v>
      </c>
      <c r="P250" t="s">
        <v>63</v>
      </c>
      <c r="Q250" t="s">
        <v>3876</v>
      </c>
      <c r="R250" t="s">
        <v>3877</v>
      </c>
      <c r="S250" t="s">
        <v>66</v>
      </c>
      <c r="T250" t="s">
        <v>3878</v>
      </c>
      <c r="U250" t="s">
        <v>3879</v>
      </c>
      <c r="V250">
        <v>7</v>
      </c>
      <c r="W250" s="2">
        <v>29016</v>
      </c>
    </row>
    <row r="251" spans="1:23" x14ac:dyDescent="0.25">
      <c r="A251" t="s">
        <v>31</v>
      </c>
      <c r="B251" t="s">
        <v>32</v>
      </c>
      <c r="C251" t="s">
        <v>33</v>
      </c>
      <c r="D251" t="s">
        <v>34</v>
      </c>
      <c r="E251" t="s">
        <v>35</v>
      </c>
      <c r="F251" t="s">
        <v>36</v>
      </c>
      <c r="G251">
        <v>1141685</v>
      </c>
      <c r="H251" t="s">
        <v>3065</v>
      </c>
      <c r="I251" t="s">
        <v>42</v>
      </c>
      <c r="J251" t="s">
        <v>3065</v>
      </c>
      <c r="K251" t="s">
        <v>3066</v>
      </c>
      <c r="L251" s="4">
        <v>46173</v>
      </c>
      <c r="M251" s="4">
        <v>46173</v>
      </c>
      <c r="N251">
        <v>1143.22</v>
      </c>
      <c r="O251" t="s">
        <v>59</v>
      </c>
      <c r="P251" t="s">
        <v>63</v>
      </c>
      <c r="Q251" t="s">
        <v>3876</v>
      </c>
      <c r="R251" t="s">
        <v>3877</v>
      </c>
      <c r="S251" t="s">
        <v>66</v>
      </c>
      <c r="T251" t="s">
        <v>3878</v>
      </c>
      <c r="U251" t="s">
        <v>3879</v>
      </c>
      <c r="V251">
        <v>7</v>
      </c>
      <c r="W251" s="2">
        <v>29016</v>
      </c>
    </row>
    <row r="252" spans="1:23" x14ac:dyDescent="0.25">
      <c r="A252" t="s">
        <v>31</v>
      </c>
      <c r="B252" t="s">
        <v>32</v>
      </c>
      <c r="C252" t="s">
        <v>33</v>
      </c>
      <c r="D252" t="s">
        <v>34</v>
      </c>
      <c r="E252" t="s">
        <v>35</v>
      </c>
      <c r="F252" t="s">
        <v>36</v>
      </c>
      <c r="G252">
        <v>1141685</v>
      </c>
      <c r="H252" t="s">
        <v>3065</v>
      </c>
      <c r="I252" t="s">
        <v>42</v>
      </c>
      <c r="J252" t="s">
        <v>3065</v>
      </c>
      <c r="K252" t="s">
        <v>3066</v>
      </c>
      <c r="L252" s="4">
        <v>46173</v>
      </c>
      <c r="M252" s="4">
        <v>46173</v>
      </c>
      <c r="N252">
        <v>1143.22</v>
      </c>
      <c r="O252" t="s">
        <v>59</v>
      </c>
      <c r="P252" t="s">
        <v>63</v>
      </c>
      <c r="Q252" t="s">
        <v>3876</v>
      </c>
      <c r="R252" t="s">
        <v>3877</v>
      </c>
      <c r="S252" t="s">
        <v>66</v>
      </c>
      <c r="T252" t="s">
        <v>3878</v>
      </c>
      <c r="U252" t="s">
        <v>3879</v>
      </c>
      <c r="V252">
        <v>7</v>
      </c>
      <c r="W252" s="2">
        <v>29016</v>
      </c>
    </row>
    <row r="253" spans="1:23" x14ac:dyDescent="0.25">
      <c r="A253" t="s">
        <v>31</v>
      </c>
      <c r="B253" t="s">
        <v>32</v>
      </c>
      <c r="C253" t="s">
        <v>33</v>
      </c>
      <c r="D253" t="s">
        <v>34</v>
      </c>
      <c r="E253" t="s">
        <v>35</v>
      </c>
      <c r="F253" t="s">
        <v>36</v>
      </c>
      <c r="G253">
        <v>1141685</v>
      </c>
      <c r="H253" t="s">
        <v>3065</v>
      </c>
      <c r="I253" t="s">
        <v>42</v>
      </c>
      <c r="J253" t="s">
        <v>3065</v>
      </c>
      <c r="K253" t="s">
        <v>3066</v>
      </c>
      <c r="L253" s="4">
        <v>46173</v>
      </c>
      <c r="M253" s="4">
        <v>46173</v>
      </c>
      <c r="N253">
        <v>1143.22</v>
      </c>
      <c r="O253" t="s">
        <v>59</v>
      </c>
      <c r="P253" t="s">
        <v>63</v>
      </c>
      <c r="Q253" t="s">
        <v>3876</v>
      </c>
      <c r="R253" t="s">
        <v>3877</v>
      </c>
      <c r="S253" t="s">
        <v>66</v>
      </c>
      <c r="T253" t="s">
        <v>3878</v>
      </c>
      <c r="U253" t="s">
        <v>3879</v>
      </c>
      <c r="V253">
        <v>7</v>
      </c>
      <c r="W253" s="2">
        <v>29016</v>
      </c>
    </row>
    <row r="254" spans="1:23" x14ac:dyDescent="0.25">
      <c r="A254" t="s">
        <v>31</v>
      </c>
      <c r="B254" t="s">
        <v>32</v>
      </c>
      <c r="C254" t="s">
        <v>33</v>
      </c>
      <c r="D254" t="s">
        <v>34</v>
      </c>
      <c r="E254" t="s">
        <v>35</v>
      </c>
      <c r="F254" t="s">
        <v>36</v>
      </c>
      <c r="G254">
        <v>1141685</v>
      </c>
      <c r="H254" t="s">
        <v>3065</v>
      </c>
      <c r="I254" t="s">
        <v>42</v>
      </c>
      <c r="J254" t="s">
        <v>3065</v>
      </c>
      <c r="K254" t="s">
        <v>3066</v>
      </c>
      <c r="L254" s="4">
        <v>46173</v>
      </c>
      <c r="M254" s="4">
        <v>46173</v>
      </c>
      <c r="N254">
        <v>1143.22</v>
      </c>
      <c r="O254" t="s">
        <v>59</v>
      </c>
      <c r="P254" t="s">
        <v>63</v>
      </c>
      <c r="Q254" t="s">
        <v>3876</v>
      </c>
      <c r="R254" t="s">
        <v>3877</v>
      </c>
      <c r="S254" t="s">
        <v>66</v>
      </c>
      <c r="T254" t="s">
        <v>3878</v>
      </c>
      <c r="U254" t="s">
        <v>3879</v>
      </c>
      <c r="V254">
        <v>7</v>
      </c>
      <c r="W254" s="2">
        <v>29016</v>
      </c>
    </row>
    <row r="255" spans="1:23" x14ac:dyDescent="0.25">
      <c r="A255" t="s">
        <v>31</v>
      </c>
      <c r="B255" t="s">
        <v>32</v>
      </c>
      <c r="C255" t="s">
        <v>33</v>
      </c>
      <c r="D255" t="s">
        <v>34</v>
      </c>
      <c r="E255" t="s">
        <v>35</v>
      </c>
      <c r="F255" t="s">
        <v>36</v>
      </c>
      <c r="G255">
        <v>1141685</v>
      </c>
      <c r="H255" t="s">
        <v>3065</v>
      </c>
      <c r="I255" t="s">
        <v>42</v>
      </c>
      <c r="J255" t="s">
        <v>3065</v>
      </c>
      <c r="K255" t="s">
        <v>3066</v>
      </c>
      <c r="L255" s="4">
        <v>46173</v>
      </c>
      <c r="M255" s="4">
        <v>46173</v>
      </c>
      <c r="N255">
        <v>1143.22</v>
      </c>
      <c r="O255" t="s">
        <v>59</v>
      </c>
      <c r="P255" t="s">
        <v>63</v>
      </c>
      <c r="Q255" t="s">
        <v>3876</v>
      </c>
      <c r="R255" t="s">
        <v>3877</v>
      </c>
      <c r="S255" t="s">
        <v>66</v>
      </c>
      <c r="T255" t="s">
        <v>3878</v>
      </c>
      <c r="U255" t="s">
        <v>3879</v>
      </c>
      <c r="V255">
        <v>7</v>
      </c>
      <c r="W255" s="2">
        <v>29016</v>
      </c>
    </row>
    <row r="256" spans="1:23" x14ac:dyDescent="0.25">
      <c r="A256" t="s">
        <v>31</v>
      </c>
      <c r="B256" t="s">
        <v>32</v>
      </c>
      <c r="C256" t="s">
        <v>33</v>
      </c>
      <c r="D256" t="s">
        <v>34</v>
      </c>
      <c r="E256" t="s">
        <v>35</v>
      </c>
      <c r="F256" t="s">
        <v>36</v>
      </c>
      <c r="G256">
        <v>1141685</v>
      </c>
      <c r="H256" t="s">
        <v>3065</v>
      </c>
      <c r="I256" t="s">
        <v>42</v>
      </c>
      <c r="J256" t="s">
        <v>3065</v>
      </c>
      <c r="K256" t="s">
        <v>3066</v>
      </c>
      <c r="L256" s="4">
        <v>46173</v>
      </c>
      <c r="M256" s="4">
        <v>46173</v>
      </c>
      <c r="N256">
        <v>1143.22</v>
      </c>
      <c r="O256" t="s">
        <v>59</v>
      </c>
      <c r="P256" t="s">
        <v>63</v>
      </c>
      <c r="Q256" t="s">
        <v>3876</v>
      </c>
      <c r="R256" t="s">
        <v>3877</v>
      </c>
      <c r="S256" t="s">
        <v>66</v>
      </c>
      <c r="T256" t="s">
        <v>3878</v>
      </c>
      <c r="U256" t="s">
        <v>3879</v>
      </c>
      <c r="V256">
        <v>7</v>
      </c>
      <c r="W256" s="2">
        <v>29016</v>
      </c>
    </row>
    <row r="257" spans="1:24" x14ac:dyDescent="0.25">
      <c r="A257" t="s">
        <v>31</v>
      </c>
      <c r="B257" t="s">
        <v>32</v>
      </c>
      <c r="C257" t="s">
        <v>33</v>
      </c>
      <c r="D257" t="s">
        <v>34</v>
      </c>
      <c r="E257" t="s">
        <v>35</v>
      </c>
      <c r="F257" t="s">
        <v>36</v>
      </c>
      <c r="G257">
        <v>1141685</v>
      </c>
      <c r="H257" t="s">
        <v>3065</v>
      </c>
      <c r="I257" t="s">
        <v>42</v>
      </c>
      <c r="J257" t="s">
        <v>3065</v>
      </c>
      <c r="K257" t="s">
        <v>3066</v>
      </c>
      <c r="L257" s="4">
        <v>46173</v>
      </c>
      <c r="M257" s="4">
        <v>46173</v>
      </c>
      <c r="N257">
        <v>1143.22</v>
      </c>
      <c r="O257" t="s">
        <v>59</v>
      </c>
      <c r="P257" t="s">
        <v>63</v>
      </c>
      <c r="Q257" t="s">
        <v>3876</v>
      </c>
      <c r="R257" t="s">
        <v>3877</v>
      </c>
      <c r="S257" t="s">
        <v>66</v>
      </c>
      <c r="T257" t="s">
        <v>3878</v>
      </c>
      <c r="U257" t="s">
        <v>3879</v>
      </c>
      <c r="V257">
        <v>7</v>
      </c>
      <c r="W257" s="2">
        <v>29016</v>
      </c>
    </row>
    <row r="258" spans="1:24" x14ac:dyDescent="0.25">
      <c r="A258" t="s">
        <v>31</v>
      </c>
      <c r="B258" t="s">
        <v>32</v>
      </c>
      <c r="C258" t="s">
        <v>33</v>
      </c>
      <c r="D258" t="s">
        <v>34</v>
      </c>
      <c r="E258" t="s">
        <v>35</v>
      </c>
      <c r="F258" t="s">
        <v>36</v>
      </c>
      <c r="G258">
        <v>1141685</v>
      </c>
      <c r="H258" t="s">
        <v>3065</v>
      </c>
      <c r="I258" t="s">
        <v>42</v>
      </c>
      <c r="J258" t="s">
        <v>3065</v>
      </c>
      <c r="K258" t="s">
        <v>3066</v>
      </c>
      <c r="L258" s="4">
        <v>46173</v>
      </c>
      <c r="M258" s="4">
        <v>46173</v>
      </c>
      <c r="N258">
        <v>1143.22</v>
      </c>
      <c r="O258" t="s">
        <v>59</v>
      </c>
      <c r="P258" t="s">
        <v>63</v>
      </c>
      <c r="Q258" t="s">
        <v>3876</v>
      </c>
      <c r="R258" t="s">
        <v>3877</v>
      </c>
      <c r="S258" t="s">
        <v>66</v>
      </c>
      <c r="T258" t="s">
        <v>3878</v>
      </c>
      <c r="U258" t="s">
        <v>3879</v>
      </c>
      <c r="V258">
        <v>7</v>
      </c>
      <c r="W258" s="2">
        <v>29016</v>
      </c>
    </row>
    <row r="259" spans="1:24" x14ac:dyDescent="0.25">
      <c r="A259" t="s">
        <v>31</v>
      </c>
      <c r="B259" t="s">
        <v>32</v>
      </c>
      <c r="C259" t="s">
        <v>33</v>
      </c>
      <c r="D259" t="s">
        <v>34</v>
      </c>
      <c r="E259" t="s">
        <v>35</v>
      </c>
      <c r="F259" t="s">
        <v>36</v>
      </c>
      <c r="G259">
        <v>1141685</v>
      </c>
      <c r="H259" t="s">
        <v>3065</v>
      </c>
      <c r="I259" t="s">
        <v>42</v>
      </c>
      <c r="J259" t="s">
        <v>3065</v>
      </c>
      <c r="K259" t="s">
        <v>3066</v>
      </c>
      <c r="L259" s="4">
        <v>46173</v>
      </c>
      <c r="M259" s="4">
        <v>46173</v>
      </c>
      <c r="N259">
        <v>1143.22</v>
      </c>
      <c r="O259" t="s">
        <v>59</v>
      </c>
      <c r="P259" t="s">
        <v>63</v>
      </c>
      <c r="Q259" t="s">
        <v>3876</v>
      </c>
      <c r="R259" t="s">
        <v>3877</v>
      </c>
      <c r="S259" t="s">
        <v>66</v>
      </c>
      <c r="T259" t="s">
        <v>3878</v>
      </c>
      <c r="U259" t="s">
        <v>3879</v>
      </c>
      <c r="V259">
        <v>7</v>
      </c>
      <c r="W259" s="2">
        <v>29016</v>
      </c>
    </row>
    <row r="260" spans="1:24" x14ac:dyDescent="0.25">
      <c r="A260" t="s">
        <v>31</v>
      </c>
      <c r="B260" t="s">
        <v>32</v>
      </c>
      <c r="C260" t="s">
        <v>33</v>
      </c>
      <c r="D260" t="s">
        <v>34</v>
      </c>
      <c r="E260" t="s">
        <v>35</v>
      </c>
      <c r="F260" t="s">
        <v>36</v>
      </c>
      <c r="G260">
        <v>1141685</v>
      </c>
      <c r="H260" t="s">
        <v>3065</v>
      </c>
      <c r="I260" t="s">
        <v>42</v>
      </c>
      <c r="J260" t="s">
        <v>3065</v>
      </c>
      <c r="K260" t="s">
        <v>3066</v>
      </c>
      <c r="L260" s="4">
        <v>46173</v>
      </c>
      <c r="M260" s="4">
        <v>46173</v>
      </c>
      <c r="N260">
        <v>1143.22</v>
      </c>
      <c r="O260" t="s">
        <v>59</v>
      </c>
      <c r="P260" t="s">
        <v>63</v>
      </c>
      <c r="Q260" t="s">
        <v>3876</v>
      </c>
      <c r="R260" t="s">
        <v>3877</v>
      </c>
      <c r="S260" t="s">
        <v>66</v>
      </c>
      <c r="T260" t="s">
        <v>3878</v>
      </c>
      <c r="U260" t="s">
        <v>3879</v>
      </c>
      <c r="V260">
        <v>7</v>
      </c>
      <c r="W260" s="2">
        <v>29016</v>
      </c>
    </row>
    <row r="261" spans="1:24" x14ac:dyDescent="0.25">
      <c r="A261" t="s">
        <v>31</v>
      </c>
      <c r="B261" s="5" t="s">
        <v>32</v>
      </c>
      <c r="C261" s="5" t="s">
        <v>33</v>
      </c>
      <c r="D261" s="5" t="s">
        <v>34</v>
      </c>
      <c r="E261" s="5" t="s">
        <v>35</v>
      </c>
      <c r="F261" s="5" t="s">
        <v>36</v>
      </c>
      <c r="G261" s="5">
        <v>1141685</v>
      </c>
      <c r="H261" s="5" t="s">
        <v>3880</v>
      </c>
      <c r="I261" s="5" t="str">
        <f>IF(LEFT(K261,9)="Standard_","Reserved Instance Virtual Machine",IF(ISNUMBER(SEARCH("SQL Database Single/ElasticPool General Purpose - Compute Gen5",K261)),"Reserved Instance SQL Database",IF(ISNUMBER(SEARCH("SQL Database SingleDB/Elastic Pool Hyperscale - Compute Gen5",K261)),"Reserved Instance Hyperscale Serverless",IF(ISNUMBER(SEARCH("Azure Database for PostgreSQL Flexible Server General Purpose Ddsv4 Series Compute",K261)),"Reserved Instance PostgreSQL",IF(ISNUMBER(SEARCH("Azure Redis Cache Premium",K261)),"Reserved Instance Redis","Reserved Instance")))))</f>
        <v>Reserved Instance SQL Database</v>
      </c>
      <c r="J261" s="5" t="s">
        <v>3880</v>
      </c>
      <c r="K261" s="5" t="str">
        <f>H261</f>
        <v>SQL Database Single/ElasticPool General Purpose - Compute Gen5</v>
      </c>
      <c r="L261" s="5" t="s">
        <v>3881</v>
      </c>
      <c r="M261" s="5" t="s">
        <v>3881</v>
      </c>
      <c r="N261" s="5">
        <f>U261</f>
        <v>4</v>
      </c>
      <c r="O261" s="5" t="s">
        <v>3882</v>
      </c>
      <c r="P261" s="5" t="s">
        <v>63</v>
      </c>
      <c r="Q261" s="5" t="s">
        <v>3882</v>
      </c>
      <c r="R261" s="5" t="str">
        <f>IF(LEFT(K261,9)="Standard_","Virtual Machine",IF(ISNUMBER(SEARCH("SQL Database Single/ElasticPool General Purpose - Compute Gen5",K261)),"SQL Database",IF(ISNUMBER(SEARCH("SQL Database SingleDB/Elastic Pool Hyperscale - Compute Gen5",K261)),"Hyperscale Serverless",IF(ISNUMBER(SEARCH("Azure Database for PostgreSQL Flexible Server General Purpose Ddsv4 Series Compute",K261)),"PostgreSQL",IF(ISNUMBER(SEARCH("Azure Redis Cache Premium",K261)),"Redis",K261)))))</f>
        <v>SQL Database</v>
      </c>
      <c r="S261" s="5" t="s">
        <v>67</v>
      </c>
      <c r="T261" s="5" t="s">
        <v>3882</v>
      </c>
      <c r="U261" s="5">
        <v>4</v>
      </c>
      <c r="V261" s="6">
        <v>1001385</v>
      </c>
      <c r="W261" s="6">
        <v>4005540</v>
      </c>
      <c r="X261" t="s">
        <v>3894</v>
      </c>
    </row>
    <row r="262" spans="1:24" x14ac:dyDescent="0.25">
      <c r="A262" t="s">
        <v>31</v>
      </c>
      <c r="B262" s="5" t="s">
        <v>32</v>
      </c>
      <c r="C262" s="5" t="s">
        <v>33</v>
      </c>
      <c r="D262" s="5" t="s">
        <v>34</v>
      </c>
      <c r="E262" s="5" t="s">
        <v>3892</v>
      </c>
      <c r="F262" s="5" t="s">
        <v>36</v>
      </c>
      <c r="G262" s="5">
        <v>1141685</v>
      </c>
      <c r="H262" s="5" t="s">
        <v>3880</v>
      </c>
      <c r="I262" s="5" t="str">
        <f t="shared" ref="I262:I264" si="0">IF(LEFT(K262,9)="Standard_","Reserved Instance Virtual Machine",IF(ISNUMBER(SEARCH("SQL Database Single/ElasticPool General Purpose - Compute Gen5",K262)),"Reserved Instance SQL Database",IF(ISNUMBER(SEARCH("SQL Database SingleDB/Elastic Pool Hyperscale - Compute Gen5",K262)),"Reserved Instance Hyperscale Serverless",IF(ISNUMBER(SEARCH("Azure Database for PostgreSQL Flexible Server General Purpose Ddsv4 Series Compute",K262)),"Reserved Instance PostgreSQL",IF(ISNUMBER(SEARCH("Azure Redis Cache Premium",K262)),"Reserved Instance Redis","Reserved Instance")))))</f>
        <v>Reserved Instance SQL Database</v>
      </c>
      <c r="J262" s="5" t="s">
        <v>3880</v>
      </c>
      <c r="K262" s="5" t="str">
        <f t="shared" ref="K262:K264" si="1">H262</f>
        <v>SQL Database Single/ElasticPool General Purpose - Compute Gen5</v>
      </c>
      <c r="L262" s="5" t="s">
        <v>3881</v>
      </c>
      <c r="M262" s="5" t="s">
        <v>3881</v>
      </c>
      <c r="N262" s="5">
        <f t="shared" ref="N262:N264" si="2">U262</f>
        <v>1</v>
      </c>
      <c r="O262" s="5" t="s">
        <v>3882</v>
      </c>
      <c r="P262" s="5" t="s">
        <v>63</v>
      </c>
      <c r="Q262" s="5" t="s">
        <v>3882</v>
      </c>
      <c r="R262" s="5" t="str">
        <f t="shared" ref="R262:R264" si="3">IF(LEFT(K262,9)="Standard_","Virtual Machine",IF(ISNUMBER(SEARCH("SQL Database Single/ElasticPool General Purpose - Compute Gen5",K262)),"SQL Database",IF(ISNUMBER(SEARCH("SQL Database SingleDB/Elastic Pool Hyperscale - Compute Gen5",K262)),"Hyperscale Serverless",IF(ISNUMBER(SEARCH("Azure Database for PostgreSQL Flexible Server General Purpose Ddsv4 Series Compute",K262)),"PostgreSQL",IF(ISNUMBER(SEARCH("Azure Redis Cache Premium",K262)),"Redis",K262)))))</f>
        <v>SQL Database</v>
      </c>
      <c r="S262" s="5" t="s">
        <v>67</v>
      </c>
      <c r="T262" s="5" t="s">
        <v>3882</v>
      </c>
      <c r="U262" s="5">
        <v>1</v>
      </c>
      <c r="V262" s="6">
        <v>951231.6</v>
      </c>
      <c r="W262" s="6">
        <v>951231.6</v>
      </c>
      <c r="X262" t="s">
        <v>3894</v>
      </c>
    </row>
    <row r="263" spans="1:24" x14ac:dyDescent="0.25">
      <c r="A263" t="s">
        <v>31</v>
      </c>
      <c r="B263" s="5" t="s">
        <v>32</v>
      </c>
      <c r="C263" s="5" t="s">
        <v>33</v>
      </c>
      <c r="D263" s="5" t="s">
        <v>34</v>
      </c>
      <c r="E263" s="5" t="s">
        <v>3884</v>
      </c>
      <c r="F263" s="5" t="s">
        <v>36</v>
      </c>
      <c r="G263" s="5">
        <v>1141685</v>
      </c>
      <c r="H263" s="5" t="s">
        <v>3885</v>
      </c>
      <c r="I263" s="5" t="str">
        <f t="shared" si="0"/>
        <v>Reserved Instance Virtual Machine</v>
      </c>
      <c r="J263" s="5" t="s">
        <v>3885</v>
      </c>
      <c r="K263" s="5" t="str">
        <f t="shared" si="1"/>
        <v>Standard_D2s_v3</v>
      </c>
      <c r="L263" s="5" t="s">
        <v>3881</v>
      </c>
      <c r="M263" s="5" t="s">
        <v>3881</v>
      </c>
      <c r="N263" s="5">
        <f t="shared" si="2"/>
        <v>1</v>
      </c>
      <c r="O263" s="5" t="s">
        <v>3882</v>
      </c>
      <c r="P263" s="5" t="s">
        <v>63</v>
      </c>
      <c r="Q263" s="5" t="s">
        <v>3882</v>
      </c>
      <c r="R263" s="5" t="str">
        <f t="shared" si="3"/>
        <v>Virtual Machine</v>
      </c>
      <c r="S263" s="5" t="s">
        <v>67</v>
      </c>
      <c r="T263" s="5" t="s">
        <v>3882</v>
      </c>
      <c r="U263" s="5">
        <v>1</v>
      </c>
      <c r="V263" s="6">
        <v>565908.75</v>
      </c>
      <c r="W263" s="6">
        <v>565908.75</v>
      </c>
      <c r="X263" t="s">
        <v>3894</v>
      </c>
    </row>
    <row r="264" spans="1:24" x14ac:dyDescent="0.25">
      <c r="A264" t="s">
        <v>31</v>
      </c>
      <c r="B264" s="5" t="s">
        <v>32</v>
      </c>
      <c r="C264" s="5" t="s">
        <v>33</v>
      </c>
      <c r="D264" s="5" t="s">
        <v>34</v>
      </c>
      <c r="E264" s="5" t="s">
        <v>3886</v>
      </c>
      <c r="F264" s="5" t="s">
        <v>36</v>
      </c>
      <c r="G264" s="5">
        <v>1141685</v>
      </c>
      <c r="H264" s="5" t="s">
        <v>3887</v>
      </c>
      <c r="I264" s="5" t="str">
        <f t="shared" si="0"/>
        <v>Reserved Instance Virtual Machine</v>
      </c>
      <c r="J264" s="5" t="s">
        <v>3887</v>
      </c>
      <c r="K264" s="5" t="str">
        <f t="shared" si="1"/>
        <v>Standard_D4s_v3</v>
      </c>
      <c r="L264" s="5" t="s">
        <v>3881</v>
      </c>
      <c r="M264" s="5" t="s">
        <v>3881</v>
      </c>
      <c r="N264" s="5">
        <f t="shared" si="2"/>
        <v>3</v>
      </c>
      <c r="O264" s="5" t="s">
        <v>3882</v>
      </c>
      <c r="P264" s="5" t="s">
        <v>63</v>
      </c>
      <c r="Q264" s="5" t="s">
        <v>3882</v>
      </c>
      <c r="R264" s="5" t="str">
        <f t="shared" si="3"/>
        <v>Virtual Machine</v>
      </c>
      <c r="S264" s="5" t="s">
        <v>67</v>
      </c>
      <c r="T264" s="5" t="s">
        <v>3882</v>
      </c>
      <c r="U264" s="5">
        <v>3</v>
      </c>
      <c r="V264" s="6">
        <v>1131817.5</v>
      </c>
      <c r="W264" s="6">
        <v>3395452.5</v>
      </c>
      <c r="X264" t="s">
        <v>3894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2590-6D45-4468-BB1B-1DEFC1C82A7A}">
  <dimension ref="A1:X288"/>
  <sheetViews>
    <sheetView workbookViewId="0">
      <selection sqref="A1:W288"/>
    </sheetView>
  </sheetViews>
  <sheetFormatPr defaultRowHeight="15" x14ac:dyDescent="0.25"/>
  <cols>
    <col min="23" max="23" width="15.5703125" bestFit="1" customWidth="1"/>
  </cols>
  <sheetData>
    <row r="1" spans="1:2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9</v>
      </c>
      <c r="S1" t="s">
        <v>27</v>
      </c>
      <c r="T1" t="s">
        <v>28</v>
      </c>
      <c r="U1" t="s">
        <v>29</v>
      </c>
      <c r="V1" t="s">
        <v>30</v>
      </c>
      <c r="W1" t="s">
        <v>8</v>
      </c>
    </row>
    <row r="2" spans="1:23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1141685</v>
      </c>
      <c r="H2" t="s">
        <v>80</v>
      </c>
      <c r="I2" t="s">
        <v>96</v>
      </c>
      <c r="J2" t="s">
        <v>80</v>
      </c>
      <c r="K2" t="s">
        <v>122</v>
      </c>
      <c r="L2" s="1">
        <v>46143</v>
      </c>
      <c r="M2" s="1">
        <v>46173</v>
      </c>
      <c r="N2">
        <v>0.1087787598</v>
      </c>
      <c r="O2" t="s">
        <v>56</v>
      </c>
      <c r="P2" t="s">
        <v>63</v>
      </c>
      <c r="Q2" t="s">
        <v>3075</v>
      </c>
      <c r="R2" t="s">
        <v>3076</v>
      </c>
      <c r="S2" t="s">
        <v>67</v>
      </c>
      <c r="T2" t="s">
        <v>3077</v>
      </c>
      <c r="U2" t="s">
        <v>3078</v>
      </c>
      <c r="V2">
        <v>16</v>
      </c>
      <c r="W2" s="2">
        <v>18.980237345999999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1141685</v>
      </c>
      <c r="H3" t="s">
        <v>76</v>
      </c>
      <c r="I3" t="s">
        <v>95</v>
      </c>
      <c r="J3" t="s">
        <v>99</v>
      </c>
      <c r="K3" t="s">
        <v>109</v>
      </c>
      <c r="L3" s="1">
        <v>46143</v>
      </c>
      <c r="M3" s="1">
        <v>46173</v>
      </c>
      <c r="N3">
        <v>0.98335300000000003</v>
      </c>
      <c r="O3" t="s">
        <v>58</v>
      </c>
      <c r="P3" t="s">
        <v>63</v>
      </c>
      <c r="Q3" t="s">
        <v>3079</v>
      </c>
      <c r="R3" t="s">
        <v>3080</v>
      </c>
      <c r="S3" t="s">
        <v>67</v>
      </c>
      <c r="T3" t="s">
        <v>3081</v>
      </c>
      <c r="U3" t="s">
        <v>3082</v>
      </c>
      <c r="V3">
        <v>16</v>
      </c>
      <c r="W3" s="2">
        <v>0</v>
      </c>
    </row>
    <row r="4" spans="1:2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1141685</v>
      </c>
      <c r="H4" t="s">
        <v>76</v>
      </c>
      <c r="I4" t="s">
        <v>95</v>
      </c>
      <c r="J4" t="s">
        <v>99</v>
      </c>
      <c r="K4" t="s">
        <v>109</v>
      </c>
      <c r="L4" s="1">
        <v>46143</v>
      </c>
      <c r="M4" s="1">
        <v>46173</v>
      </c>
      <c r="N4">
        <v>0.216671</v>
      </c>
      <c r="O4" t="s">
        <v>58</v>
      </c>
      <c r="P4" t="s">
        <v>63</v>
      </c>
      <c r="Q4" t="s">
        <v>3079</v>
      </c>
      <c r="R4" t="s">
        <v>3080</v>
      </c>
      <c r="S4" t="s">
        <v>67</v>
      </c>
      <c r="T4" t="s">
        <v>3081</v>
      </c>
      <c r="U4" t="s">
        <v>3082</v>
      </c>
      <c r="V4">
        <v>16</v>
      </c>
      <c r="W4" s="2">
        <v>0</v>
      </c>
    </row>
    <row r="5" spans="1:23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1141685</v>
      </c>
      <c r="H5" t="s">
        <v>76</v>
      </c>
      <c r="I5" t="s">
        <v>95</v>
      </c>
      <c r="J5" t="s">
        <v>99</v>
      </c>
      <c r="K5" t="s">
        <v>109</v>
      </c>
      <c r="L5" s="1">
        <v>46143</v>
      </c>
      <c r="M5" s="1">
        <v>46173</v>
      </c>
      <c r="N5">
        <v>0.85001700000000002</v>
      </c>
      <c r="O5" t="s">
        <v>58</v>
      </c>
      <c r="P5" t="s">
        <v>63</v>
      </c>
      <c r="Q5" t="s">
        <v>3079</v>
      </c>
      <c r="R5" t="s">
        <v>3080</v>
      </c>
      <c r="S5" t="s">
        <v>67</v>
      </c>
      <c r="T5" t="s">
        <v>3081</v>
      </c>
      <c r="U5" t="s">
        <v>3082</v>
      </c>
      <c r="V5">
        <v>16</v>
      </c>
      <c r="W5" s="2">
        <v>0</v>
      </c>
    </row>
    <row r="6" spans="1:23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1141685</v>
      </c>
      <c r="H6" t="s">
        <v>79</v>
      </c>
      <c r="I6" t="s">
        <v>94</v>
      </c>
      <c r="J6" t="s">
        <v>101</v>
      </c>
      <c r="K6" t="s">
        <v>116</v>
      </c>
      <c r="L6" s="1">
        <v>46143</v>
      </c>
      <c r="M6" s="1">
        <v>46173</v>
      </c>
      <c r="N6">
        <v>6.5395625299999996E-2</v>
      </c>
      <c r="O6" t="s">
        <v>56</v>
      </c>
      <c r="P6" t="s">
        <v>63</v>
      </c>
      <c r="Q6" t="s">
        <v>3075</v>
      </c>
      <c r="R6" t="s">
        <v>3076</v>
      </c>
      <c r="S6" t="s">
        <v>67</v>
      </c>
      <c r="T6" t="s">
        <v>3083</v>
      </c>
      <c r="U6" t="s">
        <v>3084</v>
      </c>
      <c r="V6">
        <v>15</v>
      </c>
      <c r="W6" s="2">
        <v>75.180030266700001</v>
      </c>
    </row>
    <row r="7" spans="1:23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1141685</v>
      </c>
      <c r="H7" t="s">
        <v>79</v>
      </c>
      <c r="I7" t="s">
        <v>94</v>
      </c>
      <c r="J7" t="s">
        <v>101</v>
      </c>
      <c r="K7" t="s">
        <v>116</v>
      </c>
      <c r="L7" s="1">
        <v>46143</v>
      </c>
      <c r="M7" s="1">
        <v>46173</v>
      </c>
      <c r="N7">
        <v>1.2786660297000001</v>
      </c>
      <c r="O7" t="s">
        <v>56</v>
      </c>
      <c r="P7" t="s">
        <v>63</v>
      </c>
      <c r="Q7" t="s">
        <v>3075</v>
      </c>
      <c r="R7" t="s">
        <v>3080</v>
      </c>
      <c r="S7" t="s">
        <v>67</v>
      </c>
      <c r="T7" t="s">
        <v>3085</v>
      </c>
      <c r="U7" t="s">
        <v>3086</v>
      </c>
      <c r="V7">
        <v>16</v>
      </c>
      <c r="W7" s="2">
        <v>1784.6055717902</v>
      </c>
    </row>
    <row r="8" spans="1:23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1141685</v>
      </c>
      <c r="H8" t="s">
        <v>76</v>
      </c>
      <c r="I8" t="s">
        <v>95</v>
      </c>
      <c r="J8" t="s">
        <v>99</v>
      </c>
      <c r="K8" t="s">
        <v>109</v>
      </c>
      <c r="L8" s="1">
        <v>46143</v>
      </c>
      <c r="M8" s="1">
        <v>46173</v>
      </c>
      <c r="N8">
        <v>0.94999900000000004</v>
      </c>
      <c r="O8" t="s">
        <v>58</v>
      </c>
      <c r="P8" t="s">
        <v>63</v>
      </c>
      <c r="Q8" t="s">
        <v>3079</v>
      </c>
      <c r="R8" t="s">
        <v>3087</v>
      </c>
      <c r="S8" t="s">
        <v>67</v>
      </c>
      <c r="T8" t="s">
        <v>3088</v>
      </c>
      <c r="U8" t="s">
        <v>3089</v>
      </c>
      <c r="V8">
        <v>17</v>
      </c>
      <c r="W8" s="2">
        <v>0</v>
      </c>
    </row>
    <row r="9" spans="1:23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1141685</v>
      </c>
      <c r="H9" t="s">
        <v>76</v>
      </c>
      <c r="I9" t="s">
        <v>95</v>
      </c>
      <c r="J9" t="s">
        <v>99</v>
      </c>
      <c r="K9" t="s">
        <v>109</v>
      </c>
      <c r="L9" s="1">
        <v>46143</v>
      </c>
      <c r="M9" s="1">
        <v>46173</v>
      </c>
      <c r="N9">
        <v>5.0000999999999997E-2</v>
      </c>
      <c r="O9" t="s">
        <v>58</v>
      </c>
      <c r="P9" t="s">
        <v>63</v>
      </c>
      <c r="Q9" t="s">
        <v>3079</v>
      </c>
      <c r="R9" t="s">
        <v>3087</v>
      </c>
      <c r="S9" t="s">
        <v>67</v>
      </c>
      <c r="T9" t="s">
        <v>3088</v>
      </c>
      <c r="U9" t="s">
        <v>3089</v>
      </c>
      <c r="V9">
        <v>17</v>
      </c>
      <c r="W9" s="2">
        <v>0</v>
      </c>
    </row>
    <row r="10" spans="1:23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1141685</v>
      </c>
      <c r="H10" t="s">
        <v>79</v>
      </c>
      <c r="I10" t="s">
        <v>94</v>
      </c>
      <c r="J10" t="s">
        <v>101</v>
      </c>
      <c r="K10" t="s">
        <v>114</v>
      </c>
      <c r="L10" s="1">
        <v>46143</v>
      </c>
      <c r="M10" s="1">
        <v>46173</v>
      </c>
      <c r="N10">
        <v>5.9457499999999996E-4</v>
      </c>
      <c r="O10" t="s">
        <v>56</v>
      </c>
      <c r="P10" t="s">
        <v>63</v>
      </c>
      <c r="Q10" t="s">
        <v>3075</v>
      </c>
      <c r="R10" t="s">
        <v>3087</v>
      </c>
      <c r="S10" t="s">
        <v>67</v>
      </c>
      <c r="T10" t="s">
        <v>3090</v>
      </c>
      <c r="U10" t="s">
        <v>3091</v>
      </c>
      <c r="V10">
        <v>16</v>
      </c>
      <c r="W10" s="2">
        <v>0.83025601169999996</v>
      </c>
    </row>
    <row r="11" spans="1:23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1141685</v>
      </c>
      <c r="H11" t="s">
        <v>80</v>
      </c>
      <c r="I11" t="s">
        <v>96</v>
      </c>
      <c r="J11" t="s">
        <v>80</v>
      </c>
      <c r="K11" t="s">
        <v>115</v>
      </c>
      <c r="L11" s="1">
        <v>46143</v>
      </c>
      <c r="M11" s="1">
        <v>46173</v>
      </c>
      <c r="N11">
        <v>0.23902074810000001</v>
      </c>
      <c r="O11" t="s">
        <v>56</v>
      </c>
      <c r="P11" t="s">
        <v>63</v>
      </c>
      <c r="Q11" t="s">
        <v>3075</v>
      </c>
      <c r="R11" t="s">
        <v>3080</v>
      </c>
      <c r="S11" t="s">
        <v>67</v>
      </c>
      <c r="T11" t="s">
        <v>3092</v>
      </c>
      <c r="U11" t="s">
        <v>3093</v>
      </c>
      <c r="V11">
        <v>15</v>
      </c>
      <c r="W11" s="2">
        <v>41.695612541899997</v>
      </c>
    </row>
    <row r="12" spans="1:23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1141685</v>
      </c>
      <c r="H12" t="s">
        <v>82</v>
      </c>
      <c r="I12" t="s">
        <v>82</v>
      </c>
      <c r="J12" t="s">
        <v>82</v>
      </c>
      <c r="K12" t="s">
        <v>120</v>
      </c>
      <c r="L12" s="1">
        <v>46143</v>
      </c>
      <c r="M12" s="1">
        <v>46173</v>
      </c>
      <c r="N12">
        <v>1</v>
      </c>
      <c r="O12" t="s">
        <v>61</v>
      </c>
      <c r="P12" t="s">
        <v>63</v>
      </c>
      <c r="Q12" t="s">
        <v>3094</v>
      </c>
      <c r="R12" t="s">
        <v>147</v>
      </c>
      <c r="S12" t="s">
        <v>68</v>
      </c>
      <c r="T12" t="s">
        <v>3095</v>
      </c>
      <c r="U12" t="s">
        <v>3096</v>
      </c>
      <c r="V12">
        <v>7</v>
      </c>
      <c r="W12" s="2">
        <v>2691.9341720419998</v>
      </c>
    </row>
    <row r="13" spans="1:23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1141685</v>
      </c>
      <c r="H13" t="s">
        <v>83</v>
      </c>
      <c r="I13" t="s">
        <v>97</v>
      </c>
      <c r="J13" t="s">
        <v>103</v>
      </c>
      <c r="K13" t="s">
        <v>119</v>
      </c>
      <c r="L13" s="1">
        <v>46143</v>
      </c>
      <c r="M13" s="1">
        <v>46173</v>
      </c>
      <c r="N13">
        <v>434</v>
      </c>
      <c r="O13" t="s">
        <v>58</v>
      </c>
      <c r="P13" t="s">
        <v>63</v>
      </c>
      <c r="Q13" t="s">
        <v>3097</v>
      </c>
      <c r="R13" t="s">
        <v>3098</v>
      </c>
      <c r="S13" t="s">
        <v>67</v>
      </c>
      <c r="T13" t="s">
        <v>513</v>
      </c>
      <c r="U13" t="s">
        <v>698</v>
      </c>
      <c r="V13">
        <v>6</v>
      </c>
      <c r="W13" s="2">
        <v>756898.97080511996</v>
      </c>
    </row>
    <row r="14" spans="1:23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1141685</v>
      </c>
      <c r="H14" t="s">
        <v>84</v>
      </c>
      <c r="I14" t="s">
        <v>97</v>
      </c>
      <c r="J14" t="s">
        <v>104</v>
      </c>
      <c r="K14" t="s">
        <v>121</v>
      </c>
      <c r="L14" s="1">
        <v>46143</v>
      </c>
      <c r="M14" s="1">
        <v>46173</v>
      </c>
      <c r="N14">
        <v>13.058836577999999</v>
      </c>
      <c r="O14" t="s">
        <v>57</v>
      </c>
      <c r="P14" t="s">
        <v>63</v>
      </c>
      <c r="Q14" t="s">
        <v>3097</v>
      </c>
      <c r="R14" t="s">
        <v>3098</v>
      </c>
      <c r="S14" t="s">
        <v>67</v>
      </c>
      <c r="T14" t="s">
        <v>3099</v>
      </c>
      <c r="U14" t="s">
        <v>3100</v>
      </c>
      <c r="V14">
        <v>6</v>
      </c>
      <c r="W14" s="2">
        <v>54677.866573031701</v>
      </c>
    </row>
    <row r="15" spans="1:23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1141685</v>
      </c>
      <c r="H15" t="s">
        <v>77</v>
      </c>
      <c r="I15" t="s">
        <v>96</v>
      </c>
      <c r="J15" t="s">
        <v>77</v>
      </c>
      <c r="K15" t="s">
        <v>110</v>
      </c>
      <c r="L15" s="1">
        <v>46143</v>
      </c>
      <c r="M15" s="1">
        <v>46173</v>
      </c>
      <c r="N15">
        <v>744</v>
      </c>
      <c r="O15" t="s">
        <v>58</v>
      </c>
      <c r="P15" t="s">
        <v>63</v>
      </c>
      <c r="Q15" t="s">
        <v>3094</v>
      </c>
      <c r="R15" t="s">
        <v>3101</v>
      </c>
      <c r="S15" t="s">
        <v>67</v>
      </c>
      <c r="T15" t="s">
        <v>3102</v>
      </c>
      <c r="U15" t="s">
        <v>3103</v>
      </c>
      <c r="V15">
        <v>7</v>
      </c>
      <c r="W15" s="2">
        <v>129798.2412</v>
      </c>
    </row>
    <row r="16" spans="1:23" x14ac:dyDescent="0.25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1141685</v>
      </c>
      <c r="H16" t="s">
        <v>77</v>
      </c>
      <c r="I16" t="s">
        <v>96</v>
      </c>
      <c r="J16" t="s">
        <v>77</v>
      </c>
      <c r="K16" t="s">
        <v>111</v>
      </c>
      <c r="L16" s="1">
        <v>46143</v>
      </c>
      <c r="M16" s="1">
        <v>46173</v>
      </c>
      <c r="N16">
        <v>5.1979093187999998</v>
      </c>
      <c r="O16" t="s">
        <v>56</v>
      </c>
      <c r="P16" t="s">
        <v>63</v>
      </c>
      <c r="Q16" t="s">
        <v>3075</v>
      </c>
      <c r="R16" t="s">
        <v>3080</v>
      </c>
      <c r="S16" t="s">
        <v>67</v>
      </c>
      <c r="T16" t="s">
        <v>3104</v>
      </c>
      <c r="U16" t="s">
        <v>3105</v>
      </c>
      <c r="V16">
        <v>15</v>
      </c>
      <c r="W16" s="2">
        <v>906.82798859280001</v>
      </c>
    </row>
    <row r="17" spans="1:23" x14ac:dyDescent="0.25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1141685</v>
      </c>
      <c r="H17" t="s">
        <v>77</v>
      </c>
      <c r="I17" t="s">
        <v>96</v>
      </c>
      <c r="J17" t="s">
        <v>77</v>
      </c>
      <c r="K17" t="s">
        <v>111</v>
      </c>
      <c r="L17" s="1">
        <v>46143</v>
      </c>
      <c r="M17" s="1">
        <v>46173</v>
      </c>
      <c r="N17">
        <v>4.8101309054000003</v>
      </c>
      <c r="O17" t="s">
        <v>56</v>
      </c>
      <c r="P17" t="s">
        <v>63</v>
      </c>
      <c r="Q17" t="s">
        <v>3075</v>
      </c>
      <c r="R17" t="s">
        <v>3080</v>
      </c>
      <c r="S17" t="s">
        <v>67</v>
      </c>
      <c r="T17" t="s">
        <v>3106</v>
      </c>
      <c r="U17" t="s">
        <v>3107</v>
      </c>
      <c r="V17">
        <v>15</v>
      </c>
      <c r="W17" s="2">
        <v>839.17438521870008</v>
      </c>
    </row>
    <row r="18" spans="1:23" x14ac:dyDescent="0.2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1141685</v>
      </c>
      <c r="H18" t="s">
        <v>82</v>
      </c>
      <c r="I18" t="s">
        <v>82</v>
      </c>
      <c r="J18" t="s">
        <v>82</v>
      </c>
      <c r="K18" t="s">
        <v>120</v>
      </c>
      <c r="L18" s="1">
        <v>46143</v>
      </c>
      <c r="M18" s="1">
        <v>46173</v>
      </c>
      <c r="N18">
        <v>1</v>
      </c>
      <c r="O18" t="s">
        <v>61</v>
      </c>
      <c r="P18" t="s">
        <v>63</v>
      </c>
      <c r="Q18" t="s">
        <v>3094</v>
      </c>
      <c r="R18" t="s">
        <v>149</v>
      </c>
      <c r="S18" t="s">
        <v>68</v>
      </c>
      <c r="T18" t="s">
        <v>3108</v>
      </c>
      <c r="U18" t="s">
        <v>3109</v>
      </c>
      <c r="V18">
        <v>7</v>
      </c>
      <c r="W18" s="2">
        <v>2691.9341720419998</v>
      </c>
    </row>
    <row r="19" spans="1:23" x14ac:dyDescent="0.2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1141685</v>
      </c>
      <c r="H19" t="s">
        <v>76</v>
      </c>
      <c r="I19" t="s">
        <v>95</v>
      </c>
      <c r="J19" t="s">
        <v>99</v>
      </c>
      <c r="K19" t="s">
        <v>109</v>
      </c>
      <c r="L19" s="1">
        <v>46143</v>
      </c>
      <c r="M19" s="1">
        <v>46173</v>
      </c>
      <c r="N19">
        <v>168</v>
      </c>
      <c r="O19" t="s">
        <v>58</v>
      </c>
      <c r="P19" t="s">
        <v>63</v>
      </c>
      <c r="Q19" t="s">
        <v>3079</v>
      </c>
      <c r="R19" t="s">
        <v>3080</v>
      </c>
      <c r="S19" t="s">
        <v>67</v>
      </c>
      <c r="T19" t="s">
        <v>3081</v>
      </c>
      <c r="U19" t="s">
        <v>3082</v>
      </c>
      <c r="V19">
        <v>16</v>
      </c>
      <c r="W19" s="2">
        <v>0</v>
      </c>
    </row>
    <row r="20" spans="1:23" x14ac:dyDescent="0.25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1141685</v>
      </c>
      <c r="H20" t="s">
        <v>82</v>
      </c>
      <c r="I20" t="s">
        <v>82</v>
      </c>
      <c r="J20" t="s">
        <v>82</v>
      </c>
      <c r="K20" t="s">
        <v>120</v>
      </c>
      <c r="L20" s="1">
        <v>46143</v>
      </c>
      <c r="M20" s="1">
        <v>46173</v>
      </c>
      <c r="N20">
        <v>1</v>
      </c>
      <c r="O20" t="s">
        <v>61</v>
      </c>
      <c r="P20" t="s">
        <v>63</v>
      </c>
      <c r="Q20" t="s">
        <v>3094</v>
      </c>
      <c r="R20" t="s">
        <v>148</v>
      </c>
      <c r="S20" t="s">
        <v>68</v>
      </c>
      <c r="T20" t="s">
        <v>3095</v>
      </c>
      <c r="U20" t="s">
        <v>3096</v>
      </c>
      <c r="V20">
        <v>7</v>
      </c>
      <c r="W20" s="2">
        <v>2691.9341720419998</v>
      </c>
    </row>
    <row r="21" spans="1:23" x14ac:dyDescent="0.2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1141685</v>
      </c>
      <c r="H21" t="s">
        <v>38</v>
      </c>
      <c r="I21" t="s">
        <v>38</v>
      </c>
      <c r="J21" t="s">
        <v>38</v>
      </c>
      <c r="K21" t="s">
        <v>50</v>
      </c>
      <c r="L21" s="1">
        <v>46143</v>
      </c>
      <c r="M21" s="1">
        <v>46173</v>
      </c>
      <c r="N21">
        <v>417</v>
      </c>
      <c r="O21" t="s">
        <v>61</v>
      </c>
      <c r="P21" t="s">
        <v>63</v>
      </c>
      <c r="Q21" t="s">
        <v>3097</v>
      </c>
      <c r="R21" t="s">
        <v>3110</v>
      </c>
      <c r="S21" t="s">
        <v>66</v>
      </c>
      <c r="T21" t="s">
        <v>1360</v>
      </c>
      <c r="U21" t="s">
        <v>1363</v>
      </c>
      <c r="V21">
        <v>6</v>
      </c>
      <c r="W21" s="2">
        <v>210.97754064</v>
      </c>
    </row>
    <row r="22" spans="1:23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1141685</v>
      </c>
      <c r="H22" t="s">
        <v>76</v>
      </c>
      <c r="I22" t="s">
        <v>95</v>
      </c>
      <c r="J22" t="s">
        <v>99</v>
      </c>
      <c r="K22" t="s">
        <v>109</v>
      </c>
      <c r="L22" s="1">
        <v>46143</v>
      </c>
      <c r="M22" s="1">
        <v>46173</v>
      </c>
      <c r="N22">
        <v>0.96668500000000002</v>
      </c>
      <c r="O22" t="s">
        <v>58</v>
      </c>
      <c r="P22" t="s">
        <v>63</v>
      </c>
      <c r="Q22" t="s">
        <v>3079</v>
      </c>
      <c r="R22" t="s">
        <v>3080</v>
      </c>
      <c r="S22" t="s">
        <v>67</v>
      </c>
      <c r="T22" t="s">
        <v>3081</v>
      </c>
      <c r="U22" t="s">
        <v>3082</v>
      </c>
      <c r="V22">
        <v>16</v>
      </c>
      <c r="W22" s="2">
        <v>0</v>
      </c>
    </row>
    <row r="23" spans="1:23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1141685</v>
      </c>
      <c r="H23" t="s">
        <v>76</v>
      </c>
      <c r="I23" t="s">
        <v>95</v>
      </c>
      <c r="J23" t="s">
        <v>99</v>
      </c>
      <c r="K23" t="s">
        <v>109</v>
      </c>
      <c r="L23" s="1">
        <v>46143</v>
      </c>
      <c r="M23" s="1">
        <v>46173</v>
      </c>
      <c r="N23">
        <v>0.983352</v>
      </c>
      <c r="O23" t="s">
        <v>58</v>
      </c>
      <c r="P23" t="s">
        <v>63</v>
      </c>
      <c r="Q23" t="s">
        <v>3079</v>
      </c>
      <c r="R23" t="s">
        <v>3080</v>
      </c>
      <c r="S23" t="s">
        <v>67</v>
      </c>
      <c r="T23" t="s">
        <v>3081</v>
      </c>
      <c r="U23" t="s">
        <v>3082</v>
      </c>
      <c r="V23">
        <v>16</v>
      </c>
      <c r="W23" s="2">
        <v>0</v>
      </c>
    </row>
    <row r="24" spans="1:23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1141685</v>
      </c>
      <c r="H24" t="s">
        <v>77</v>
      </c>
      <c r="I24" t="s">
        <v>96</v>
      </c>
      <c r="J24" t="s">
        <v>77</v>
      </c>
      <c r="K24" t="s">
        <v>111</v>
      </c>
      <c r="L24" s="1">
        <v>46143</v>
      </c>
      <c r="M24" s="1">
        <v>46173</v>
      </c>
      <c r="N24">
        <v>1.6621753732</v>
      </c>
      <c r="O24" t="s">
        <v>56</v>
      </c>
      <c r="P24" t="s">
        <v>63</v>
      </c>
      <c r="Q24" t="s">
        <v>3075</v>
      </c>
      <c r="R24" t="s">
        <v>3076</v>
      </c>
      <c r="S24" t="s">
        <v>67</v>
      </c>
      <c r="T24" t="s">
        <v>3111</v>
      </c>
      <c r="U24" t="s">
        <v>3112</v>
      </c>
      <c r="V24">
        <v>16</v>
      </c>
      <c r="W24" s="2">
        <v>289.98514173029997</v>
      </c>
    </row>
    <row r="25" spans="1:23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1141685</v>
      </c>
      <c r="H25" t="s">
        <v>82</v>
      </c>
      <c r="I25" t="s">
        <v>82</v>
      </c>
      <c r="J25" t="s">
        <v>82</v>
      </c>
      <c r="K25" t="s">
        <v>118</v>
      </c>
      <c r="L25" s="1">
        <v>46143</v>
      </c>
      <c r="M25" s="1">
        <v>46173</v>
      </c>
      <c r="N25">
        <v>0.16303200000000001</v>
      </c>
      <c r="O25" t="s">
        <v>60</v>
      </c>
      <c r="P25" t="s">
        <v>63</v>
      </c>
      <c r="Q25" t="s">
        <v>3094</v>
      </c>
      <c r="R25" t="s">
        <v>148</v>
      </c>
      <c r="S25" t="s">
        <v>68</v>
      </c>
      <c r="T25" t="s">
        <v>3113</v>
      </c>
      <c r="U25" t="s">
        <v>3114</v>
      </c>
      <c r="V25">
        <v>7</v>
      </c>
      <c r="W25" s="2">
        <v>1137.698207744</v>
      </c>
    </row>
    <row r="26" spans="1:23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1141685</v>
      </c>
      <c r="H26" t="s">
        <v>77</v>
      </c>
      <c r="I26" t="s">
        <v>96</v>
      </c>
      <c r="J26" t="s">
        <v>77</v>
      </c>
      <c r="K26" t="s">
        <v>113</v>
      </c>
      <c r="L26" s="1">
        <v>46143</v>
      </c>
      <c r="M26" s="1">
        <v>46173</v>
      </c>
      <c r="N26">
        <v>50.871601251000001</v>
      </c>
      <c r="O26" t="s">
        <v>56</v>
      </c>
      <c r="P26" t="s">
        <v>63</v>
      </c>
      <c r="Q26" t="s">
        <v>3075</v>
      </c>
      <c r="R26" t="s">
        <v>3076</v>
      </c>
      <c r="S26" t="s">
        <v>67</v>
      </c>
      <c r="T26" t="s">
        <v>3115</v>
      </c>
      <c r="U26" t="s">
        <v>3116</v>
      </c>
      <c r="V26">
        <v>16</v>
      </c>
      <c r="W26" s="2">
        <v>8875.0624077324992</v>
      </c>
    </row>
    <row r="27" spans="1:23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1141685</v>
      </c>
      <c r="H27" t="s">
        <v>77</v>
      </c>
      <c r="I27" t="s">
        <v>96</v>
      </c>
      <c r="J27" t="s">
        <v>77</v>
      </c>
      <c r="K27" t="s">
        <v>111</v>
      </c>
      <c r="L27" s="1">
        <v>46143</v>
      </c>
      <c r="M27" s="1">
        <v>46173</v>
      </c>
      <c r="N27">
        <v>5.6489232349999998</v>
      </c>
      <c r="O27" t="s">
        <v>56</v>
      </c>
      <c r="P27" t="s">
        <v>63</v>
      </c>
      <c r="Q27" t="s">
        <v>3075</v>
      </c>
      <c r="R27" t="s">
        <v>3076</v>
      </c>
      <c r="S27" t="s">
        <v>67</v>
      </c>
      <c r="T27" t="s">
        <v>3117</v>
      </c>
      <c r="U27" t="s">
        <v>3118</v>
      </c>
      <c r="V27">
        <v>16</v>
      </c>
      <c r="W27" s="2">
        <v>985.50980986859997</v>
      </c>
    </row>
    <row r="28" spans="1:23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1141685</v>
      </c>
      <c r="H28" t="s">
        <v>77</v>
      </c>
      <c r="I28" t="s">
        <v>96</v>
      </c>
      <c r="J28" t="s">
        <v>77</v>
      </c>
      <c r="K28" t="s">
        <v>111</v>
      </c>
      <c r="L28" s="1">
        <v>46143</v>
      </c>
      <c r="M28" s="1">
        <v>46173</v>
      </c>
      <c r="N28">
        <v>0.29061818220000002</v>
      </c>
      <c r="O28" t="s">
        <v>56</v>
      </c>
      <c r="P28" t="s">
        <v>63</v>
      </c>
      <c r="Q28" t="s">
        <v>3075</v>
      </c>
      <c r="R28" t="s">
        <v>3076</v>
      </c>
      <c r="S28" t="s">
        <v>67</v>
      </c>
      <c r="T28" t="s">
        <v>3119</v>
      </c>
      <c r="U28" t="s">
        <v>3120</v>
      </c>
      <c r="V28">
        <v>15</v>
      </c>
      <c r="W28" s="2">
        <v>50.697098291700001</v>
      </c>
    </row>
    <row r="29" spans="1:23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1141685</v>
      </c>
      <c r="H29" t="s">
        <v>76</v>
      </c>
      <c r="I29" t="s">
        <v>95</v>
      </c>
      <c r="J29" t="s">
        <v>99</v>
      </c>
      <c r="K29" t="s">
        <v>109</v>
      </c>
      <c r="L29" s="1">
        <v>46143</v>
      </c>
      <c r="M29" s="1">
        <v>46173</v>
      </c>
      <c r="N29">
        <v>76</v>
      </c>
      <c r="O29" t="s">
        <v>58</v>
      </c>
      <c r="P29" t="s">
        <v>63</v>
      </c>
      <c r="Q29" t="s">
        <v>3079</v>
      </c>
      <c r="R29" t="s">
        <v>3087</v>
      </c>
      <c r="S29" t="s">
        <v>67</v>
      </c>
      <c r="T29" t="s">
        <v>3088</v>
      </c>
      <c r="U29" t="s">
        <v>3089</v>
      </c>
      <c r="V29">
        <v>17</v>
      </c>
      <c r="W29" s="2">
        <v>0</v>
      </c>
    </row>
    <row r="30" spans="1:23" x14ac:dyDescent="0.25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1141685</v>
      </c>
      <c r="H30" t="s">
        <v>76</v>
      </c>
      <c r="I30" t="s">
        <v>95</v>
      </c>
      <c r="J30" t="s">
        <v>99</v>
      </c>
      <c r="K30" t="s">
        <v>109</v>
      </c>
      <c r="L30" s="1">
        <v>46143</v>
      </c>
      <c r="M30" s="1">
        <v>46173</v>
      </c>
      <c r="N30">
        <v>137</v>
      </c>
      <c r="O30" t="s">
        <v>58</v>
      </c>
      <c r="P30" t="s">
        <v>63</v>
      </c>
      <c r="Q30" t="s">
        <v>3079</v>
      </c>
      <c r="R30" t="s">
        <v>3087</v>
      </c>
      <c r="S30" t="s">
        <v>67</v>
      </c>
      <c r="T30" t="s">
        <v>3121</v>
      </c>
      <c r="U30" t="s">
        <v>3122</v>
      </c>
      <c r="V30">
        <v>16</v>
      </c>
      <c r="W30" s="2">
        <v>0</v>
      </c>
    </row>
    <row r="31" spans="1:23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1141685</v>
      </c>
      <c r="H31" t="s">
        <v>76</v>
      </c>
      <c r="I31" t="s">
        <v>95</v>
      </c>
      <c r="J31" t="s">
        <v>99</v>
      </c>
      <c r="K31" t="s">
        <v>109</v>
      </c>
      <c r="L31" s="1">
        <v>46143</v>
      </c>
      <c r="M31" s="1">
        <v>46173</v>
      </c>
      <c r="N31">
        <v>75.999981000000005</v>
      </c>
      <c r="O31" t="s">
        <v>58</v>
      </c>
      <c r="P31" t="s">
        <v>63</v>
      </c>
      <c r="Q31" t="s">
        <v>3079</v>
      </c>
      <c r="R31" t="s">
        <v>3076</v>
      </c>
      <c r="S31" t="s">
        <v>67</v>
      </c>
      <c r="T31" t="s">
        <v>3123</v>
      </c>
      <c r="U31" t="s">
        <v>3124</v>
      </c>
      <c r="V31">
        <v>16</v>
      </c>
      <c r="W31" s="2">
        <v>0</v>
      </c>
    </row>
    <row r="32" spans="1:23" x14ac:dyDescent="0.25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1141685</v>
      </c>
      <c r="H32" t="s">
        <v>76</v>
      </c>
      <c r="I32" t="s">
        <v>95</v>
      </c>
      <c r="J32" t="s">
        <v>99</v>
      </c>
      <c r="K32" t="s">
        <v>109</v>
      </c>
      <c r="L32" s="1">
        <v>46143</v>
      </c>
      <c r="M32" s="1">
        <v>46173</v>
      </c>
      <c r="N32">
        <v>168</v>
      </c>
      <c r="O32" t="s">
        <v>58</v>
      </c>
      <c r="P32" t="s">
        <v>63</v>
      </c>
      <c r="Q32" t="s">
        <v>3079</v>
      </c>
      <c r="R32" t="s">
        <v>3076</v>
      </c>
      <c r="S32" t="s">
        <v>67</v>
      </c>
      <c r="T32" t="s">
        <v>3123</v>
      </c>
      <c r="U32" t="s">
        <v>3124</v>
      </c>
      <c r="V32">
        <v>16</v>
      </c>
      <c r="W32" s="2">
        <v>0</v>
      </c>
    </row>
    <row r="33" spans="1:23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1141685</v>
      </c>
      <c r="H33" t="s">
        <v>80</v>
      </c>
      <c r="I33" t="s">
        <v>96</v>
      </c>
      <c r="J33" t="s">
        <v>80</v>
      </c>
      <c r="K33" t="s">
        <v>115</v>
      </c>
      <c r="L33" s="1">
        <v>46143</v>
      </c>
      <c r="M33" s="1">
        <v>46173</v>
      </c>
      <c r="N33">
        <v>6.7158288299999994E-2</v>
      </c>
      <c r="O33" t="s">
        <v>56</v>
      </c>
      <c r="P33" t="s">
        <v>63</v>
      </c>
      <c r="Q33" t="s">
        <v>3075</v>
      </c>
      <c r="R33" t="s">
        <v>3080</v>
      </c>
      <c r="S33" t="s">
        <v>67</v>
      </c>
      <c r="T33" t="s">
        <v>3125</v>
      </c>
      <c r="U33" t="s">
        <v>3126</v>
      </c>
      <c r="V33">
        <v>15</v>
      </c>
      <c r="W33" s="2">
        <v>11.7204627827</v>
      </c>
    </row>
    <row r="34" spans="1:23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>
        <v>1141685</v>
      </c>
      <c r="H34" t="s">
        <v>80</v>
      </c>
      <c r="I34" t="s">
        <v>96</v>
      </c>
      <c r="J34" t="s">
        <v>80</v>
      </c>
      <c r="K34" t="s">
        <v>115</v>
      </c>
      <c r="L34" s="1">
        <v>46143</v>
      </c>
      <c r="M34" s="1">
        <v>46173</v>
      </c>
      <c r="N34">
        <v>1.0008426399999999E-2</v>
      </c>
      <c r="O34" t="s">
        <v>56</v>
      </c>
      <c r="P34" t="s">
        <v>63</v>
      </c>
      <c r="Q34" t="s">
        <v>3075</v>
      </c>
      <c r="R34" t="s">
        <v>3076</v>
      </c>
      <c r="S34" t="s">
        <v>67</v>
      </c>
      <c r="T34" t="s">
        <v>3127</v>
      </c>
      <c r="U34" t="s">
        <v>3128</v>
      </c>
      <c r="V34">
        <v>16</v>
      </c>
      <c r="W34" s="2">
        <v>1.7465416578999999</v>
      </c>
    </row>
    <row r="35" spans="1:23" x14ac:dyDescent="0.25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>
        <v>1141685</v>
      </c>
      <c r="H35" t="s">
        <v>80</v>
      </c>
      <c r="I35" t="s">
        <v>96</v>
      </c>
      <c r="J35" t="s">
        <v>80</v>
      </c>
      <c r="K35" t="s">
        <v>115</v>
      </c>
      <c r="L35" s="1">
        <v>46143</v>
      </c>
      <c r="M35" s="1">
        <v>46173</v>
      </c>
      <c r="N35">
        <v>4.7761900000000001E-5</v>
      </c>
      <c r="O35" t="s">
        <v>56</v>
      </c>
      <c r="P35" t="s">
        <v>63</v>
      </c>
      <c r="Q35" t="s">
        <v>3075</v>
      </c>
      <c r="R35" t="s">
        <v>3080</v>
      </c>
      <c r="S35" t="s">
        <v>67</v>
      </c>
      <c r="T35" t="s">
        <v>3129</v>
      </c>
      <c r="U35" t="s">
        <v>3130</v>
      </c>
      <c r="V35">
        <v>16</v>
      </c>
      <c r="W35" s="2">
        <v>7.3326431999999999E-3</v>
      </c>
    </row>
    <row r="36" spans="1:23" x14ac:dyDescent="0.25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>
        <v>1141685</v>
      </c>
      <c r="H36" t="s">
        <v>75</v>
      </c>
      <c r="I36" t="s">
        <v>94</v>
      </c>
      <c r="J36" t="s">
        <v>98</v>
      </c>
      <c r="K36" t="s">
        <v>108</v>
      </c>
      <c r="L36" s="1">
        <v>46143</v>
      </c>
      <c r="M36" s="1">
        <v>46173</v>
      </c>
      <c r="N36">
        <v>1.9040851872</v>
      </c>
      <c r="O36" t="s">
        <v>56</v>
      </c>
      <c r="P36" t="s">
        <v>63</v>
      </c>
      <c r="Q36" t="s">
        <v>3075</v>
      </c>
      <c r="R36" t="s">
        <v>3087</v>
      </c>
      <c r="S36" t="s">
        <v>67</v>
      </c>
      <c r="T36" t="s">
        <v>3131</v>
      </c>
      <c r="U36" t="s">
        <v>3132</v>
      </c>
      <c r="V36">
        <v>17</v>
      </c>
      <c r="W36" s="2">
        <v>3986.2415706484999</v>
      </c>
    </row>
    <row r="37" spans="1:23" x14ac:dyDescent="0.25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>
        <v>1141685</v>
      </c>
      <c r="H37" t="s">
        <v>75</v>
      </c>
      <c r="I37" t="s">
        <v>94</v>
      </c>
      <c r="J37" t="s">
        <v>98</v>
      </c>
      <c r="K37" t="s">
        <v>108</v>
      </c>
      <c r="L37" s="1">
        <v>46143</v>
      </c>
      <c r="M37" s="1">
        <v>46173</v>
      </c>
      <c r="N37">
        <v>0.1183060408</v>
      </c>
      <c r="O37" t="s">
        <v>56</v>
      </c>
      <c r="P37" t="s">
        <v>63</v>
      </c>
      <c r="Q37" t="s">
        <v>3075</v>
      </c>
      <c r="R37" t="s">
        <v>3087</v>
      </c>
      <c r="S37" t="s">
        <v>67</v>
      </c>
      <c r="T37" t="s">
        <v>3133</v>
      </c>
      <c r="U37" t="s">
        <v>3134</v>
      </c>
      <c r="V37">
        <v>17</v>
      </c>
      <c r="W37" s="2">
        <v>247.67493496450001</v>
      </c>
    </row>
    <row r="38" spans="1:23" x14ac:dyDescent="0.25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>
        <v>1141685</v>
      </c>
      <c r="H38" t="s">
        <v>75</v>
      </c>
      <c r="I38" t="s">
        <v>94</v>
      </c>
      <c r="J38" t="s">
        <v>98</v>
      </c>
      <c r="K38" t="s">
        <v>108</v>
      </c>
      <c r="L38" s="1">
        <v>46143</v>
      </c>
      <c r="M38" s="1">
        <v>46173</v>
      </c>
      <c r="N38">
        <v>1.50793688E-2</v>
      </c>
      <c r="O38" t="s">
        <v>56</v>
      </c>
      <c r="P38" t="s">
        <v>63</v>
      </c>
      <c r="Q38" t="s">
        <v>3075</v>
      </c>
      <c r="R38" t="s">
        <v>3076</v>
      </c>
      <c r="S38" t="s">
        <v>67</v>
      </c>
      <c r="T38" t="s">
        <v>3135</v>
      </c>
      <c r="U38" t="s">
        <v>3136</v>
      </c>
      <c r="V38">
        <v>16</v>
      </c>
      <c r="W38" s="2">
        <v>31.570685016900001</v>
      </c>
    </row>
    <row r="39" spans="1:23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>
        <v>1141685</v>
      </c>
      <c r="H39" t="s">
        <v>75</v>
      </c>
      <c r="I39" t="s">
        <v>94</v>
      </c>
      <c r="J39" t="s">
        <v>98</v>
      </c>
      <c r="K39" t="s">
        <v>108</v>
      </c>
      <c r="L39" s="1">
        <v>46143</v>
      </c>
      <c r="M39" s="1">
        <v>46173</v>
      </c>
      <c r="N39">
        <v>2.068E-7</v>
      </c>
      <c r="O39" t="s">
        <v>56</v>
      </c>
      <c r="P39" t="s">
        <v>63</v>
      </c>
      <c r="Q39" t="s">
        <v>3075</v>
      </c>
      <c r="R39" t="s">
        <v>3080</v>
      </c>
      <c r="S39" t="s">
        <v>67</v>
      </c>
      <c r="T39" t="s">
        <v>3137</v>
      </c>
      <c r="U39" t="s">
        <v>3138</v>
      </c>
      <c r="V39">
        <v>16</v>
      </c>
      <c r="W39" s="2">
        <v>3.8090150000000001E-4</v>
      </c>
    </row>
    <row r="40" spans="1:23" x14ac:dyDescent="0.25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>
        <v>1141685</v>
      </c>
      <c r="H40" t="s">
        <v>80</v>
      </c>
      <c r="I40" t="s">
        <v>96</v>
      </c>
      <c r="J40" t="s">
        <v>80</v>
      </c>
      <c r="K40" t="s">
        <v>115</v>
      </c>
      <c r="L40" s="1">
        <v>46143</v>
      </c>
      <c r="M40" s="1">
        <v>46173</v>
      </c>
      <c r="N40">
        <v>7.8563218000000004E-2</v>
      </c>
      <c r="O40" t="s">
        <v>56</v>
      </c>
      <c r="P40" t="s">
        <v>63</v>
      </c>
      <c r="Q40" t="s">
        <v>3075</v>
      </c>
      <c r="R40" t="s">
        <v>3076</v>
      </c>
      <c r="S40" t="s">
        <v>67</v>
      </c>
      <c r="T40" t="s">
        <v>3139</v>
      </c>
      <c r="U40" t="s">
        <v>3140</v>
      </c>
      <c r="V40">
        <v>16</v>
      </c>
      <c r="W40" s="2">
        <v>13.701402330400001</v>
      </c>
    </row>
    <row r="41" spans="1:23" x14ac:dyDescent="0.25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>
        <v>1141685</v>
      </c>
      <c r="H41" t="s">
        <v>80</v>
      </c>
      <c r="I41" t="s">
        <v>96</v>
      </c>
      <c r="J41" t="s">
        <v>80</v>
      </c>
      <c r="K41" t="s">
        <v>115</v>
      </c>
      <c r="L41" s="1">
        <v>46143</v>
      </c>
      <c r="M41" s="1">
        <v>46173</v>
      </c>
      <c r="N41">
        <v>8.4173762999999995E-3</v>
      </c>
      <c r="O41" t="s">
        <v>56</v>
      </c>
      <c r="P41" t="s">
        <v>63</v>
      </c>
      <c r="Q41" t="s">
        <v>3075</v>
      </c>
      <c r="R41" t="s">
        <v>3076</v>
      </c>
      <c r="S41" t="s">
        <v>67</v>
      </c>
      <c r="T41" t="s">
        <v>3141</v>
      </c>
      <c r="U41" t="s">
        <v>3142</v>
      </c>
      <c r="V41">
        <v>15</v>
      </c>
      <c r="W41" s="2">
        <v>1.4722760151000001</v>
      </c>
    </row>
    <row r="42" spans="1:23" x14ac:dyDescent="0.25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>
        <v>1141685</v>
      </c>
      <c r="H42" t="s">
        <v>80</v>
      </c>
      <c r="I42" t="s">
        <v>96</v>
      </c>
      <c r="J42" t="s">
        <v>80</v>
      </c>
      <c r="K42" t="s">
        <v>115</v>
      </c>
      <c r="L42" s="1">
        <v>46143</v>
      </c>
      <c r="M42" s="1">
        <v>46173</v>
      </c>
      <c r="N42">
        <v>1.2067430895</v>
      </c>
      <c r="O42" t="s">
        <v>56</v>
      </c>
      <c r="P42" t="s">
        <v>63</v>
      </c>
      <c r="Q42" t="s">
        <v>3075</v>
      </c>
      <c r="R42" t="s">
        <v>3080</v>
      </c>
      <c r="S42" t="s">
        <v>67</v>
      </c>
      <c r="T42" t="s">
        <v>3143</v>
      </c>
      <c r="U42" t="s">
        <v>3144</v>
      </c>
      <c r="V42">
        <v>16</v>
      </c>
      <c r="W42" s="2">
        <v>210.5249914616</v>
      </c>
    </row>
    <row r="43" spans="1:23" x14ac:dyDescent="0.2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>
        <v>1141685</v>
      </c>
      <c r="H43" t="s">
        <v>75</v>
      </c>
      <c r="I43" t="s">
        <v>94</v>
      </c>
      <c r="J43" t="s">
        <v>98</v>
      </c>
      <c r="K43" t="s">
        <v>108</v>
      </c>
      <c r="L43" s="1">
        <v>46143</v>
      </c>
      <c r="M43" s="1">
        <v>46173</v>
      </c>
      <c r="N43">
        <v>1.8089906999999999E-3</v>
      </c>
      <c r="O43" t="s">
        <v>56</v>
      </c>
      <c r="P43" t="s">
        <v>63</v>
      </c>
      <c r="Q43" t="s">
        <v>3075</v>
      </c>
      <c r="R43" t="s">
        <v>3076</v>
      </c>
      <c r="S43" t="s">
        <v>67</v>
      </c>
      <c r="T43" t="s">
        <v>3145</v>
      </c>
      <c r="U43" t="s">
        <v>3146</v>
      </c>
      <c r="V43">
        <v>16</v>
      </c>
      <c r="W43" s="2">
        <v>3.7826992698000002</v>
      </c>
    </row>
    <row r="44" spans="1:23" x14ac:dyDescent="0.25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>
        <v>1141685</v>
      </c>
      <c r="H44" t="s">
        <v>82</v>
      </c>
      <c r="I44" t="s">
        <v>82</v>
      </c>
      <c r="J44" t="s">
        <v>82</v>
      </c>
      <c r="K44" t="s">
        <v>118</v>
      </c>
      <c r="L44" s="1">
        <v>46143</v>
      </c>
      <c r="M44" s="1">
        <v>46173</v>
      </c>
      <c r="N44">
        <v>0.15307499999999999</v>
      </c>
      <c r="O44" t="s">
        <v>60</v>
      </c>
      <c r="P44" t="s">
        <v>63</v>
      </c>
      <c r="Q44" t="s">
        <v>3094</v>
      </c>
      <c r="R44" t="s">
        <v>149</v>
      </c>
      <c r="S44" t="s">
        <v>68</v>
      </c>
      <c r="T44" t="s">
        <v>3147</v>
      </c>
      <c r="U44" t="s">
        <v>3148</v>
      </c>
      <c r="V44">
        <v>7</v>
      </c>
      <c r="W44" s="2">
        <v>1068.2223503974999</v>
      </c>
    </row>
    <row r="45" spans="1:23" x14ac:dyDescent="0.25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>
        <v>1141685</v>
      </c>
      <c r="H45" t="s">
        <v>80</v>
      </c>
      <c r="I45" t="s">
        <v>96</v>
      </c>
      <c r="J45" t="s">
        <v>80</v>
      </c>
      <c r="K45" t="s">
        <v>115</v>
      </c>
      <c r="L45" s="1">
        <v>46143</v>
      </c>
      <c r="M45" s="1">
        <v>46173</v>
      </c>
      <c r="N45">
        <v>0.92594717820000005</v>
      </c>
      <c r="O45" t="s">
        <v>56</v>
      </c>
      <c r="P45" t="s">
        <v>63</v>
      </c>
      <c r="Q45" t="s">
        <v>3075</v>
      </c>
      <c r="R45" t="s">
        <v>3080</v>
      </c>
      <c r="S45" t="s">
        <v>67</v>
      </c>
      <c r="T45" t="s">
        <v>3149</v>
      </c>
      <c r="U45" t="s">
        <v>3150</v>
      </c>
      <c r="V45">
        <v>16</v>
      </c>
      <c r="W45" s="2">
        <v>161.53585533419999</v>
      </c>
    </row>
    <row r="46" spans="1:23" x14ac:dyDescent="0.25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>
        <v>1141685</v>
      </c>
      <c r="H46" t="s">
        <v>80</v>
      </c>
      <c r="I46" t="s">
        <v>96</v>
      </c>
      <c r="J46" t="s">
        <v>80</v>
      </c>
      <c r="K46" t="s">
        <v>115</v>
      </c>
      <c r="L46" s="1">
        <v>46143</v>
      </c>
      <c r="M46" s="1">
        <v>46173</v>
      </c>
      <c r="N46">
        <v>1.76029E-5</v>
      </c>
      <c r="O46" t="s">
        <v>56</v>
      </c>
      <c r="P46" t="s">
        <v>63</v>
      </c>
      <c r="Q46" t="s">
        <v>3075</v>
      </c>
      <c r="R46" t="s">
        <v>3080</v>
      </c>
      <c r="S46" t="s">
        <v>67</v>
      </c>
      <c r="T46" t="s">
        <v>3151</v>
      </c>
      <c r="U46" t="s">
        <v>3152</v>
      </c>
      <c r="V46">
        <v>16</v>
      </c>
      <c r="W46" s="2">
        <v>2.7024859E-3</v>
      </c>
    </row>
    <row r="47" spans="1:23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>
        <v>1141685</v>
      </c>
      <c r="H47" t="s">
        <v>80</v>
      </c>
      <c r="I47" t="s">
        <v>96</v>
      </c>
      <c r="J47" t="s">
        <v>80</v>
      </c>
      <c r="K47" t="s">
        <v>115</v>
      </c>
      <c r="L47" s="1">
        <v>46143</v>
      </c>
      <c r="M47" s="1">
        <v>46173</v>
      </c>
      <c r="N47">
        <v>1.4304378713000001</v>
      </c>
      <c r="O47" t="s">
        <v>56</v>
      </c>
      <c r="P47" t="s">
        <v>63</v>
      </c>
      <c r="Q47" t="s">
        <v>3075</v>
      </c>
      <c r="R47" t="s">
        <v>3080</v>
      </c>
      <c r="S47" t="s">
        <v>67</v>
      </c>
      <c r="T47" t="s">
        <v>3153</v>
      </c>
      <c r="U47" t="s">
        <v>3154</v>
      </c>
      <c r="V47">
        <v>16</v>
      </c>
      <c r="W47" s="2">
        <v>249.55768809380001</v>
      </c>
    </row>
    <row r="48" spans="1:23" x14ac:dyDescent="0.25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>
        <v>1141685</v>
      </c>
      <c r="H48" t="s">
        <v>88</v>
      </c>
      <c r="I48" t="s">
        <v>88</v>
      </c>
      <c r="J48" t="s">
        <v>88</v>
      </c>
      <c r="K48" t="s">
        <v>126</v>
      </c>
      <c r="L48" s="1">
        <v>46143</v>
      </c>
      <c r="M48" s="1">
        <v>46173</v>
      </c>
      <c r="N48">
        <v>744</v>
      </c>
      <c r="O48" t="s">
        <v>58</v>
      </c>
      <c r="P48" t="s">
        <v>63</v>
      </c>
      <c r="Q48" t="s">
        <v>3097</v>
      </c>
      <c r="R48" t="s">
        <v>3155</v>
      </c>
      <c r="S48" t="s">
        <v>67</v>
      </c>
      <c r="T48" t="s">
        <v>1528</v>
      </c>
      <c r="U48" t="s">
        <v>1668</v>
      </c>
      <c r="V48">
        <v>6</v>
      </c>
      <c r="W48" s="2">
        <v>389394.72360000003</v>
      </c>
    </row>
    <row r="49" spans="1:23" x14ac:dyDescent="0.25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>
        <v>1141685</v>
      </c>
      <c r="H49" t="s">
        <v>83</v>
      </c>
      <c r="I49" t="s">
        <v>97</v>
      </c>
      <c r="J49" t="s">
        <v>103</v>
      </c>
      <c r="K49" t="s">
        <v>119</v>
      </c>
      <c r="L49" s="1">
        <v>46143</v>
      </c>
      <c r="M49" s="1">
        <v>46173</v>
      </c>
      <c r="N49">
        <v>2108</v>
      </c>
      <c r="O49" t="s">
        <v>58</v>
      </c>
      <c r="P49" t="s">
        <v>63</v>
      </c>
      <c r="Q49" t="s">
        <v>3097</v>
      </c>
      <c r="R49" t="s">
        <v>3098</v>
      </c>
      <c r="S49" t="s">
        <v>67</v>
      </c>
      <c r="T49" t="s">
        <v>552</v>
      </c>
      <c r="U49" t="s">
        <v>737</v>
      </c>
      <c r="V49">
        <v>6</v>
      </c>
      <c r="W49" s="2">
        <v>3676366.4110534401</v>
      </c>
    </row>
    <row r="50" spans="1:23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>
        <v>1141685</v>
      </c>
      <c r="H50" t="s">
        <v>81</v>
      </c>
      <c r="I50" t="s">
        <v>97</v>
      </c>
      <c r="J50" t="s">
        <v>102</v>
      </c>
      <c r="K50" t="s">
        <v>117</v>
      </c>
      <c r="L50" s="1">
        <v>46143</v>
      </c>
      <c r="M50" s="1">
        <v>46173</v>
      </c>
      <c r="N50">
        <v>1689</v>
      </c>
      <c r="O50" t="s">
        <v>58</v>
      </c>
      <c r="P50" t="s">
        <v>63</v>
      </c>
      <c r="Q50" t="s">
        <v>3097</v>
      </c>
      <c r="R50" t="s">
        <v>3098</v>
      </c>
      <c r="S50" t="s">
        <v>67</v>
      </c>
      <c r="T50" t="s">
        <v>70</v>
      </c>
      <c r="U50" t="s">
        <v>73</v>
      </c>
      <c r="V50">
        <v>6</v>
      </c>
      <c r="W50" s="2">
        <v>0</v>
      </c>
    </row>
    <row r="51" spans="1:23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>
        <v>1141685</v>
      </c>
      <c r="H51" t="s">
        <v>77</v>
      </c>
      <c r="I51" t="s">
        <v>96</v>
      </c>
      <c r="J51" t="s">
        <v>77</v>
      </c>
      <c r="K51" t="s">
        <v>110</v>
      </c>
      <c r="L51" s="1">
        <v>46143</v>
      </c>
      <c r="M51" s="1">
        <v>46173</v>
      </c>
      <c r="N51">
        <v>744</v>
      </c>
      <c r="O51" t="s">
        <v>58</v>
      </c>
      <c r="P51" t="s">
        <v>63</v>
      </c>
      <c r="Q51" t="s">
        <v>3094</v>
      </c>
      <c r="R51" t="s">
        <v>3156</v>
      </c>
      <c r="S51" t="s">
        <v>67</v>
      </c>
      <c r="T51" t="s">
        <v>3102</v>
      </c>
      <c r="U51" t="s">
        <v>3103</v>
      </c>
      <c r="V51">
        <v>7</v>
      </c>
      <c r="W51" s="2">
        <v>129798.2412</v>
      </c>
    </row>
    <row r="52" spans="1:23" x14ac:dyDescent="0.25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>
        <v>1141685</v>
      </c>
      <c r="H52" t="s">
        <v>77</v>
      </c>
      <c r="I52" t="s">
        <v>96</v>
      </c>
      <c r="J52" t="s">
        <v>77</v>
      </c>
      <c r="K52" t="s">
        <v>110</v>
      </c>
      <c r="L52" s="1">
        <v>46143</v>
      </c>
      <c r="M52" s="1">
        <v>46173</v>
      </c>
      <c r="N52">
        <v>744</v>
      </c>
      <c r="O52" t="s">
        <v>58</v>
      </c>
      <c r="P52" t="s">
        <v>63</v>
      </c>
      <c r="Q52" t="s">
        <v>3094</v>
      </c>
      <c r="R52" t="s">
        <v>3157</v>
      </c>
      <c r="S52" t="s">
        <v>67</v>
      </c>
      <c r="T52" t="s">
        <v>3158</v>
      </c>
      <c r="U52" t="s">
        <v>3159</v>
      </c>
      <c r="V52">
        <v>7</v>
      </c>
      <c r="W52" s="2">
        <v>129798.2412</v>
      </c>
    </row>
    <row r="53" spans="1:23" x14ac:dyDescent="0.25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>
        <v>1141685</v>
      </c>
      <c r="H53" t="s">
        <v>77</v>
      </c>
      <c r="I53" t="s">
        <v>96</v>
      </c>
      <c r="J53" t="s">
        <v>77</v>
      </c>
      <c r="K53" t="s">
        <v>113</v>
      </c>
      <c r="L53" s="1">
        <v>46143</v>
      </c>
      <c r="M53" s="1">
        <v>46173</v>
      </c>
      <c r="N53">
        <v>1.49806375E-2</v>
      </c>
      <c r="O53" t="s">
        <v>56</v>
      </c>
      <c r="P53" t="s">
        <v>63</v>
      </c>
      <c r="Q53" t="s">
        <v>3075</v>
      </c>
      <c r="R53" t="s">
        <v>3080</v>
      </c>
      <c r="S53" t="s">
        <v>67</v>
      </c>
      <c r="T53" t="s">
        <v>3160</v>
      </c>
      <c r="U53" t="s">
        <v>3161</v>
      </c>
      <c r="V53">
        <v>16</v>
      </c>
      <c r="W53" s="2">
        <v>2.6098993712</v>
      </c>
    </row>
    <row r="54" spans="1:23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>
        <v>1141685</v>
      </c>
      <c r="H54" t="s">
        <v>77</v>
      </c>
      <c r="I54" t="s">
        <v>96</v>
      </c>
      <c r="J54" t="s">
        <v>77</v>
      </c>
      <c r="K54" t="s">
        <v>113</v>
      </c>
      <c r="L54" s="1">
        <v>46143</v>
      </c>
      <c r="M54" s="1">
        <v>46173</v>
      </c>
      <c r="N54">
        <v>5.4862783412000002</v>
      </c>
      <c r="O54" t="s">
        <v>56</v>
      </c>
      <c r="P54" t="s">
        <v>63</v>
      </c>
      <c r="Q54" t="s">
        <v>3075</v>
      </c>
      <c r="R54" t="s">
        <v>3080</v>
      </c>
      <c r="S54" t="s">
        <v>67</v>
      </c>
      <c r="T54" t="s">
        <v>3162</v>
      </c>
      <c r="U54" t="s">
        <v>3163</v>
      </c>
      <c r="V54">
        <v>15</v>
      </c>
      <c r="W54" s="2">
        <v>957.13978506909996</v>
      </c>
    </row>
    <row r="55" spans="1:23" x14ac:dyDescent="0.25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>
        <v>1141685</v>
      </c>
      <c r="H55" t="s">
        <v>77</v>
      </c>
      <c r="I55" t="s">
        <v>96</v>
      </c>
      <c r="J55" t="s">
        <v>77</v>
      </c>
      <c r="K55" t="s">
        <v>113</v>
      </c>
      <c r="L55" s="1">
        <v>46143</v>
      </c>
      <c r="M55" s="1">
        <v>46173</v>
      </c>
      <c r="N55">
        <v>46.184019262</v>
      </c>
      <c r="O55" t="s">
        <v>56</v>
      </c>
      <c r="P55" t="s">
        <v>63</v>
      </c>
      <c r="Q55" t="s">
        <v>3075</v>
      </c>
      <c r="R55" t="s">
        <v>3080</v>
      </c>
      <c r="S55" t="s">
        <v>67</v>
      </c>
      <c r="T55" t="s">
        <v>3164</v>
      </c>
      <c r="U55" t="s">
        <v>3165</v>
      </c>
      <c r="V55">
        <v>15</v>
      </c>
      <c r="W55" s="2">
        <v>8057.2623203902986</v>
      </c>
    </row>
    <row r="56" spans="1:23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>
        <v>1141685</v>
      </c>
      <c r="H56" t="s">
        <v>77</v>
      </c>
      <c r="I56" t="s">
        <v>96</v>
      </c>
      <c r="J56" t="s">
        <v>77</v>
      </c>
      <c r="K56" t="s">
        <v>110</v>
      </c>
      <c r="L56" s="1">
        <v>46143</v>
      </c>
      <c r="M56" s="1">
        <v>46173</v>
      </c>
      <c r="N56">
        <v>744</v>
      </c>
      <c r="O56" t="s">
        <v>58</v>
      </c>
      <c r="P56" t="s">
        <v>63</v>
      </c>
      <c r="Q56" t="s">
        <v>3094</v>
      </c>
      <c r="R56" t="s">
        <v>3166</v>
      </c>
      <c r="S56" t="s">
        <v>67</v>
      </c>
      <c r="T56" t="s">
        <v>172</v>
      </c>
      <c r="U56" t="s">
        <v>327</v>
      </c>
      <c r="V56">
        <v>7</v>
      </c>
      <c r="W56" s="2">
        <v>129798.2412</v>
      </c>
    </row>
    <row r="57" spans="1:23" x14ac:dyDescent="0.25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>
        <v>1141685</v>
      </c>
      <c r="H57" t="s">
        <v>77</v>
      </c>
      <c r="I57" t="s">
        <v>96</v>
      </c>
      <c r="J57" t="s">
        <v>77</v>
      </c>
      <c r="K57" t="s">
        <v>110</v>
      </c>
      <c r="L57" s="1">
        <v>46143</v>
      </c>
      <c r="M57" s="1">
        <v>46173</v>
      </c>
      <c r="N57">
        <v>744</v>
      </c>
      <c r="O57" t="s">
        <v>58</v>
      </c>
      <c r="P57" t="s">
        <v>63</v>
      </c>
      <c r="Q57" t="s">
        <v>3094</v>
      </c>
      <c r="R57" t="s">
        <v>3167</v>
      </c>
      <c r="S57" t="s">
        <v>67</v>
      </c>
      <c r="T57" t="s">
        <v>3168</v>
      </c>
      <c r="U57" t="s">
        <v>3169</v>
      </c>
      <c r="V57">
        <v>7</v>
      </c>
      <c r="W57" s="2">
        <v>129798.2412</v>
      </c>
    </row>
    <row r="58" spans="1:23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>
        <v>1141685</v>
      </c>
      <c r="H58" t="s">
        <v>76</v>
      </c>
      <c r="I58" t="s">
        <v>95</v>
      </c>
      <c r="J58" t="s">
        <v>99</v>
      </c>
      <c r="K58" t="s">
        <v>109</v>
      </c>
      <c r="L58" s="1">
        <v>46143</v>
      </c>
      <c r="M58" s="1">
        <v>46173</v>
      </c>
      <c r="N58">
        <v>4.9944000000000002E-2</v>
      </c>
      <c r="O58" t="s">
        <v>58</v>
      </c>
      <c r="P58" t="s">
        <v>63</v>
      </c>
      <c r="Q58" t="s">
        <v>3079</v>
      </c>
      <c r="R58" t="s">
        <v>3076</v>
      </c>
      <c r="S58" t="s">
        <v>67</v>
      </c>
      <c r="T58" t="s">
        <v>3123</v>
      </c>
      <c r="U58" t="s">
        <v>3124</v>
      </c>
      <c r="V58">
        <v>16</v>
      </c>
      <c r="W58" s="2">
        <v>0</v>
      </c>
    </row>
    <row r="59" spans="1:23" x14ac:dyDescent="0.25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>
        <v>1141685</v>
      </c>
      <c r="H59" t="s">
        <v>76</v>
      </c>
      <c r="I59" t="s">
        <v>95</v>
      </c>
      <c r="J59" t="s">
        <v>99</v>
      </c>
      <c r="K59" t="s">
        <v>109</v>
      </c>
      <c r="L59" s="1">
        <v>46143</v>
      </c>
      <c r="M59" s="1">
        <v>46173</v>
      </c>
      <c r="N59">
        <v>0.983352</v>
      </c>
      <c r="O59" t="s">
        <v>58</v>
      </c>
      <c r="P59" t="s">
        <v>63</v>
      </c>
      <c r="Q59" t="s">
        <v>3079</v>
      </c>
      <c r="R59" t="s">
        <v>3076</v>
      </c>
      <c r="S59" t="s">
        <v>67</v>
      </c>
      <c r="T59" t="s">
        <v>3123</v>
      </c>
      <c r="U59" t="s">
        <v>3124</v>
      </c>
      <c r="V59">
        <v>16</v>
      </c>
      <c r="W59" s="2">
        <v>0</v>
      </c>
    </row>
    <row r="60" spans="1:23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>
        <v>1141685</v>
      </c>
      <c r="H60" t="s">
        <v>76</v>
      </c>
      <c r="I60" t="s">
        <v>95</v>
      </c>
      <c r="J60" t="s">
        <v>99</v>
      </c>
      <c r="K60" t="s">
        <v>109</v>
      </c>
      <c r="L60" s="1">
        <v>46143</v>
      </c>
      <c r="M60" s="1">
        <v>46173</v>
      </c>
      <c r="N60">
        <v>0.366674</v>
      </c>
      <c r="O60" t="s">
        <v>58</v>
      </c>
      <c r="P60" t="s">
        <v>63</v>
      </c>
      <c r="Q60" t="s">
        <v>3079</v>
      </c>
      <c r="R60" t="s">
        <v>3080</v>
      </c>
      <c r="S60" t="s">
        <v>67</v>
      </c>
      <c r="T60" t="s">
        <v>3081</v>
      </c>
      <c r="U60" t="s">
        <v>3082</v>
      </c>
      <c r="V60">
        <v>16</v>
      </c>
      <c r="W60" s="2">
        <v>0</v>
      </c>
    </row>
    <row r="61" spans="1:23" x14ac:dyDescent="0.25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>
        <v>1141685</v>
      </c>
      <c r="H61" t="s">
        <v>76</v>
      </c>
      <c r="I61" t="s">
        <v>95</v>
      </c>
      <c r="J61" t="s">
        <v>99</v>
      </c>
      <c r="K61" t="s">
        <v>109</v>
      </c>
      <c r="L61" s="1">
        <v>46143</v>
      </c>
      <c r="M61" s="1">
        <v>46173</v>
      </c>
      <c r="N61">
        <v>0.20000399999999999</v>
      </c>
      <c r="O61" t="s">
        <v>58</v>
      </c>
      <c r="P61" t="s">
        <v>63</v>
      </c>
      <c r="Q61" t="s">
        <v>3079</v>
      </c>
      <c r="R61" t="s">
        <v>3080</v>
      </c>
      <c r="S61" t="s">
        <v>67</v>
      </c>
      <c r="T61" t="s">
        <v>3081</v>
      </c>
      <c r="U61" t="s">
        <v>3082</v>
      </c>
      <c r="V61">
        <v>16</v>
      </c>
      <c r="W61" s="2">
        <v>0</v>
      </c>
    </row>
    <row r="62" spans="1:23" x14ac:dyDescent="0.25">
      <c r="A62" t="s">
        <v>31</v>
      </c>
      <c r="B62" t="s">
        <v>32</v>
      </c>
      <c r="C62" t="s">
        <v>33</v>
      </c>
      <c r="D62" t="s">
        <v>34</v>
      </c>
      <c r="E62" t="s">
        <v>35</v>
      </c>
      <c r="F62" t="s">
        <v>36</v>
      </c>
      <c r="G62">
        <v>1141685</v>
      </c>
      <c r="H62" t="s">
        <v>76</v>
      </c>
      <c r="I62" t="s">
        <v>95</v>
      </c>
      <c r="J62" t="s">
        <v>99</v>
      </c>
      <c r="K62" t="s">
        <v>109</v>
      </c>
      <c r="L62" s="1">
        <v>46143</v>
      </c>
      <c r="M62" s="1">
        <v>46173</v>
      </c>
      <c r="N62">
        <v>0.98335300000000003</v>
      </c>
      <c r="O62" t="s">
        <v>58</v>
      </c>
      <c r="P62" t="s">
        <v>63</v>
      </c>
      <c r="Q62" t="s">
        <v>3079</v>
      </c>
      <c r="R62" t="s">
        <v>3076</v>
      </c>
      <c r="S62" t="s">
        <v>67</v>
      </c>
      <c r="T62" t="s">
        <v>3123</v>
      </c>
      <c r="U62" t="s">
        <v>3124</v>
      </c>
      <c r="V62">
        <v>16</v>
      </c>
      <c r="W62" s="2">
        <v>0</v>
      </c>
    </row>
    <row r="63" spans="1:23" x14ac:dyDescent="0.25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>
        <v>1141685</v>
      </c>
      <c r="H63" t="s">
        <v>76</v>
      </c>
      <c r="I63" t="s">
        <v>95</v>
      </c>
      <c r="J63" t="s">
        <v>99</v>
      </c>
      <c r="K63" t="s">
        <v>109</v>
      </c>
      <c r="L63" s="1">
        <v>46143</v>
      </c>
      <c r="M63" s="1">
        <v>46173</v>
      </c>
      <c r="N63">
        <v>237.99998099999999</v>
      </c>
      <c r="O63" t="s">
        <v>58</v>
      </c>
      <c r="P63" t="s">
        <v>63</v>
      </c>
      <c r="Q63" t="s">
        <v>3079</v>
      </c>
      <c r="R63" t="s">
        <v>3076</v>
      </c>
      <c r="S63" t="s">
        <v>67</v>
      </c>
      <c r="T63" t="s">
        <v>3123</v>
      </c>
      <c r="U63" t="s">
        <v>3124</v>
      </c>
      <c r="V63">
        <v>16</v>
      </c>
      <c r="W63" s="2">
        <v>0</v>
      </c>
    </row>
    <row r="64" spans="1:23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36</v>
      </c>
      <c r="G64">
        <v>1141685</v>
      </c>
      <c r="H64" t="s">
        <v>77</v>
      </c>
      <c r="I64" t="s">
        <v>96</v>
      </c>
      <c r="J64" t="s">
        <v>77</v>
      </c>
      <c r="K64" t="s">
        <v>113</v>
      </c>
      <c r="L64" s="1">
        <v>46143</v>
      </c>
      <c r="M64" s="1">
        <v>46173</v>
      </c>
      <c r="N64">
        <v>0.1198658487</v>
      </c>
      <c r="O64" t="s">
        <v>56</v>
      </c>
      <c r="P64" t="s">
        <v>63</v>
      </c>
      <c r="Q64" t="s">
        <v>3075</v>
      </c>
      <c r="R64" t="s">
        <v>3080</v>
      </c>
      <c r="S64" t="s">
        <v>67</v>
      </c>
      <c r="T64" t="s">
        <v>3170</v>
      </c>
      <c r="U64" t="s">
        <v>3171</v>
      </c>
      <c r="V64">
        <v>16</v>
      </c>
      <c r="W64" s="2">
        <v>20.9123804458</v>
      </c>
    </row>
    <row r="65" spans="1:23" x14ac:dyDescent="0.25">
      <c r="A65" t="s">
        <v>31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>
        <v>1141685</v>
      </c>
      <c r="H65" t="s">
        <v>77</v>
      </c>
      <c r="I65" t="s">
        <v>96</v>
      </c>
      <c r="J65" t="s">
        <v>77</v>
      </c>
      <c r="K65" t="s">
        <v>113</v>
      </c>
      <c r="L65" s="1">
        <v>46143</v>
      </c>
      <c r="M65" s="1">
        <v>46173</v>
      </c>
      <c r="N65">
        <v>1.1787544999999999E-3</v>
      </c>
      <c r="O65" t="s">
        <v>56</v>
      </c>
      <c r="P65" t="s">
        <v>63</v>
      </c>
      <c r="Q65" t="s">
        <v>3075</v>
      </c>
      <c r="R65" t="s">
        <v>3080</v>
      </c>
      <c r="S65" t="s">
        <v>67</v>
      </c>
      <c r="T65" t="s">
        <v>3172</v>
      </c>
      <c r="U65" t="s">
        <v>3173</v>
      </c>
      <c r="V65">
        <v>16</v>
      </c>
      <c r="W65" s="2">
        <v>0.20096804779999999</v>
      </c>
    </row>
    <row r="66" spans="1:23" x14ac:dyDescent="0.25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s">
        <v>36</v>
      </c>
      <c r="G66">
        <v>1141685</v>
      </c>
      <c r="H66" t="s">
        <v>77</v>
      </c>
      <c r="I66" t="s">
        <v>96</v>
      </c>
      <c r="J66" t="s">
        <v>77</v>
      </c>
      <c r="K66" t="s">
        <v>113</v>
      </c>
      <c r="L66" s="1">
        <v>46143</v>
      </c>
      <c r="M66" s="1">
        <v>46173</v>
      </c>
      <c r="N66">
        <v>70.036873614399994</v>
      </c>
      <c r="O66" t="s">
        <v>56</v>
      </c>
      <c r="P66" t="s">
        <v>63</v>
      </c>
      <c r="Q66" t="s">
        <v>3075</v>
      </c>
      <c r="R66" t="s">
        <v>3080</v>
      </c>
      <c r="S66" t="s">
        <v>67</v>
      </c>
      <c r="T66" t="s">
        <v>3174</v>
      </c>
      <c r="U66" t="s">
        <v>3175</v>
      </c>
      <c r="V66">
        <v>16</v>
      </c>
      <c r="W66" s="2">
        <v>12218.6370142784</v>
      </c>
    </row>
    <row r="67" spans="1:23" x14ac:dyDescent="0.25">
      <c r="A67" t="s">
        <v>31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>
        <v>1141685</v>
      </c>
      <c r="H67" t="s">
        <v>77</v>
      </c>
      <c r="I67" t="s">
        <v>96</v>
      </c>
      <c r="J67" t="s">
        <v>77</v>
      </c>
      <c r="K67" t="s">
        <v>113</v>
      </c>
      <c r="L67" s="1">
        <v>46143</v>
      </c>
      <c r="M67" s="1">
        <v>46173</v>
      </c>
      <c r="N67">
        <v>39.038589944100003</v>
      </c>
      <c r="O67" t="s">
        <v>56</v>
      </c>
      <c r="P67" t="s">
        <v>63</v>
      </c>
      <c r="Q67" t="s">
        <v>3075</v>
      </c>
      <c r="R67" t="s">
        <v>3080</v>
      </c>
      <c r="S67" t="s">
        <v>67</v>
      </c>
      <c r="T67" t="s">
        <v>3176</v>
      </c>
      <c r="U67" t="s">
        <v>3177</v>
      </c>
      <c r="V67">
        <v>15</v>
      </c>
      <c r="W67" s="2">
        <v>6810.6717134547998</v>
      </c>
    </row>
    <row r="68" spans="1:23" x14ac:dyDescent="0.25">
      <c r="A68" t="s">
        <v>31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>
        <v>1141685</v>
      </c>
      <c r="H68" t="s">
        <v>76</v>
      </c>
      <c r="I68" t="s">
        <v>95</v>
      </c>
      <c r="J68" t="s">
        <v>99</v>
      </c>
      <c r="K68" t="s">
        <v>109</v>
      </c>
      <c r="L68" s="1">
        <v>46143</v>
      </c>
      <c r="M68" s="1">
        <v>46173</v>
      </c>
      <c r="N68">
        <v>138</v>
      </c>
      <c r="O68" t="s">
        <v>58</v>
      </c>
      <c r="P68" t="s">
        <v>63</v>
      </c>
      <c r="Q68" t="s">
        <v>3079</v>
      </c>
      <c r="R68" t="s">
        <v>3080</v>
      </c>
      <c r="S68" t="s">
        <v>67</v>
      </c>
      <c r="T68" t="s">
        <v>3178</v>
      </c>
      <c r="U68" t="s">
        <v>3179</v>
      </c>
      <c r="V68">
        <v>15</v>
      </c>
      <c r="W68" s="2">
        <v>0</v>
      </c>
    </row>
    <row r="69" spans="1:23" x14ac:dyDescent="0.25">
      <c r="A69" t="s">
        <v>31</v>
      </c>
      <c r="B69" t="s">
        <v>32</v>
      </c>
      <c r="C69" t="s">
        <v>33</v>
      </c>
      <c r="D69" t="s">
        <v>34</v>
      </c>
      <c r="E69" t="s">
        <v>35</v>
      </c>
      <c r="F69" t="s">
        <v>36</v>
      </c>
      <c r="G69">
        <v>1141685</v>
      </c>
      <c r="H69" t="s">
        <v>79</v>
      </c>
      <c r="I69" t="s">
        <v>94</v>
      </c>
      <c r="J69" t="s">
        <v>101</v>
      </c>
      <c r="K69" t="s">
        <v>116</v>
      </c>
      <c r="L69" s="1">
        <v>46143</v>
      </c>
      <c r="M69" s="1">
        <v>46173</v>
      </c>
      <c r="N69">
        <v>5.6302550000000005E-4</v>
      </c>
      <c r="O69" t="s">
        <v>56</v>
      </c>
      <c r="P69" t="s">
        <v>63</v>
      </c>
      <c r="Q69" t="s">
        <v>3075</v>
      </c>
      <c r="R69" t="s">
        <v>3080</v>
      </c>
      <c r="S69" t="s">
        <v>67</v>
      </c>
      <c r="T69" t="s">
        <v>3180</v>
      </c>
      <c r="U69" t="s">
        <v>3181</v>
      </c>
      <c r="V69">
        <v>16</v>
      </c>
      <c r="W69" s="2">
        <v>0.78150698679999997</v>
      </c>
    </row>
    <row r="70" spans="1:23" x14ac:dyDescent="0.25">
      <c r="A70" t="s">
        <v>31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>
        <v>1141685</v>
      </c>
      <c r="H70" t="s">
        <v>79</v>
      </c>
      <c r="I70" t="s">
        <v>94</v>
      </c>
      <c r="J70" t="s">
        <v>101</v>
      </c>
      <c r="K70" t="s">
        <v>116</v>
      </c>
      <c r="L70" s="1">
        <v>46143</v>
      </c>
      <c r="M70" s="1">
        <v>46173</v>
      </c>
      <c r="N70">
        <v>0.24184682029999999</v>
      </c>
      <c r="O70" t="s">
        <v>56</v>
      </c>
      <c r="P70" t="s">
        <v>63</v>
      </c>
      <c r="Q70" t="s">
        <v>3075</v>
      </c>
      <c r="R70" t="s">
        <v>3080</v>
      </c>
      <c r="S70" t="s">
        <v>67</v>
      </c>
      <c r="T70" t="s">
        <v>3182</v>
      </c>
      <c r="U70" t="s">
        <v>3183</v>
      </c>
      <c r="V70">
        <v>15</v>
      </c>
      <c r="W70" s="2">
        <v>279.43406259919999</v>
      </c>
    </row>
    <row r="71" spans="1:23" x14ac:dyDescent="0.25">
      <c r="A71" t="s">
        <v>31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>
        <v>1141685</v>
      </c>
      <c r="H71" t="s">
        <v>86</v>
      </c>
      <c r="I71" t="s">
        <v>42</v>
      </c>
      <c r="J71" t="s">
        <v>86</v>
      </c>
      <c r="K71" t="s">
        <v>124</v>
      </c>
      <c r="L71" s="1">
        <v>46143</v>
      </c>
      <c r="M71" s="1">
        <v>46173</v>
      </c>
      <c r="N71">
        <v>0.81150599999999995</v>
      </c>
      <c r="O71" t="s">
        <v>135</v>
      </c>
      <c r="P71" t="s">
        <v>63</v>
      </c>
      <c r="Q71" t="s">
        <v>3079</v>
      </c>
      <c r="R71" t="s">
        <v>3184</v>
      </c>
      <c r="S71" t="s">
        <v>67</v>
      </c>
      <c r="T71" t="s">
        <v>3185</v>
      </c>
      <c r="U71" t="s">
        <v>3186</v>
      </c>
      <c r="V71">
        <v>17</v>
      </c>
      <c r="W71" s="2">
        <v>279044.99010348477</v>
      </c>
    </row>
    <row r="72" spans="1:23" x14ac:dyDescent="0.2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>
        <v>1141685</v>
      </c>
      <c r="H72" t="s">
        <v>90</v>
      </c>
      <c r="I72" t="s">
        <v>43</v>
      </c>
      <c r="J72" t="s">
        <v>105</v>
      </c>
      <c r="K72" t="s">
        <v>128</v>
      </c>
      <c r="L72" s="1">
        <v>46143</v>
      </c>
      <c r="M72" s="1">
        <v>46173</v>
      </c>
      <c r="N72">
        <v>0.99731182799999996</v>
      </c>
      <c r="O72" t="s">
        <v>135</v>
      </c>
      <c r="P72" t="s">
        <v>63</v>
      </c>
      <c r="Q72" t="s">
        <v>3097</v>
      </c>
      <c r="R72" t="s">
        <v>3187</v>
      </c>
      <c r="S72" t="s">
        <v>67</v>
      </c>
      <c r="T72" t="s">
        <v>3188</v>
      </c>
      <c r="U72" t="s">
        <v>3189</v>
      </c>
      <c r="V72">
        <v>9</v>
      </c>
      <c r="W72" s="2">
        <v>260986.5283870938</v>
      </c>
    </row>
    <row r="73" spans="1:23" x14ac:dyDescent="0.25">
      <c r="A73" t="s">
        <v>31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>
        <v>1141685</v>
      </c>
      <c r="H73" t="s">
        <v>79</v>
      </c>
      <c r="I73" t="s">
        <v>94</v>
      </c>
      <c r="J73" t="s">
        <v>101</v>
      </c>
      <c r="K73" t="s">
        <v>116</v>
      </c>
      <c r="L73" s="1">
        <v>46143</v>
      </c>
      <c r="M73" s="1">
        <v>46173</v>
      </c>
      <c r="N73">
        <v>1.5192478000000001E-2</v>
      </c>
      <c r="O73" t="s">
        <v>56</v>
      </c>
      <c r="P73" t="s">
        <v>63</v>
      </c>
      <c r="Q73" t="s">
        <v>3075</v>
      </c>
      <c r="R73" t="s">
        <v>3087</v>
      </c>
      <c r="S73" t="s">
        <v>67</v>
      </c>
      <c r="T73" t="s">
        <v>3190</v>
      </c>
      <c r="U73" t="s">
        <v>3191</v>
      </c>
      <c r="V73">
        <v>17</v>
      </c>
      <c r="W73" s="2">
        <v>21.199377127000002</v>
      </c>
    </row>
    <row r="74" spans="1:23" x14ac:dyDescent="0.25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>
        <v>1141685</v>
      </c>
      <c r="H74" t="s">
        <v>79</v>
      </c>
      <c r="I74" t="s">
        <v>94</v>
      </c>
      <c r="J74" t="s">
        <v>101</v>
      </c>
      <c r="K74" t="s">
        <v>116</v>
      </c>
      <c r="L74" s="1">
        <v>46143</v>
      </c>
      <c r="M74" s="1">
        <v>46173</v>
      </c>
      <c r="N74">
        <v>7.17364848E-2</v>
      </c>
      <c r="O74" t="s">
        <v>56</v>
      </c>
      <c r="P74" t="s">
        <v>63</v>
      </c>
      <c r="Q74" t="s">
        <v>3075</v>
      </c>
      <c r="R74" t="s">
        <v>3087</v>
      </c>
      <c r="S74" t="s">
        <v>67</v>
      </c>
      <c r="T74" t="s">
        <v>3192</v>
      </c>
      <c r="U74" t="s">
        <v>3193</v>
      </c>
      <c r="V74">
        <v>16</v>
      </c>
      <c r="W74" s="2">
        <v>82.665726559199996</v>
      </c>
    </row>
    <row r="75" spans="1:23" x14ac:dyDescent="0.25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>
        <v>1141685</v>
      </c>
      <c r="H75" t="s">
        <v>79</v>
      </c>
      <c r="I75" t="s">
        <v>94</v>
      </c>
      <c r="J75" t="s">
        <v>101</v>
      </c>
      <c r="K75" t="s">
        <v>116</v>
      </c>
      <c r="L75" s="1">
        <v>46143</v>
      </c>
      <c r="M75" s="1">
        <v>46173</v>
      </c>
      <c r="N75">
        <v>0.72131310500000001</v>
      </c>
      <c r="O75" t="s">
        <v>56</v>
      </c>
      <c r="P75" t="s">
        <v>63</v>
      </c>
      <c r="Q75" t="s">
        <v>3075</v>
      </c>
      <c r="R75" t="s">
        <v>3080</v>
      </c>
      <c r="S75" t="s">
        <v>67</v>
      </c>
      <c r="T75" t="s">
        <v>3194</v>
      </c>
      <c r="U75" t="s">
        <v>3195</v>
      </c>
      <c r="V75">
        <v>16</v>
      </c>
      <c r="W75" s="2">
        <v>1006.7256014148001</v>
      </c>
    </row>
    <row r="76" spans="1:23" x14ac:dyDescent="0.25">
      <c r="A76" t="s">
        <v>31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>
        <v>1141685</v>
      </c>
      <c r="H76" t="s">
        <v>79</v>
      </c>
      <c r="I76" t="s">
        <v>94</v>
      </c>
      <c r="J76" t="s">
        <v>101</v>
      </c>
      <c r="K76" t="s">
        <v>116</v>
      </c>
      <c r="L76" s="1">
        <v>46143</v>
      </c>
      <c r="M76" s="1">
        <v>46173</v>
      </c>
      <c r="N76">
        <v>1.22171E-5</v>
      </c>
      <c r="O76" t="s">
        <v>56</v>
      </c>
      <c r="P76" t="s">
        <v>63</v>
      </c>
      <c r="Q76" t="s">
        <v>3075</v>
      </c>
      <c r="R76" t="s">
        <v>3080</v>
      </c>
      <c r="S76" t="s">
        <v>67</v>
      </c>
      <c r="T76" t="s">
        <v>3196</v>
      </c>
      <c r="U76" t="s">
        <v>3197</v>
      </c>
      <c r="V76">
        <v>16</v>
      </c>
      <c r="W76" s="2">
        <v>1.50050097E-2</v>
      </c>
    </row>
    <row r="77" spans="1:23" x14ac:dyDescent="0.25">
      <c r="A77" t="s">
        <v>31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>
        <v>1141685</v>
      </c>
      <c r="H77" t="s">
        <v>79</v>
      </c>
      <c r="I77" t="s">
        <v>94</v>
      </c>
      <c r="J77" t="s">
        <v>101</v>
      </c>
      <c r="K77" t="s">
        <v>114</v>
      </c>
      <c r="L77" s="1">
        <v>46143</v>
      </c>
      <c r="M77" s="1">
        <v>46173</v>
      </c>
      <c r="N77">
        <v>0.2097362066</v>
      </c>
      <c r="O77" t="s">
        <v>56</v>
      </c>
      <c r="P77" t="s">
        <v>63</v>
      </c>
      <c r="Q77" t="s">
        <v>3075</v>
      </c>
      <c r="R77" t="s">
        <v>3076</v>
      </c>
      <c r="S77" t="s">
        <v>67</v>
      </c>
      <c r="T77" t="s">
        <v>3198</v>
      </c>
      <c r="U77" t="s">
        <v>3199</v>
      </c>
      <c r="V77">
        <v>16</v>
      </c>
      <c r="W77" s="2">
        <v>292.72767332849998</v>
      </c>
    </row>
    <row r="78" spans="1:23" x14ac:dyDescent="0.25">
      <c r="A78" t="s">
        <v>31</v>
      </c>
      <c r="B78" t="s">
        <v>32</v>
      </c>
      <c r="C78" t="s">
        <v>33</v>
      </c>
      <c r="D78" t="s">
        <v>34</v>
      </c>
      <c r="E78" t="s">
        <v>35</v>
      </c>
      <c r="F78" t="s">
        <v>36</v>
      </c>
      <c r="G78">
        <v>1141685</v>
      </c>
      <c r="H78" t="s">
        <v>79</v>
      </c>
      <c r="I78" t="s">
        <v>94</v>
      </c>
      <c r="J78" t="s">
        <v>101</v>
      </c>
      <c r="K78" t="s">
        <v>114</v>
      </c>
      <c r="L78" s="1">
        <v>46143</v>
      </c>
      <c r="M78" s="1">
        <v>46173</v>
      </c>
      <c r="N78">
        <v>6.1084889999999997E-4</v>
      </c>
      <c r="O78" t="s">
        <v>56</v>
      </c>
      <c r="P78" t="s">
        <v>63</v>
      </c>
      <c r="Q78" t="s">
        <v>3075</v>
      </c>
      <c r="R78" t="s">
        <v>3076</v>
      </c>
      <c r="S78" t="s">
        <v>67</v>
      </c>
      <c r="T78" t="s">
        <v>3200</v>
      </c>
      <c r="U78" t="s">
        <v>3201</v>
      </c>
      <c r="V78">
        <v>15</v>
      </c>
      <c r="W78" s="2">
        <v>0.85024362739999992</v>
      </c>
    </row>
    <row r="79" spans="1:23" x14ac:dyDescent="0.25">
      <c r="A79" t="s">
        <v>31</v>
      </c>
      <c r="B79" t="s">
        <v>32</v>
      </c>
      <c r="C79" t="s">
        <v>33</v>
      </c>
      <c r="D79" t="s">
        <v>34</v>
      </c>
      <c r="E79" t="s">
        <v>35</v>
      </c>
      <c r="F79" t="s">
        <v>36</v>
      </c>
      <c r="G79">
        <v>1141685</v>
      </c>
      <c r="H79" t="s">
        <v>79</v>
      </c>
      <c r="I79" t="s">
        <v>94</v>
      </c>
      <c r="J79" t="s">
        <v>101</v>
      </c>
      <c r="K79" t="s">
        <v>114</v>
      </c>
      <c r="L79" s="1">
        <v>46143</v>
      </c>
      <c r="M79" s="1">
        <v>46173</v>
      </c>
      <c r="N79">
        <v>0.53207950010000005</v>
      </c>
      <c r="O79" t="s">
        <v>56</v>
      </c>
      <c r="P79" t="s">
        <v>63</v>
      </c>
      <c r="Q79" t="s">
        <v>3075</v>
      </c>
      <c r="R79" t="s">
        <v>3080</v>
      </c>
      <c r="S79" t="s">
        <v>67</v>
      </c>
      <c r="T79" t="s">
        <v>3202</v>
      </c>
      <c r="U79" t="s">
        <v>3203</v>
      </c>
      <c r="V79">
        <v>16</v>
      </c>
      <c r="W79" s="2">
        <v>742.60919075000004</v>
      </c>
    </row>
    <row r="80" spans="1:23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>
        <v>1141685</v>
      </c>
      <c r="H80" t="s">
        <v>79</v>
      </c>
      <c r="I80" t="s">
        <v>94</v>
      </c>
      <c r="J80" t="s">
        <v>101</v>
      </c>
      <c r="K80" t="s">
        <v>114</v>
      </c>
      <c r="L80" s="1">
        <v>46143</v>
      </c>
      <c r="M80" s="1">
        <v>46173</v>
      </c>
      <c r="N80">
        <v>8.1197853200000003E-2</v>
      </c>
      <c r="O80" t="s">
        <v>56</v>
      </c>
      <c r="P80" t="s">
        <v>63</v>
      </c>
      <c r="Q80" t="s">
        <v>3075</v>
      </c>
      <c r="R80" t="s">
        <v>3080</v>
      </c>
      <c r="S80" t="s">
        <v>67</v>
      </c>
      <c r="T80" t="s">
        <v>3204</v>
      </c>
      <c r="U80" t="s">
        <v>3205</v>
      </c>
      <c r="V80">
        <v>15</v>
      </c>
      <c r="W80" s="2">
        <v>113.3270733833</v>
      </c>
    </row>
    <row r="81" spans="1:23" x14ac:dyDescent="0.25">
      <c r="A81" t="s">
        <v>31</v>
      </c>
      <c r="B81" t="s">
        <v>32</v>
      </c>
      <c r="C81" t="s">
        <v>33</v>
      </c>
      <c r="D81" t="s">
        <v>34</v>
      </c>
      <c r="E81" t="s">
        <v>35</v>
      </c>
      <c r="F81" t="s">
        <v>36</v>
      </c>
      <c r="G81">
        <v>1141685</v>
      </c>
      <c r="H81" t="s">
        <v>77</v>
      </c>
      <c r="I81" t="s">
        <v>96</v>
      </c>
      <c r="J81" t="s">
        <v>77</v>
      </c>
      <c r="K81" t="s">
        <v>111</v>
      </c>
      <c r="L81" s="1">
        <v>46143</v>
      </c>
      <c r="M81" s="1">
        <v>46173</v>
      </c>
      <c r="N81">
        <v>6.8654707000000001E-3</v>
      </c>
      <c r="O81" t="s">
        <v>56</v>
      </c>
      <c r="P81" t="s">
        <v>63</v>
      </c>
      <c r="Q81" t="s">
        <v>3075</v>
      </c>
      <c r="R81" t="s">
        <v>3080</v>
      </c>
      <c r="S81" t="s">
        <v>67</v>
      </c>
      <c r="T81" t="s">
        <v>3206</v>
      </c>
      <c r="U81" t="s">
        <v>3207</v>
      </c>
      <c r="V81">
        <v>16</v>
      </c>
      <c r="W81" s="2">
        <v>1.1940200113999999</v>
      </c>
    </row>
    <row r="82" spans="1:23" x14ac:dyDescent="0.25">
      <c r="A82" t="s">
        <v>31</v>
      </c>
      <c r="B82" t="s">
        <v>32</v>
      </c>
      <c r="C82" t="s">
        <v>33</v>
      </c>
      <c r="D82" t="s">
        <v>34</v>
      </c>
      <c r="E82" t="s">
        <v>35</v>
      </c>
      <c r="F82" t="s">
        <v>36</v>
      </c>
      <c r="G82">
        <v>1141685</v>
      </c>
      <c r="H82" t="s">
        <v>77</v>
      </c>
      <c r="I82" t="s">
        <v>96</v>
      </c>
      <c r="J82" t="s">
        <v>77</v>
      </c>
      <c r="K82" t="s">
        <v>111</v>
      </c>
      <c r="L82" s="1">
        <v>46143</v>
      </c>
      <c r="M82" s="1">
        <v>46173</v>
      </c>
      <c r="N82">
        <v>23.132532961700001</v>
      </c>
      <c r="O82" t="s">
        <v>56</v>
      </c>
      <c r="P82" t="s">
        <v>63</v>
      </c>
      <c r="Q82" t="s">
        <v>3075</v>
      </c>
      <c r="R82" t="s">
        <v>3080</v>
      </c>
      <c r="S82" t="s">
        <v>67</v>
      </c>
      <c r="T82" t="s">
        <v>3208</v>
      </c>
      <c r="U82" t="s">
        <v>3209</v>
      </c>
      <c r="V82">
        <v>16</v>
      </c>
      <c r="W82" s="2">
        <v>4035.6974964310002</v>
      </c>
    </row>
    <row r="83" spans="1:23" x14ac:dyDescent="0.25">
      <c r="A83" t="s">
        <v>31</v>
      </c>
      <c r="B83" t="s">
        <v>32</v>
      </c>
      <c r="C83" t="s">
        <v>33</v>
      </c>
      <c r="D83" t="s">
        <v>34</v>
      </c>
      <c r="E83" t="s">
        <v>35</v>
      </c>
      <c r="F83" t="s">
        <v>36</v>
      </c>
      <c r="G83">
        <v>1141685</v>
      </c>
      <c r="H83" t="s">
        <v>77</v>
      </c>
      <c r="I83" t="s">
        <v>96</v>
      </c>
      <c r="J83" t="s">
        <v>77</v>
      </c>
      <c r="K83" t="s">
        <v>111</v>
      </c>
      <c r="L83" s="1">
        <v>46143</v>
      </c>
      <c r="M83" s="1">
        <v>46173</v>
      </c>
      <c r="N83">
        <v>1.831027E-4</v>
      </c>
      <c r="O83" t="s">
        <v>56</v>
      </c>
      <c r="P83" t="s">
        <v>63</v>
      </c>
      <c r="Q83" t="s">
        <v>3075</v>
      </c>
      <c r="R83" t="s">
        <v>3080</v>
      </c>
      <c r="S83" t="s">
        <v>67</v>
      </c>
      <c r="T83" t="s">
        <v>3210</v>
      </c>
      <c r="U83" t="s">
        <v>3211</v>
      </c>
      <c r="V83">
        <v>16</v>
      </c>
      <c r="W83" s="2">
        <v>2.81108014E-2</v>
      </c>
    </row>
    <row r="84" spans="1:23" x14ac:dyDescent="0.25">
      <c r="A84" t="s">
        <v>31</v>
      </c>
      <c r="B84" t="s">
        <v>32</v>
      </c>
      <c r="C84" t="s">
        <v>33</v>
      </c>
      <c r="D84" t="s">
        <v>34</v>
      </c>
      <c r="E84" t="s">
        <v>35</v>
      </c>
      <c r="F84" t="s">
        <v>36</v>
      </c>
      <c r="G84">
        <v>1141685</v>
      </c>
      <c r="H84" t="s">
        <v>1349</v>
      </c>
      <c r="I84" t="s">
        <v>97</v>
      </c>
      <c r="J84" t="s">
        <v>1354</v>
      </c>
      <c r="K84" t="s">
        <v>119</v>
      </c>
      <c r="L84" s="1">
        <v>46143</v>
      </c>
      <c r="M84" s="1">
        <v>46173</v>
      </c>
      <c r="N84">
        <v>419</v>
      </c>
      <c r="O84" t="s">
        <v>58</v>
      </c>
      <c r="P84" t="s">
        <v>63</v>
      </c>
      <c r="Q84" t="s">
        <v>3097</v>
      </c>
      <c r="R84" t="s">
        <v>3098</v>
      </c>
      <c r="S84" t="s">
        <v>67</v>
      </c>
      <c r="T84" t="s">
        <v>3212</v>
      </c>
      <c r="U84" t="s">
        <v>3213</v>
      </c>
      <c r="V84">
        <v>6</v>
      </c>
      <c r="W84" s="2">
        <v>1324095.95181856</v>
      </c>
    </row>
    <row r="85" spans="1:23" x14ac:dyDescent="0.25">
      <c r="A85" t="s">
        <v>31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>
        <v>1141685</v>
      </c>
      <c r="H85" t="s">
        <v>80</v>
      </c>
      <c r="I85" t="s">
        <v>96</v>
      </c>
      <c r="J85" t="s">
        <v>80</v>
      </c>
      <c r="K85" t="s">
        <v>122</v>
      </c>
      <c r="L85" s="1">
        <v>46143</v>
      </c>
      <c r="M85" s="1">
        <v>46173</v>
      </c>
      <c r="N85">
        <v>0.11763678299999999</v>
      </c>
      <c r="O85" t="s">
        <v>56</v>
      </c>
      <c r="P85" t="s">
        <v>63</v>
      </c>
      <c r="Q85" t="s">
        <v>3075</v>
      </c>
      <c r="R85" t="s">
        <v>3080</v>
      </c>
      <c r="S85" t="s">
        <v>67</v>
      </c>
      <c r="T85" t="s">
        <v>3214</v>
      </c>
      <c r="U85" t="s">
        <v>3215</v>
      </c>
      <c r="V85">
        <v>15</v>
      </c>
      <c r="W85" s="2">
        <v>20.520163589799999</v>
      </c>
    </row>
    <row r="86" spans="1:23" x14ac:dyDescent="0.25">
      <c r="A86" t="s">
        <v>31</v>
      </c>
      <c r="B86" t="s">
        <v>32</v>
      </c>
      <c r="C86" t="s">
        <v>33</v>
      </c>
      <c r="D86" t="s">
        <v>34</v>
      </c>
      <c r="E86" t="s">
        <v>35</v>
      </c>
      <c r="F86" t="s">
        <v>36</v>
      </c>
      <c r="G86">
        <v>1141685</v>
      </c>
      <c r="H86" t="s">
        <v>80</v>
      </c>
      <c r="I86" t="s">
        <v>96</v>
      </c>
      <c r="J86" t="s">
        <v>80</v>
      </c>
      <c r="K86" t="s">
        <v>122</v>
      </c>
      <c r="L86" s="1">
        <v>46143</v>
      </c>
      <c r="M86" s="1">
        <v>46173</v>
      </c>
      <c r="N86">
        <v>1.6589600000000001E-5</v>
      </c>
      <c r="O86" t="s">
        <v>56</v>
      </c>
      <c r="P86" t="s">
        <v>63</v>
      </c>
      <c r="Q86" t="s">
        <v>3075</v>
      </c>
      <c r="R86" t="s">
        <v>3080</v>
      </c>
      <c r="S86" t="s">
        <v>67</v>
      </c>
      <c r="T86" t="s">
        <v>3216</v>
      </c>
      <c r="U86" t="s">
        <v>3217</v>
      </c>
      <c r="V86">
        <v>16</v>
      </c>
      <c r="W86" s="2">
        <v>2.5469224000000002E-3</v>
      </c>
    </row>
    <row r="87" spans="1:23" x14ac:dyDescent="0.25">
      <c r="A87" t="s">
        <v>31</v>
      </c>
      <c r="B87" t="s">
        <v>32</v>
      </c>
      <c r="C87" t="s">
        <v>33</v>
      </c>
      <c r="D87" t="s">
        <v>34</v>
      </c>
      <c r="E87" t="s">
        <v>35</v>
      </c>
      <c r="F87" t="s">
        <v>36</v>
      </c>
      <c r="G87">
        <v>1141685</v>
      </c>
      <c r="H87" t="s">
        <v>80</v>
      </c>
      <c r="I87" t="s">
        <v>96</v>
      </c>
      <c r="J87" t="s">
        <v>80</v>
      </c>
      <c r="K87" t="s">
        <v>122</v>
      </c>
      <c r="L87" s="1">
        <v>46143</v>
      </c>
      <c r="M87" s="1">
        <v>46173</v>
      </c>
      <c r="N87">
        <v>3.6240656900000001E-2</v>
      </c>
      <c r="O87" t="s">
        <v>56</v>
      </c>
      <c r="P87" t="s">
        <v>63</v>
      </c>
      <c r="Q87" t="s">
        <v>3075</v>
      </c>
      <c r="R87" t="s">
        <v>3080</v>
      </c>
      <c r="S87" t="s">
        <v>67</v>
      </c>
      <c r="T87" t="s">
        <v>3218</v>
      </c>
      <c r="U87" t="s">
        <v>3219</v>
      </c>
      <c r="V87">
        <v>15</v>
      </c>
      <c r="W87" s="2">
        <v>6.3238395958</v>
      </c>
    </row>
    <row r="88" spans="1:23" x14ac:dyDescent="0.25">
      <c r="A88" t="s">
        <v>31</v>
      </c>
      <c r="B88" t="s">
        <v>32</v>
      </c>
      <c r="C88" t="s">
        <v>33</v>
      </c>
      <c r="D88" t="s">
        <v>34</v>
      </c>
      <c r="E88" t="s">
        <v>35</v>
      </c>
      <c r="F88" t="s">
        <v>36</v>
      </c>
      <c r="G88">
        <v>1141685</v>
      </c>
      <c r="H88" t="s">
        <v>80</v>
      </c>
      <c r="I88" t="s">
        <v>96</v>
      </c>
      <c r="J88" t="s">
        <v>80</v>
      </c>
      <c r="K88" t="s">
        <v>122</v>
      </c>
      <c r="L88" s="1">
        <v>46143</v>
      </c>
      <c r="M88" s="1">
        <v>46173</v>
      </c>
      <c r="N88">
        <v>0.21761978139999999</v>
      </c>
      <c r="O88" t="s">
        <v>56</v>
      </c>
      <c r="P88" t="s">
        <v>63</v>
      </c>
      <c r="Q88" t="s">
        <v>3075</v>
      </c>
      <c r="R88" t="s">
        <v>3080</v>
      </c>
      <c r="S88" t="s">
        <v>67</v>
      </c>
      <c r="T88" t="s">
        <v>3220</v>
      </c>
      <c r="U88" t="s">
        <v>3221</v>
      </c>
      <c r="V88">
        <v>16</v>
      </c>
      <c r="W88" s="2">
        <v>37.970033410399999</v>
      </c>
    </row>
    <row r="89" spans="1:23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36</v>
      </c>
      <c r="G89">
        <v>1141685</v>
      </c>
      <c r="H89" t="s">
        <v>80</v>
      </c>
      <c r="I89" t="s">
        <v>96</v>
      </c>
      <c r="J89" t="s">
        <v>80</v>
      </c>
      <c r="K89" t="s">
        <v>122</v>
      </c>
      <c r="L89" s="1">
        <v>46143</v>
      </c>
      <c r="M89" s="1">
        <v>46173</v>
      </c>
      <c r="N89">
        <v>4.2530829999999999E-2</v>
      </c>
      <c r="O89" t="s">
        <v>56</v>
      </c>
      <c r="P89" t="s">
        <v>63</v>
      </c>
      <c r="Q89" t="s">
        <v>3075</v>
      </c>
      <c r="R89" t="s">
        <v>3076</v>
      </c>
      <c r="S89" t="s">
        <v>67</v>
      </c>
      <c r="T89" t="s">
        <v>3222</v>
      </c>
      <c r="U89" t="s">
        <v>3223</v>
      </c>
      <c r="V89">
        <v>16</v>
      </c>
      <c r="W89" s="2">
        <v>7.4195371712</v>
      </c>
    </row>
    <row r="90" spans="1:23" x14ac:dyDescent="0.25">
      <c r="A90" t="s">
        <v>31</v>
      </c>
      <c r="B90" t="s">
        <v>32</v>
      </c>
      <c r="C90" t="s">
        <v>33</v>
      </c>
      <c r="D90" t="s">
        <v>34</v>
      </c>
      <c r="E90" t="s">
        <v>35</v>
      </c>
      <c r="F90" t="s">
        <v>36</v>
      </c>
      <c r="G90">
        <v>1141685</v>
      </c>
      <c r="H90" t="s">
        <v>80</v>
      </c>
      <c r="I90" t="s">
        <v>96</v>
      </c>
      <c r="J90" t="s">
        <v>80</v>
      </c>
      <c r="K90" t="s">
        <v>115</v>
      </c>
      <c r="L90" s="1">
        <v>46143</v>
      </c>
      <c r="M90" s="1">
        <v>46173</v>
      </c>
      <c r="N90">
        <v>0.24649963159999999</v>
      </c>
      <c r="O90" t="s">
        <v>56</v>
      </c>
      <c r="P90" t="s">
        <v>63</v>
      </c>
      <c r="Q90" t="s">
        <v>3075</v>
      </c>
      <c r="R90" t="s">
        <v>3080</v>
      </c>
      <c r="S90" t="s">
        <v>67</v>
      </c>
      <c r="T90" t="s">
        <v>3224</v>
      </c>
      <c r="U90" t="s">
        <v>3225</v>
      </c>
      <c r="V90">
        <v>15</v>
      </c>
      <c r="W90" s="2">
        <v>43.003806633699988</v>
      </c>
    </row>
    <row r="91" spans="1:23" x14ac:dyDescent="0.25">
      <c r="A91" t="s">
        <v>31</v>
      </c>
      <c r="B91" t="s">
        <v>32</v>
      </c>
      <c r="C91" t="s">
        <v>33</v>
      </c>
      <c r="D91" t="s">
        <v>34</v>
      </c>
      <c r="E91" t="s">
        <v>35</v>
      </c>
      <c r="F91" t="s">
        <v>36</v>
      </c>
      <c r="G91">
        <v>1141685</v>
      </c>
      <c r="H91" t="s">
        <v>80</v>
      </c>
      <c r="I91" t="s">
        <v>96</v>
      </c>
      <c r="J91" t="s">
        <v>80</v>
      </c>
      <c r="K91" t="s">
        <v>115</v>
      </c>
      <c r="L91" s="1">
        <v>46143</v>
      </c>
      <c r="M91" s="1">
        <v>46173</v>
      </c>
      <c r="N91">
        <v>0.2280946905</v>
      </c>
      <c r="O91" t="s">
        <v>56</v>
      </c>
      <c r="P91" t="s">
        <v>63</v>
      </c>
      <c r="Q91" t="s">
        <v>3075</v>
      </c>
      <c r="R91" t="s">
        <v>3076</v>
      </c>
      <c r="S91" t="s">
        <v>67</v>
      </c>
      <c r="T91" t="s">
        <v>3226</v>
      </c>
      <c r="U91" t="s">
        <v>3227</v>
      </c>
      <c r="V91">
        <v>16</v>
      </c>
      <c r="W91" s="2">
        <v>39.798191734699998</v>
      </c>
    </row>
    <row r="92" spans="1:23" x14ac:dyDescent="0.25">
      <c r="A92" t="s">
        <v>31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>
        <v>1141685</v>
      </c>
      <c r="H92" t="s">
        <v>80</v>
      </c>
      <c r="I92" t="s">
        <v>96</v>
      </c>
      <c r="J92" t="s">
        <v>80</v>
      </c>
      <c r="K92" t="s">
        <v>115</v>
      </c>
      <c r="L92" s="1">
        <v>46143</v>
      </c>
      <c r="M92" s="1">
        <v>46173</v>
      </c>
      <c r="N92">
        <v>0.65829321929999995</v>
      </c>
      <c r="O92" t="s">
        <v>56</v>
      </c>
      <c r="P92" t="s">
        <v>63</v>
      </c>
      <c r="Q92" t="s">
        <v>3075</v>
      </c>
      <c r="R92" t="s">
        <v>3080</v>
      </c>
      <c r="S92" t="s">
        <v>67</v>
      </c>
      <c r="T92" t="s">
        <v>3228</v>
      </c>
      <c r="U92" t="s">
        <v>3229</v>
      </c>
      <c r="V92">
        <v>16</v>
      </c>
      <c r="W92" s="2">
        <v>114.84433482999999</v>
      </c>
    </row>
    <row r="93" spans="1:23" x14ac:dyDescent="0.25">
      <c r="A93" t="s">
        <v>31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>
        <v>1141685</v>
      </c>
      <c r="H93" t="s">
        <v>80</v>
      </c>
      <c r="I93" t="s">
        <v>96</v>
      </c>
      <c r="J93" t="s">
        <v>80</v>
      </c>
      <c r="K93" t="s">
        <v>115</v>
      </c>
      <c r="L93" s="1">
        <v>46143</v>
      </c>
      <c r="M93" s="1">
        <v>46173</v>
      </c>
      <c r="N93">
        <v>2.9594359000000001E-2</v>
      </c>
      <c r="O93" t="s">
        <v>56</v>
      </c>
      <c r="P93" t="s">
        <v>63</v>
      </c>
      <c r="Q93" t="s">
        <v>3075</v>
      </c>
      <c r="R93" t="s">
        <v>3076</v>
      </c>
      <c r="S93" t="s">
        <v>67</v>
      </c>
      <c r="T93" t="s">
        <v>3230</v>
      </c>
      <c r="U93" t="s">
        <v>3231</v>
      </c>
      <c r="V93">
        <v>15</v>
      </c>
      <c r="W93" s="2">
        <v>5.1634680443000001</v>
      </c>
    </row>
    <row r="94" spans="1:23" x14ac:dyDescent="0.25">
      <c r="A94" t="s">
        <v>31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>
        <v>1141685</v>
      </c>
      <c r="H94" t="s">
        <v>79</v>
      </c>
      <c r="I94" t="s">
        <v>94</v>
      </c>
      <c r="J94" t="s">
        <v>101</v>
      </c>
      <c r="K94" t="s">
        <v>116</v>
      </c>
      <c r="L94" s="1">
        <v>46143</v>
      </c>
      <c r="M94" s="1">
        <v>46173</v>
      </c>
      <c r="N94">
        <v>5.2345003000000001E-2</v>
      </c>
      <c r="O94" t="s">
        <v>56</v>
      </c>
      <c r="P94" t="s">
        <v>63</v>
      </c>
      <c r="Q94" t="s">
        <v>3075</v>
      </c>
      <c r="R94" t="s">
        <v>3076</v>
      </c>
      <c r="S94" t="s">
        <v>67</v>
      </c>
      <c r="T94" t="s">
        <v>3232</v>
      </c>
      <c r="U94" t="s">
        <v>3233</v>
      </c>
      <c r="V94">
        <v>15</v>
      </c>
      <c r="W94" s="2">
        <v>60.881948001300003</v>
      </c>
    </row>
    <row r="95" spans="1:23" x14ac:dyDescent="0.25">
      <c r="A95" t="s">
        <v>31</v>
      </c>
      <c r="B95" t="s">
        <v>32</v>
      </c>
      <c r="C95" t="s">
        <v>33</v>
      </c>
      <c r="D95" t="s">
        <v>34</v>
      </c>
      <c r="E95" t="s">
        <v>35</v>
      </c>
      <c r="F95" t="s">
        <v>36</v>
      </c>
      <c r="G95">
        <v>1141685</v>
      </c>
      <c r="H95" t="s">
        <v>77</v>
      </c>
      <c r="I95" t="s">
        <v>96</v>
      </c>
      <c r="J95" t="s">
        <v>77</v>
      </c>
      <c r="K95" t="s">
        <v>113</v>
      </c>
      <c r="L95" s="1">
        <v>46143</v>
      </c>
      <c r="M95" s="1">
        <v>46173</v>
      </c>
      <c r="N95">
        <v>0.41501145900000003</v>
      </c>
      <c r="O95" t="s">
        <v>56</v>
      </c>
      <c r="P95" t="s">
        <v>63</v>
      </c>
      <c r="Q95" t="s">
        <v>3075</v>
      </c>
      <c r="R95" t="s">
        <v>3076</v>
      </c>
      <c r="S95" t="s">
        <v>67</v>
      </c>
      <c r="T95" t="s">
        <v>3234</v>
      </c>
      <c r="U95" t="s">
        <v>3235</v>
      </c>
      <c r="V95">
        <v>15</v>
      </c>
      <c r="W95" s="2">
        <v>72.404551244800004</v>
      </c>
    </row>
    <row r="96" spans="1:23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>
        <v>1141685</v>
      </c>
      <c r="H96" t="s">
        <v>77</v>
      </c>
      <c r="I96" t="s">
        <v>96</v>
      </c>
      <c r="J96" t="s">
        <v>77</v>
      </c>
      <c r="K96" t="s">
        <v>110</v>
      </c>
      <c r="L96" s="1">
        <v>46143</v>
      </c>
      <c r="M96" s="1">
        <v>46173</v>
      </c>
      <c r="N96">
        <v>744</v>
      </c>
      <c r="O96" t="s">
        <v>58</v>
      </c>
      <c r="P96" t="s">
        <v>63</v>
      </c>
      <c r="Q96" t="s">
        <v>3094</v>
      </c>
      <c r="R96" t="s">
        <v>3236</v>
      </c>
      <c r="S96" t="s">
        <v>67</v>
      </c>
      <c r="T96" t="s">
        <v>3158</v>
      </c>
      <c r="U96" t="s">
        <v>3159</v>
      </c>
      <c r="V96">
        <v>7</v>
      </c>
      <c r="W96" s="2">
        <v>129798.2412</v>
      </c>
    </row>
    <row r="97" spans="1:23" x14ac:dyDescent="0.25">
      <c r="A97" t="s">
        <v>31</v>
      </c>
      <c r="B97" t="s">
        <v>32</v>
      </c>
      <c r="C97" t="s">
        <v>33</v>
      </c>
      <c r="D97" t="s">
        <v>34</v>
      </c>
      <c r="E97" t="s">
        <v>35</v>
      </c>
      <c r="F97" t="s">
        <v>36</v>
      </c>
      <c r="G97">
        <v>1141685</v>
      </c>
      <c r="H97" t="s">
        <v>79</v>
      </c>
      <c r="I97" t="s">
        <v>94</v>
      </c>
      <c r="J97" t="s">
        <v>101</v>
      </c>
      <c r="K97" t="s">
        <v>114</v>
      </c>
      <c r="L97" s="1">
        <v>46143</v>
      </c>
      <c r="M97" s="1">
        <v>46173</v>
      </c>
      <c r="N97">
        <v>1.5015990000000001E-4</v>
      </c>
      <c r="O97" t="s">
        <v>56</v>
      </c>
      <c r="P97" t="s">
        <v>63</v>
      </c>
      <c r="Q97" t="s">
        <v>3075</v>
      </c>
      <c r="R97" t="s">
        <v>3080</v>
      </c>
      <c r="S97" t="s">
        <v>67</v>
      </c>
      <c r="T97" t="s">
        <v>3237</v>
      </c>
      <c r="U97" t="s">
        <v>3238</v>
      </c>
      <c r="V97">
        <v>16</v>
      </c>
      <c r="W97" s="2">
        <v>0.21442618899999999</v>
      </c>
    </row>
    <row r="98" spans="1:23" x14ac:dyDescent="0.25">
      <c r="A98" t="s">
        <v>31</v>
      </c>
      <c r="B98" t="s">
        <v>32</v>
      </c>
      <c r="C98" t="s">
        <v>33</v>
      </c>
      <c r="D98" t="s">
        <v>34</v>
      </c>
      <c r="E98" t="s">
        <v>35</v>
      </c>
      <c r="F98" t="s">
        <v>36</v>
      </c>
      <c r="G98">
        <v>1141685</v>
      </c>
      <c r="H98" t="s">
        <v>77</v>
      </c>
      <c r="I98" t="s">
        <v>96</v>
      </c>
      <c r="J98" t="s">
        <v>77</v>
      </c>
      <c r="K98" t="s">
        <v>113</v>
      </c>
      <c r="L98" s="1">
        <v>46143</v>
      </c>
      <c r="M98" s="1">
        <v>46173</v>
      </c>
      <c r="N98">
        <v>5.9071854700000002E-2</v>
      </c>
      <c r="O98" t="s">
        <v>56</v>
      </c>
      <c r="P98" t="s">
        <v>63</v>
      </c>
      <c r="Q98" t="s">
        <v>3094</v>
      </c>
      <c r="R98" t="s">
        <v>3156</v>
      </c>
      <c r="S98" t="s">
        <v>67</v>
      </c>
      <c r="T98" t="s">
        <v>3239</v>
      </c>
      <c r="U98" t="s">
        <v>3240</v>
      </c>
      <c r="V98">
        <v>7</v>
      </c>
      <c r="W98" s="2">
        <v>10.308994674699999</v>
      </c>
    </row>
    <row r="99" spans="1:23" x14ac:dyDescent="0.25">
      <c r="A99" t="s">
        <v>31</v>
      </c>
      <c r="B99" t="s">
        <v>32</v>
      </c>
      <c r="C99" t="s">
        <v>33</v>
      </c>
      <c r="D99" t="s">
        <v>34</v>
      </c>
      <c r="E99" t="s">
        <v>35</v>
      </c>
      <c r="F99" t="s">
        <v>36</v>
      </c>
      <c r="G99">
        <v>1141685</v>
      </c>
      <c r="H99" t="s">
        <v>79</v>
      </c>
      <c r="I99" t="s">
        <v>94</v>
      </c>
      <c r="J99" t="s">
        <v>101</v>
      </c>
      <c r="K99" t="s">
        <v>114</v>
      </c>
      <c r="L99" s="1">
        <v>46143</v>
      </c>
      <c r="M99" s="1">
        <v>46173</v>
      </c>
      <c r="N99">
        <v>1.9598332999999999E-3</v>
      </c>
      <c r="O99" t="s">
        <v>56</v>
      </c>
      <c r="P99" t="s">
        <v>63</v>
      </c>
      <c r="Q99" t="s">
        <v>3075</v>
      </c>
      <c r="R99" t="s">
        <v>3080</v>
      </c>
      <c r="S99" t="s">
        <v>67</v>
      </c>
      <c r="T99" t="s">
        <v>3241</v>
      </c>
      <c r="U99" t="s">
        <v>3242</v>
      </c>
      <c r="V99">
        <v>15</v>
      </c>
      <c r="W99" s="2">
        <v>2.7370641432</v>
      </c>
    </row>
    <row r="100" spans="1:23" x14ac:dyDescent="0.25">
      <c r="A100" t="s">
        <v>31</v>
      </c>
      <c r="B100" t="s">
        <v>32</v>
      </c>
      <c r="C100" t="s">
        <v>33</v>
      </c>
      <c r="D100" t="s">
        <v>34</v>
      </c>
      <c r="E100" t="s">
        <v>35</v>
      </c>
      <c r="F100" t="s">
        <v>36</v>
      </c>
      <c r="G100">
        <v>1141685</v>
      </c>
      <c r="H100" t="s">
        <v>86</v>
      </c>
      <c r="I100" t="s">
        <v>42</v>
      </c>
      <c r="J100" t="s">
        <v>86</v>
      </c>
      <c r="K100" t="s">
        <v>124</v>
      </c>
      <c r="L100" s="1">
        <v>46143</v>
      </c>
      <c r="M100" s="1">
        <v>46173</v>
      </c>
      <c r="N100">
        <v>1.44E-4</v>
      </c>
      <c r="O100" t="s">
        <v>135</v>
      </c>
      <c r="P100" t="s">
        <v>63</v>
      </c>
      <c r="Q100" t="s">
        <v>3079</v>
      </c>
      <c r="R100" t="s">
        <v>3243</v>
      </c>
      <c r="S100" t="s">
        <v>67</v>
      </c>
      <c r="T100" t="s">
        <v>3244</v>
      </c>
      <c r="U100" t="s">
        <v>3245</v>
      </c>
      <c r="V100">
        <v>17</v>
      </c>
      <c r="W100" s="2">
        <v>49.514022835200002</v>
      </c>
    </row>
    <row r="101" spans="1:23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>
        <v>1141685</v>
      </c>
      <c r="H101" t="s">
        <v>77</v>
      </c>
      <c r="I101" t="s">
        <v>96</v>
      </c>
      <c r="J101" t="s">
        <v>77</v>
      </c>
      <c r="K101" t="s">
        <v>111</v>
      </c>
      <c r="L101" s="1">
        <v>46143</v>
      </c>
      <c r="M101" s="1">
        <v>46173</v>
      </c>
      <c r="N101">
        <v>0.13376187249999999</v>
      </c>
      <c r="O101" t="s">
        <v>56</v>
      </c>
      <c r="P101" t="s">
        <v>63</v>
      </c>
      <c r="Q101" t="s">
        <v>3075</v>
      </c>
      <c r="R101" t="s">
        <v>3076</v>
      </c>
      <c r="S101" t="s">
        <v>67</v>
      </c>
      <c r="T101" t="s">
        <v>3246</v>
      </c>
      <c r="U101" t="s">
        <v>3247</v>
      </c>
      <c r="V101">
        <v>16</v>
      </c>
      <c r="W101" s="2">
        <v>23.335764727699999</v>
      </c>
    </row>
    <row r="102" spans="1:23" x14ac:dyDescent="0.25">
      <c r="A102" t="s">
        <v>31</v>
      </c>
      <c r="B102" t="s">
        <v>32</v>
      </c>
      <c r="C102" t="s">
        <v>33</v>
      </c>
      <c r="D102" t="s">
        <v>34</v>
      </c>
      <c r="E102" t="s">
        <v>35</v>
      </c>
      <c r="F102" t="s">
        <v>36</v>
      </c>
      <c r="G102">
        <v>1141685</v>
      </c>
      <c r="H102" t="s">
        <v>76</v>
      </c>
      <c r="I102" t="s">
        <v>95</v>
      </c>
      <c r="J102" t="s">
        <v>99</v>
      </c>
      <c r="K102" t="s">
        <v>109</v>
      </c>
      <c r="L102" s="1">
        <v>46143</v>
      </c>
      <c r="M102" s="1">
        <v>46173</v>
      </c>
      <c r="N102">
        <v>4.91676</v>
      </c>
      <c r="O102" t="s">
        <v>58</v>
      </c>
      <c r="P102" t="s">
        <v>63</v>
      </c>
      <c r="Q102" t="s">
        <v>3079</v>
      </c>
      <c r="R102" t="s">
        <v>3087</v>
      </c>
      <c r="S102" t="s">
        <v>67</v>
      </c>
      <c r="T102" t="s">
        <v>3088</v>
      </c>
      <c r="U102" t="s">
        <v>3089</v>
      </c>
      <c r="V102">
        <v>17</v>
      </c>
      <c r="W102" s="2">
        <v>0</v>
      </c>
    </row>
    <row r="103" spans="1:23" x14ac:dyDescent="0.25">
      <c r="A103" t="s">
        <v>31</v>
      </c>
      <c r="B103" t="s">
        <v>32</v>
      </c>
      <c r="C103" t="s">
        <v>33</v>
      </c>
      <c r="D103" t="s">
        <v>34</v>
      </c>
      <c r="E103" t="s">
        <v>35</v>
      </c>
      <c r="F103" t="s">
        <v>36</v>
      </c>
      <c r="G103">
        <v>1141685</v>
      </c>
      <c r="H103" t="s">
        <v>76</v>
      </c>
      <c r="I103" t="s">
        <v>95</v>
      </c>
      <c r="J103" t="s">
        <v>99</v>
      </c>
      <c r="K103" t="s">
        <v>109</v>
      </c>
      <c r="L103" s="1">
        <v>46143</v>
      </c>
      <c r="M103" s="1">
        <v>46173</v>
      </c>
      <c r="N103">
        <v>0.983352</v>
      </c>
      <c r="O103" t="s">
        <v>58</v>
      </c>
      <c r="P103" t="s">
        <v>63</v>
      </c>
      <c r="Q103" t="s">
        <v>3079</v>
      </c>
      <c r="R103" t="s">
        <v>3076</v>
      </c>
      <c r="S103" t="s">
        <v>67</v>
      </c>
      <c r="T103" t="s">
        <v>3123</v>
      </c>
      <c r="U103" t="s">
        <v>3124</v>
      </c>
      <c r="V103">
        <v>16</v>
      </c>
      <c r="W103" s="2">
        <v>0</v>
      </c>
    </row>
    <row r="104" spans="1:23" x14ac:dyDescent="0.25">
      <c r="A104" t="s">
        <v>31</v>
      </c>
      <c r="B104" t="s">
        <v>32</v>
      </c>
      <c r="C104" t="s">
        <v>33</v>
      </c>
      <c r="D104" t="s">
        <v>34</v>
      </c>
      <c r="E104" t="s">
        <v>35</v>
      </c>
      <c r="F104" t="s">
        <v>36</v>
      </c>
      <c r="G104">
        <v>1141685</v>
      </c>
      <c r="H104" t="s">
        <v>76</v>
      </c>
      <c r="I104" t="s">
        <v>95</v>
      </c>
      <c r="J104" t="s">
        <v>99</v>
      </c>
      <c r="K104" t="s">
        <v>109</v>
      </c>
      <c r="L104" s="1">
        <v>46143</v>
      </c>
      <c r="M104" s="1">
        <v>46173</v>
      </c>
      <c r="N104">
        <v>3.3295999999999999E-2</v>
      </c>
      <c r="O104" t="s">
        <v>58</v>
      </c>
      <c r="P104" t="s">
        <v>63</v>
      </c>
      <c r="Q104" t="s">
        <v>3079</v>
      </c>
      <c r="R104" t="s">
        <v>3076</v>
      </c>
      <c r="S104" t="s">
        <v>67</v>
      </c>
      <c r="T104" t="s">
        <v>3123</v>
      </c>
      <c r="U104" t="s">
        <v>3124</v>
      </c>
      <c r="V104">
        <v>16</v>
      </c>
      <c r="W104" s="2">
        <v>0</v>
      </c>
    </row>
    <row r="105" spans="1:23" x14ac:dyDescent="0.25">
      <c r="A105" t="s">
        <v>31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>
        <v>1141685</v>
      </c>
      <c r="H105" t="s">
        <v>76</v>
      </c>
      <c r="I105" t="s">
        <v>95</v>
      </c>
      <c r="J105" t="s">
        <v>99</v>
      </c>
      <c r="K105" t="s">
        <v>109</v>
      </c>
      <c r="L105" s="1">
        <v>46143</v>
      </c>
      <c r="M105" s="1">
        <v>46173</v>
      </c>
      <c r="N105">
        <v>360.96670399999999</v>
      </c>
      <c r="O105" t="s">
        <v>58</v>
      </c>
      <c r="P105" t="s">
        <v>63</v>
      </c>
      <c r="Q105" t="s">
        <v>3079</v>
      </c>
      <c r="R105" t="s">
        <v>3076</v>
      </c>
      <c r="S105" t="s">
        <v>67</v>
      </c>
      <c r="T105" t="s">
        <v>3123</v>
      </c>
      <c r="U105" t="s">
        <v>3124</v>
      </c>
      <c r="V105">
        <v>16</v>
      </c>
      <c r="W105" s="2">
        <v>0</v>
      </c>
    </row>
    <row r="106" spans="1:23" x14ac:dyDescent="0.25">
      <c r="A106" t="s">
        <v>31</v>
      </c>
      <c r="B106" t="s">
        <v>32</v>
      </c>
      <c r="C106" t="s">
        <v>33</v>
      </c>
      <c r="D106" t="s">
        <v>34</v>
      </c>
      <c r="E106" t="s">
        <v>35</v>
      </c>
      <c r="F106" t="s">
        <v>36</v>
      </c>
      <c r="G106">
        <v>1141685</v>
      </c>
      <c r="H106" t="s">
        <v>76</v>
      </c>
      <c r="I106" t="s">
        <v>95</v>
      </c>
      <c r="J106" t="s">
        <v>99</v>
      </c>
      <c r="K106" t="s">
        <v>109</v>
      </c>
      <c r="L106" s="1">
        <v>46143</v>
      </c>
      <c r="M106" s="1">
        <v>46173</v>
      </c>
      <c r="N106">
        <v>0.26667200000000002</v>
      </c>
      <c r="O106" t="s">
        <v>58</v>
      </c>
      <c r="P106" t="s">
        <v>63</v>
      </c>
      <c r="Q106" t="s">
        <v>3079</v>
      </c>
      <c r="R106" t="s">
        <v>3076</v>
      </c>
      <c r="S106" t="s">
        <v>67</v>
      </c>
      <c r="T106" t="s">
        <v>3123</v>
      </c>
      <c r="U106" t="s">
        <v>3124</v>
      </c>
      <c r="V106">
        <v>16</v>
      </c>
      <c r="W106" s="2">
        <v>0</v>
      </c>
    </row>
    <row r="107" spans="1:23" x14ac:dyDescent="0.25">
      <c r="A107" t="s">
        <v>31</v>
      </c>
      <c r="B107" t="s">
        <v>32</v>
      </c>
      <c r="C107" t="s">
        <v>33</v>
      </c>
      <c r="D107" t="s">
        <v>34</v>
      </c>
      <c r="E107" t="s">
        <v>35</v>
      </c>
      <c r="F107" t="s">
        <v>36</v>
      </c>
      <c r="G107">
        <v>1141685</v>
      </c>
      <c r="H107" t="s">
        <v>77</v>
      </c>
      <c r="I107" t="s">
        <v>96</v>
      </c>
      <c r="J107" t="s">
        <v>77</v>
      </c>
      <c r="K107" t="s">
        <v>111</v>
      </c>
      <c r="L107" s="1">
        <v>46143</v>
      </c>
      <c r="M107" s="1">
        <v>46173</v>
      </c>
      <c r="N107">
        <v>2.6614618999999998E-3</v>
      </c>
      <c r="O107" t="s">
        <v>56</v>
      </c>
      <c r="P107" t="s">
        <v>63</v>
      </c>
      <c r="Q107" t="s">
        <v>3094</v>
      </c>
      <c r="R107" t="s">
        <v>3156</v>
      </c>
      <c r="S107" t="s">
        <v>67</v>
      </c>
      <c r="T107" t="s">
        <v>3248</v>
      </c>
      <c r="U107" t="s">
        <v>3249</v>
      </c>
      <c r="V107">
        <v>7</v>
      </c>
      <c r="W107" s="2">
        <v>0.4686004117</v>
      </c>
    </row>
    <row r="108" spans="1:23" x14ac:dyDescent="0.25">
      <c r="A108" t="s">
        <v>31</v>
      </c>
      <c r="B108" t="s">
        <v>32</v>
      </c>
      <c r="C108" t="s">
        <v>33</v>
      </c>
      <c r="D108" t="s">
        <v>34</v>
      </c>
      <c r="E108" t="s">
        <v>35</v>
      </c>
      <c r="F108" t="s">
        <v>36</v>
      </c>
      <c r="G108">
        <v>1141685</v>
      </c>
      <c r="H108" t="s">
        <v>77</v>
      </c>
      <c r="I108" t="s">
        <v>96</v>
      </c>
      <c r="J108" t="s">
        <v>77</v>
      </c>
      <c r="K108" t="s">
        <v>113</v>
      </c>
      <c r="L108" s="1">
        <v>46143</v>
      </c>
      <c r="M108" s="1">
        <v>46173</v>
      </c>
      <c r="N108">
        <v>0.95300403420000002</v>
      </c>
      <c r="O108" t="s">
        <v>56</v>
      </c>
      <c r="P108" t="s">
        <v>63</v>
      </c>
      <c r="Q108" t="s">
        <v>3075</v>
      </c>
      <c r="R108" t="s">
        <v>3076</v>
      </c>
      <c r="S108" t="s">
        <v>67</v>
      </c>
      <c r="T108" t="s">
        <v>3250</v>
      </c>
      <c r="U108" t="s">
        <v>3251</v>
      </c>
      <c r="V108">
        <v>15</v>
      </c>
      <c r="W108" s="2">
        <v>166.25975375479999</v>
      </c>
    </row>
    <row r="109" spans="1:23" x14ac:dyDescent="0.25">
      <c r="A109" t="s">
        <v>31</v>
      </c>
      <c r="B109" t="s">
        <v>32</v>
      </c>
      <c r="C109" t="s">
        <v>33</v>
      </c>
      <c r="D109" t="s">
        <v>34</v>
      </c>
      <c r="E109" t="s">
        <v>35</v>
      </c>
      <c r="F109" t="s">
        <v>36</v>
      </c>
      <c r="G109">
        <v>1141685</v>
      </c>
      <c r="H109" t="s">
        <v>77</v>
      </c>
      <c r="I109" t="s">
        <v>96</v>
      </c>
      <c r="J109" t="s">
        <v>77</v>
      </c>
      <c r="K109" t="s">
        <v>113</v>
      </c>
      <c r="L109" s="1">
        <v>46143</v>
      </c>
      <c r="M109" s="1">
        <v>46173</v>
      </c>
      <c r="N109">
        <v>209.92576478609999</v>
      </c>
      <c r="O109" t="s">
        <v>56</v>
      </c>
      <c r="P109" t="s">
        <v>63</v>
      </c>
      <c r="Q109" t="s">
        <v>3075</v>
      </c>
      <c r="R109" t="s">
        <v>3080</v>
      </c>
      <c r="S109" t="s">
        <v>67</v>
      </c>
      <c r="T109" t="s">
        <v>3252</v>
      </c>
      <c r="U109" t="s">
        <v>3253</v>
      </c>
      <c r="V109">
        <v>16</v>
      </c>
      <c r="W109" s="2">
        <v>36623.651053629903</v>
      </c>
    </row>
    <row r="110" spans="1:23" x14ac:dyDescent="0.25">
      <c r="A110" t="s">
        <v>31</v>
      </c>
      <c r="B110" t="s">
        <v>32</v>
      </c>
      <c r="C110" t="s">
        <v>33</v>
      </c>
      <c r="D110" t="s">
        <v>34</v>
      </c>
      <c r="E110" t="s">
        <v>35</v>
      </c>
      <c r="F110" t="s">
        <v>36</v>
      </c>
      <c r="G110">
        <v>1141685</v>
      </c>
      <c r="H110" t="s">
        <v>76</v>
      </c>
      <c r="I110" t="s">
        <v>95</v>
      </c>
      <c r="J110" t="s">
        <v>99</v>
      </c>
      <c r="K110" t="s">
        <v>109</v>
      </c>
      <c r="L110" s="1">
        <v>46143</v>
      </c>
      <c r="M110" s="1">
        <v>46173</v>
      </c>
      <c r="N110">
        <v>359</v>
      </c>
      <c r="O110" t="s">
        <v>58</v>
      </c>
      <c r="P110" t="s">
        <v>63</v>
      </c>
      <c r="Q110" t="s">
        <v>3079</v>
      </c>
      <c r="R110" t="s">
        <v>3080</v>
      </c>
      <c r="S110" t="s">
        <v>67</v>
      </c>
      <c r="T110" t="s">
        <v>3081</v>
      </c>
      <c r="U110" t="s">
        <v>3082</v>
      </c>
      <c r="V110">
        <v>16</v>
      </c>
      <c r="W110" s="2">
        <v>0</v>
      </c>
    </row>
    <row r="111" spans="1:23" x14ac:dyDescent="0.25">
      <c r="A111" t="s">
        <v>31</v>
      </c>
      <c r="B111" t="s">
        <v>32</v>
      </c>
      <c r="C111" t="s">
        <v>33</v>
      </c>
      <c r="D111" t="s">
        <v>34</v>
      </c>
      <c r="E111" t="s">
        <v>35</v>
      </c>
      <c r="F111" t="s">
        <v>36</v>
      </c>
      <c r="G111">
        <v>1141685</v>
      </c>
      <c r="H111" t="s">
        <v>76</v>
      </c>
      <c r="I111" t="s">
        <v>95</v>
      </c>
      <c r="J111" t="s">
        <v>99</v>
      </c>
      <c r="K111" t="s">
        <v>109</v>
      </c>
      <c r="L111" s="1">
        <v>46143</v>
      </c>
      <c r="M111" s="1">
        <v>46173</v>
      </c>
      <c r="N111">
        <v>76</v>
      </c>
      <c r="O111" t="s">
        <v>58</v>
      </c>
      <c r="P111" t="s">
        <v>63</v>
      </c>
      <c r="Q111" t="s">
        <v>3079</v>
      </c>
      <c r="R111" t="s">
        <v>3080</v>
      </c>
      <c r="S111" t="s">
        <v>67</v>
      </c>
      <c r="T111" t="s">
        <v>3081</v>
      </c>
      <c r="U111" t="s">
        <v>3082</v>
      </c>
      <c r="V111">
        <v>16</v>
      </c>
      <c r="W111" s="2">
        <v>0</v>
      </c>
    </row>
    <row r="112" spans="1:23" x14ac:dyDescent="0.25">
      <c r="A112" t="s">
        <v>31</v>
      </c>
      <c r="B112" t="s">
        <v>32</v>
      </c>
      <c r="C112" t="s">
        <v>33</v>
      </c>
      <c r="D112" t="s">
        <v>34</v>
      </c>
      <c r="E112" t="s">
        <v>35</v>
      </c>
      <c r="F112" t="s">
        <v>36</v>
      </c>
      <c r="G112">
        <v>1141685</v>
      </c>
      <c r="H112" t="s">
        <v>76</v>
      </c>
      <c r="I112" t="s">
        <v>95</v>
      </c>
      <c r="J112" t="s">
        <v>99</v>
      </c>
      <c r="K112" t="s">
        <v>109</v>
      </c>
      <c r="L112" s="1">
        <v>46143</v>
      </c>
      <c r="M112" s="1">
        <v>46173</v>
      </c>
      <c r="N112">
        <v>0.983352</v>
      </c>
      <c r="O112" t="s">
        <v>58</v>
      </c>
      <c r="P112" t="s">
        <v>63</v>
      </c>
      <c r="Q112" t="s">
        <v>3079</v>
      </c>
      <c r="R112" t="s">
        <v>3080</v>
      </c>
      <c r="S112" t="s">
        <v>67</v>
      </c>
      <c r="T112" t="s">
        <v>3081</v>
      </c>
      <c r="U112" t="s">
        <v>3082</v>
      </c>
      <c r="V112">
        <v>16</v>
      </c>
      <c r="W112" s="2">
        <v>0</v>
      </c>
    </row>
    <row r="113" spans="1:23" x14ac:dyDescent="0.25">
      <c r="A113" t="s">
        <v>31</v>
      </c>
      <c r="B113" t="s">
        <v>32</v>
      </c>
      <c r="C113" t="s">
        <v>33</v>
      </c>
      <c r="D113" t="s">
        <v>34</v>
      </c>
      <c r="E113" t="s">
        <v>35</v>
      </c>
      <c r="F113" t="s">
        <v>36</v>
      </c>
      <c r="G113">
        <v>1141685</v>
      </c>
      <c r="H113" t="s">
        <v>77</v>
      </c>
      <c r="I113" t="s">
        <v>96</v>
      </c>
      <c r="J113" t="s">
        <v>77</v>
      </c>
      <c r="K113" t="s">
        <v>113</v>
      </c>
      <c r="L113" s="1">
        <v>46143</v>
      </c>
      <c r="M113" s="1">
        <v>46173</v>
      </c>
      <c r="N113">
        <v>187.60645207760001</v>
      </c>
      <c r="O113" t="s">
        <v>56</v>
      </c>
      <c r="P113" t="s">
        <v>63</v>
      </c>
      <c r="Q113" t="s">
        <v>3075</v>
      </c>
      <c r="R113" t="s">
        <v>3080</v>
      </c>
      <c r="S113" t="s">
        <v>67</v>
      </c>
      <c r="T113" t="s">
        <v>3254</v>
      </c>
      <c r="U113" t="s">
        <v>3255</v>
      </c>
      <c r="V113">
        <v>16</v>
      </c>
      <c r="W113" s="2">
        <v>32729.8230339273</v>
      </c>
    </row>
    <row r="114" spans="1:23" x14ac:dyDescent="0.25">
      <c r="A114" t="s">
        <v>31</v>
      </c>
      <c r="B114" t="s">
        <v>32</v>
      </c>
      <c r="C114" t="s">
        <v>33</v>
      </c>
      <c r="D114" t="s">
        <v>34</v>
      </c>
      <c r="E114" t="s">
        <v>35</v>
      </c>
      <c r="F114" t="s">
        <v>36</v>
      </c>
      <c r="G114">
        <v>1141685</v>
      </c>
      <c r="H114" t="s">
        <v>77</v>
      </c>
      <c r="I114" t="s">
        <v>96</v>
      </c>
      <c r="J114" t="s">
        <v>77</v>
      </c>
      <c r="K114" t="s">
        <v>113</v>
      </c>
      <c r="L114" s="1">
        <v>46143</v>
      </c>
      <c r="M114" s="1">
        <v>46173</v>
      </c>
      <c r="N114">
        <v>2.42086668E-2</v>
      </c>
      <c r="O114" t="s">
        <v>56</v>
      </c>
      <c r="P114" t="s">
        <v>63</v>
      </c>
      <c r="Q114" t="s">
        <v>3094</v>
      </c>
      <c r="R114" t="s">
        <v>3156</v>
      </c>
      <c r="S114" t="s">
        <v>67</v>
      </c>
      <c r="T114" t="s">
        <v>3256</v>
      </c>
      <c r="U114" t="s">
        <v>3257</v>
      </c>
      <c r="V114">
        <v>7</v>
      </c>
      <c r="W114" s="2">
        <v>4.2266307213000003</v>
      </c>
    </row>
    <row r="115" spans="1:23" x14ac:dyDescent="0.25">
      <c r="A115" t="s">
        <v>31</v>
      </c>
      <c r="B115" t="s">
        <v>32</v>
      </c>
      <c r="C115" t="s">
        <v>33</v>
      </c>
      <c r="D115" t="s">
        <v>34</v>
      </c>
      <c r="E115" t="s">
        <v>35</v>
      </c>
      <c r="F115" t="s">
        <v>36</v>
      </c>
      <c r="G115">
        <v>1141685</v>
      </c>
      <c r="H115" t="s">
        <v>82</v>
      </c>
      <c r="I115" t="s">
        <v>82</v>
      </c>
      <c r="J115" t="s">
        <v>82</v>
      </c>
      <c r="K115" t="s">
        <v>118</v>
      </c>
      <c r="L115" s="1">
        <v>46143</v>
      </c>
      <c r="M115" s="1">
        <v>46173</v>
      </c>
      <c r="N115">
        <v>0.40077000000000002</v>
      </c>
      <c r="O115" t="s">
        <v>60</v>
      </c>
      <c r="P115" t="s">
        <v>63</v>
      </c>
      <c r="Q115" t="s">
        <v>3094</v>
      </c>
      <c r="R115" t="s">
        <v>147</v>
      </c>
      <c r="S115" t="s">
        <v>68</v>
      </c>
      <c r="T115" t="s">
        <v>3258</v>
      </c>
      <c r="U115" t="s">
        <v>3259</v>
      </c>
      <c r="V115">
        <v>7</v>
      </c>
      <c r="W115" s="2">
        <v>2796.73536384</v>
      </c>
    </row>
    <row r="116" spans="1:23" x14ac:dyDescent="0.25">
      <c r="A116" t="s">
        <v>31</v>
      </c>
      <c r="B116" t="s">
        <v>32</v>
      </c>
      <c r="C116" t="s">
        <v>33</v>
      </c>
      <c r="D116" t="s">
        <v>34</v>
      </c>
      <c r="E116" t="s">
        <v>35</v>
      </c>
      <c r="F116" t="s">
        <v>36</v>
      </c>
      <c r="G116">
        <v>1141685</v>
      </c>
      <c r="H116" t="s">
        <v>87</v>
      </c>
      <c r="I116" t="s">
        <v>87</v>
      </c>
      <c r="J116" t="s">
        <v>87</v>
      </c>
      <c r="K116" t="s">
        <v>131</v>
      </c>
      <c r="L116" s="1">
        <v>46143</v>
      </c>
      <c r="M116" s="1">
        <v>46173</v>
      </c>
      <c r="N116">
        <v>2685.0025283331001</v>
      </c>
      <c r="O116" t="s">
        <v>56</v>
      </c>
      <c r="P116" t="s">
        <v>63</v>
      </c>
      <c r="Q116" t="s">
        <v>3075</v>
      </c>
      <c r="R116" t="s">
        <v>164</v>
      </c>
      <c r="S116" t="s">
        <v>67</v>
      </c>
      <c r="T116" t="s">
        <v>3260</v>
      </c>
      <c r="U116" t="s">
        <v>3261</v>
      </c>
      <c r="V116">
        <v>12</v>
      </c>
      <c r="W116" s="2">
        <v>234212.7680809171</v>
      </c>
    </row>
    <row r="117" spans="1:23" x14ac:dyDescent="0.25">
      <c r="A117" t="s">
        <v>31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>
        <v>1141685</v>
      </c>
      <c r="H117" t="s">
        <v>89</v>
      </c>
      <c r="I117" t="s">
        <v>89</v>
      </c>
      <c r="J117" t="s">
        <v>89</v>
      </c>
      <c r="K117" t="s">
        <v>127</v>
      </c>
      <c r="L117" s="1">
        <v>46143</v>
      </c>
      <c r="M117" s="1">
        <v>46173</v>
      </c>
      <c r="N117">
        <v>3.19E-4</v>
      </c>
      <c r="O117" t="s">
        <v>60</v>
      </c>
      <c r="P117" t="s">
        <v>63</v>
      </c>
      <c r="Q117" t="s">
        <v>3097</v>
      </c>
      <c r="R117" t="s">
        <v>3155</v>
      </c>
      <c r="S117" t="s">
        <v>67</v>
      </c>
      <c r="T117" t="s">
        <v>3262</v>
      </c>
      <c r="U117" t="s">
        <v>3263</v>
      </c>
      <c r="V117">
        <v>6</v>
      </c>
      <c r="W117" s="2">
        <v>0</v>
      </c>
    </row>
    <row r="118" spans="1:23" x14ac:dyDescent="0.25">
      <c r="A118" t="s">
        <v>31</v>
      </c>
      <c r="B118" t="s">
        <v>32</v>
      </c>
      <c r="C118" t="s">
        <v>33</v>
      </c>
      <c r="D118" t="s">
        <v>34</v>
      </c>
      <c r="E118" t="s">
        <v>35</v>
      </c>
      <c r="F118" t="s">
        <v>36</v>
      </c>
      <c r="G118">
        <v>1141685</v>
      </c>
      <c r="H118" t="s">
        <v>85</v>
      </c>
      <c r="I118" t="s">
        <v>85</v>
      </c>
      <c r="J118" t="s">
        <v>85</v>
      </c>
      <c r="K118" t="s">
        <v>123</v>
      </c>
      <c r="L118" s="1">
        <v>46143</v>
      </c>
      <c r="M118" s="1">
        <v>46173</v>
      </c>
      <c r="N118">
        <v>39744</v>
      </c>
      <c r="O118" t="s">
        <v>61</v>
      </c>
      <c r="P118" t="s">
        <v>63</v>
      </c>
      <c r="Q118" t="s">
        <v>3097</v>
      </c>
      <c r="R118" t="s">
        <v>3264</v>
      </c>
      <c r="S118" t="s">
        <v>66</v>
      </c>
      <c r="T118" t="s">
        <v>220</v>
      </c>
      <c r="U118" t="s">
        <v>375</v>
      </c>
      <c r="V118">
        <v>6</v>
      </c>
      <c r="W118" s="2">
        <v>405623.6845952</v>
      </c>
    </row>
    <row r="119" spans="1:23" x14ac:dyDescent="0.25">
      <c r="A119" t="s">
        <v>31</v>
      </c>
      <c r="B119" t="s">
        <v>32</v>
      </c>
      <c r="C119" t="s">
        <v>33</v>
      </c>
      <c r="D119" t="s">
        <v>34</v>
      </c>
      <c r="E119" t="s">
        <v>35</v>
      </c>
      <c r="F119" t="s">
        <v>36</v>
      </c>
      <c r="G119">
        <v>1141685</v>
      </c>
      <c r="H119" t="s">
        <v>76</v>
      </c>
      <c r="I119" t="s">
        <v>95</v>
      </c>
      <c r="J119" t="s">
        <v>99</v>
      </c>
      <c r="K119" t="s">
        <v>109</v>
      </c>
      <c r="L119" s="1">
        <v>46143</v>
      </c>
      <c r="M119" s="1">
        <v>46173</v>
      </c>
      <c r="N119">
        <v>360</v>
      </c>
      <c r="O119" t="s">
        <v>58</v>
      </c>
      <c r="P119" t="s">
        <v>63</v>
      </c>
      <c r="Q119" t="s">
        <v>3079</v>
      </c>
      <c r="R119" t="s">
        <v>3080</v>
      </c>
      <c r="S119" t="s">
        <v>67</v>
      </c>
      <c r="T119" t="s">
        <v>3081</v>
      </c>
      <c r="U119" t="s">
        <v>3082</v>
      </c>
      <c r="V119">
        <v>16</v>
      </c>
      <c r="W119" s="2">
        <v>0</v>
      </c>
    </row>
    <row r="120" spans="1:23" x14ac:dyDescent="0.25">
      <c r="A120" t="s">
        <v>31</v>
      </c>
      <c r="B120" t="s">
        <v>32</v>
      </c>
      <c r="C120" t="s">
        <v>33</v>
      </c>
      <c r="D120" t="s">
        <v>34</v>
      </c>
      <c r="E120" t="s">
        <v>35</v>
      </c>
      <c r="F120" t="s">
        <v>36</v>
      </c>
      <c r="G120">
        <v>1141685</v>
      </c>
      <c r="H120" t="s">
        <v>76</v>
      </c>
      <c r="I120" t="s">
        <v>95</v>
      </c>
      <c r="J120" t="s">
        <v>99</v>
      </c>
      <c r="K120" t="s">
        <v>109</v>
      </c>
      <c r="L120" s="1">
        <v>46143</v>
      </c>
      <c r="M120" s="1">
        <v>46173</v>
      </c>
      <c r="N120">
        <v>2.950056</v>
      </c>
      <c r="O120" t="s">
        <v>58</v>
      </c>
      <c r="P120" t="s">
        <v>63</v>
      </c>
      <c r="Q120" t="s">
        <v>3079</v>
      </c>
      <c r="R120" t="s">
        <v>3080</v>
      </c>
      <c r="S120" t="s">
        <v>67</v>
      </c>
      <c r="T120" t="s">
        <v>3081</v>
      </c>
      <c r="U120" t="s">
        <v>3082</v>
      </c>
      <c r="V120">
        <v>16</v>
      </c>
      <c r="W120" s="2">
        <v>0</v>
      </c>
    </row>
    <row r="121" spans="1:23" x14ac:dyDescent="0.25">
      <c r="A121" t="s">
        <v>31</v>
      </c>
      <c r="B121" t="s">
        <v>32</v>
      </c>
      <c r="C121" t="s">
        <v>33</v>
      </c>
      <c r="D121" t="s">
        <v>34</v>
      </c>
      <c r="E121" t="s">
        <v>35</v>
      </c>
      <c r="F121" t="s">
        <v>36</v>
      </c>
      <c r="G121">
        <v>1141685</v>
      </c>
      <c r="H121" t="s">
        <v>76</v>
      </c>
      <c r="I121" t="s">
        <v>95</v>
      </c>
      <c r="J121" t="s">
        <v>99</v>
      </c>
      <c r="K121" t="s">
        <v>109</v>
      </c>
      <c r="L121" s="1">
        <v>46143</v>
      </c>
      <c r="M121" s="1">
        <v>46173</v>
      </c>
      <c r="N121">
        <v>1.9667060000000001</v>
      </c>
      <c r="O121" t="s">
        <v>58</v>
      </c>
      <c r="P121" t="s">
        <v>63</v>
      </c>
      <c r="Q121" t="s">
        <v>3079</v>
      </c>
      <c r="R121" t="s">
        <v>3080</v>
      </c>
      <c r="S121" t="s">
        <v>67</v>
      </c>
      <c r="T121" t="s">
        <v>3081</v>
      </c>
      <c r="U121" t="s">
        <v>3082</v>
      </c>
      <c r="V121">
        <v>16</v>
      </c>
      <c r="W121" s="2">
        <v>0</v>
      </c>
    </row>
    <row r="122" spans="1:23" x14ac:dyDescent="0.25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36</v>
      </c>
      <c r="G122">
        <v>1141685</v>
      </c>
      <c r="H122" t="s">
        <v>76</v>
      </c>
      <c r="I122" t="s">
        <v>95</v>
      </c>
      <c r="J122" t="s">
        <v>99</v>
      </c>
      <c r="K122" t="s">
        <v>109</v>
      </c>
      <c r="L122" s="1">
        <v>46143</v>
      </c>
      <c r="M122" s="1">
        <v>46173</v>
      </c>
      <c r="N122">
        <v>137</v>
      </c>
      <c r="O122" t="s">
        <v>58</v>
      </c>
      <c r="P122" t="s">
        <v>63</v>
      </c>
      <c r="Q122" t="s">
        <v>3079</v>
      </c>
      <c r="R122" t="s">
        <v>3080</v>
      </c>
      <c r="S122" t="s">
        <v>67</v>
      </c>
      <c r="T122" t="s">
        <v>3178</v>
      </c>
      <c r="U122" t="s">
        <v>3179</v>
      </c>
      <c r="V122">
        <v>15</v>
      </c>
      <c r="W122" s="2">
        <v>0</v>
      </c>
    </row>
    <row r="123" spans="1:23" x14ac:dyDescent="0.25">
      <c r="A123" t="s">
        <v>31</v>
      </c>
      <c r="B123" t="s">
        <v>32</v>
      </c>
      <c r="C123" t="s">
        <v>33</v>
      </c>
      <c r="D123" t="s">
        <v>34</v>
      </c>
      <c r="E123" t="s">
        <v>35</v>
      </c>
      <c r="F123" t="s">
        <v>36</v>
      </c>
      <c r="G123">
        <v>1141685</v>
      </c>
      <c r="H123" t="s">
        <v>80</v>
      </c>
      <c r="I123" t="s">
        <v>96</v>
      </c>
      <c r="J123" t="s">
        <v>80</v>
      </c>
      <c r="K123" t="s">
        <v>115</v>
      </c>
      <c r="L123" s="1">
        <v>46143</v>
      </c>
      <c r="M123" s="1">
        <v>46173</v>
      </c>
      <c r="N123">
        <v>0.3651265232</v>
      </c>
      <c r="O123" t="s">
        <v>56</v>
      </c>
      <c r="P123" t="s">
        <v>63</v>
      </c>
      <c r="Q123" t="s">
        <v>3075</v>
      </c>
      <c r="R123" t="s">
        <v>3080</v>
      </c>
      <c r="S123" t="s">
        <v>67</v>
      </c>
      <c r="T123" t="s">
        <v>3265</v>
      </c>
      <c r="U123" t="s">
        <v>3266</v>
      </c>
      <c r="V123">
        <v>16</v>
      </c>
      <c r="W123" s="2">
        <v>63.695976445200003</v>
      </c>
    </row>
    <row r="124" spans="1:23" x14ac:dyDescent="0.25">
      <c r="A124" t="s">
        <v>31</v>
      </c>
      <c r="B124" t="s">
        <v>32</v>
      </c>
      <c r="C124" t="s">
        <v>33</v>
      </c>
      <c r="D124" t="s">
        <v>34</v>
      </c>
      <c r="E124" t="s">
        <v>35</v>
      </c>
      <c r="F124" t="s">
        <v>36</v>
      </c>
      <c r="G124">
        <v>1141685</v>
      </c>
      <c r="H124" t="s">
        <v>76</v>
      </c>
      <c r="I124" t="s">
        <v>95</v>
      </c>
      <c r="J124" t="s">
        <v>99</v>
      </c>
      <c r="K124" t="s">
        <v>109</v>
      </c>
      <c r="L124" s="1">
        <v>46143</v>
      </c>
      <c r="M124" s="1">
        <v>46173</v>
      </c>
      <c r="N124">
        <v>1.9000000000000001E-5</v>
      </c>
      <c r="O124" t="s">
        <v>58</v>
      </c>
      <c r="P124" t="s">
        <v>63</v>
      </c>
      <c r="Q124" t="s">
        <v>3079</v>
      </c>
      <c r="R124" t="s">
        <v>3087</v>
      </c>
      <c r="S124" t="s">
        <v>67</v>
      </c>
      <c r="T124" t="s">
        <v>3088</v>
      </c>
      <c r="U124" t="s">
        <v>3089</v>
      </c>
      <c r="V124">
        <v>17</v>
      </c>
      <c r="W124" s="2">
        <v>0</v>
      </c>
    </row>
    <row r="125" spans="1:23" x14ac:dyDescent="0.25">
      <c r="A125" t="s">
        <v>31</v>
      </c>
      <c r="B125" t="s">
        <v>32</v>
      </c>
      <c r="C125" t="s">
        <v>33</v>
      </c>
      <c r="D125" t="s">
        <v>34</v>
      </c>
      <c r="E125" t="s">
        <v>35</v>
      </c>
      <c r="F125" t="s">
        <v>36</v>
      </c>
      <c r="G125">
        <v>1141685</v>
      </c>
      <c r="H125" t="s">
        <v>76</v>
      </c>
      <c r="I125" t="s">
        <v>95</v>
      </c>
      <c r="J125" t="s">
        <v>99</v>
      </c>
      <c r="K125" t="s">
        <v>109</v>
      </c>
      <c r="L125" s="1">
        <v>46143</v>
      </c>
      <c r="M125" s="1">
        <v>46173</v>
      </c>
      <c r="N125">
        <v>356</v>
      </c>
      <c r="O125" t="s">
        <v>58</v>
      </c>
      <c r="P125" t="s">
        <v>63</v>
      </c>
      <c r="Q125" t="s">
        <v>3079</v>
      </c>
      <c r="R125" t="s">
        <v>3087</v>
      </c>
      <c r="S125" t="s">
        <v>67</v>
      </c>
      <c r="T125" t="s">
        <v>3088</v>
      </c>
      <c r="U125" t="s">
        <v>3089</v>
      </c>
      <c r="V125">
        <v>17</v>
      </c>
      <c r="W125" s="2">
        <v>0</v>
      </c>
    </row>
    <row r="126" spans="1:23" x14ac:dyDescent="0.25">
      <c r="A126" t="s">
        <v>31</v>
      </c>
      <c r="B126" t="s">
        <v>32</v>
      </c>
      <c r="C126" t="s">
        <v>33</v>
      </c>
      <c r="D126" t="s">
        <v>34</v>
      </c>
      <c r="E126" t="s">
        <v>35</v>
      </c>
      <c r="F126" t="s">
        <v>36</v>
      </c>
      <c r="G126">
        <v>1141685</v>
      </c>
      <c r="H126" t="s">
        <v>76</v>
      </c>
      <c r="I126" t="s">
        <v>95</v>
      </c>
      <c r="J126" t="s">
        <v>99</v>
      </c>
      <c r="K126" t="s">
        <v>109</v>
      </c>
      <c r="L126" s="1">
        <v>46143</v>
      </c>
      <c r="M126" s="1">
        <v>46173</v>
      </c>
      <c r="N126">
        <v>0.73334699999999997</v>
      </c>
      <c r="O126" t="s">
        <v>58</v>
      </c>
      <c r="P126" t="s">
        <v>63</v>
      </c>
      <c r="Q126" t="s">
        <v>3079</v>
      </c>
      <c r="R126" t="s">
        <v>3076</v>
      </c>
      <c r="S126" t="s">
        <v>67</v>
      </c>
      <c r="T126" t="s">
        <v>3123</v>
      </c>
      <c r="U126" t="s">
        <v>3124</v>
      </c>
      <c r="V126">
        <v>16</v>
      </c>
      <c r="W126" s="2">
        <v>0</v>
      </c>
    </row>
    <row r="127" spans="1:23" x14ac:dyDescent="0.25">
      <c r="A127" t="s">
        <v>31</v>
      </c>
      <c r="B127" t="s">
        <v>32</v>
      </c>
      <c r="C127" t="s">
        <v>33</v>
      </c>
      <c r="D127" t="s">
        <v>34</v>
      </c>
      <c r="E127" t="s">
        <v>35</v>
      </c>
      <c r="F127" t="s">
        <v>36</v>
      </c>
      <c r="G127">
        <v>1141685</v>
      </c>
      <c r="H127" t="s">
        <v>76</v>
      </c>
      <c r="I127" t="s">
        <v>95</v>
      </c>
      <c r="J127" t="s">
        <v>99</v>
      </c>
      <c r="K127" t="s">
        <v>109</v>
      </c>
      <c r="L127" s="1">
        <v>46143</v>
      </c>
      <c r="M127" s="1">
        <v>46173</v>
      </c>
      <c r="N127">
        <v>167</v>
      </c>
      <c r="O127" t="s">
        <v>58</v>
      </c>
      <c r="P127" t="s">
        <v>63</v>
      </c>
      <c r="Q127" t="s">
        <v>3079</v>
      </c>
      <c r="R127" t="s">
        <v>3076</v>
      </c>
      <c r="S127" t="s">
        <v>67</v>
      </c>
      <c r="T127" t="s">
        <v>3123</v>
      </c>
      <c r="U127" t="s">
        <v>3124</v>
      </c>
      <c r="V127">
        <v>16</v>
      </c>
      <c r="W127" s="2">
        <v>0</v>
      </c>
    </row>
    <row r="128" spans="1:23" x14ac:dyDescent="0.25">
      <c r="A128" t="s">
        <v>31</v>
      </c>
      <c r="B128" t="s">
        <v>32</v>
      </c>
      <c r="C128" t="s">
        <v>33</v>
      </c>
      <c r="D128" t="s">
        <v>34</v>
      </c>
      <c r="E128" t="s">
        <v>35</v>
      </c>
      <c r="F128" t="s">
        <v>36</v>
      </c>
      <c r="G128">
        <v>1141685</v>
      </c>
      <c r="H128" t="s">
        <v>76</v>
      </c>
      <c r="I128" t="s">
        <v>95</v>
      </c>
      <c r="J128" t="s">
        <v>99</v>
      </c>
      <c r="K128" t="s">
        <v>109</v>
      </c>
      <c r="L128" s="1">
        <v>46143</v>
      </c>
      <c r="M128" s="1">
        <v>46173</v>
      </c>
      <c r="N128">
        <v>76</v>
      </c>
      <c r="O128" t="s">
        <v>58</v>
      </c>
      <c r="P128" t="s">
        <v>63</v>
      </c>
      <c r="Q128" t="s">
        <v>3079</v>
      </c>
      <c r="R128" t="s">
        <v>3076</v>
      </c>
      <c r="S128" t="s">
        <v>67</v>
      </c>
      <c r="T128" t="s">
        <v>3123</v>
      </c>
      <c r="U128" t="s">
        <v>3124</v>
      </c>
      <c r="V128">
        <v>16</v>
      </c>
      <c r="W128" s="2">
        <v>0</v>
      </c>
    </row>
    <row r="129" spans="1:23" x14ac:dyDescent="0.25">
      <c r="A129" t="s">
        <v>31</v>
      </c>
      <c r="B129" t="s">
        <v>32</v>
      </c>
      <c r="C129" t="s">
        <v>33</v>
      </c>
      <c r="D129" t="s">
        <v>34</v>
      </c>
      <c r="E129" t="s">
        <v>35</v>
      </c>
      <c r="F129" t="s">
        <v>36</v>
      </c>
      <c r="G129">
        <v>1141685</v>
      </c>
      <c r="H129" t="s">
        <v>76</v>
      </c>
      <c r="I129" t="s">
        <v>95</v>
      </c>
      <c r="J129" t="s">
        <v>99</v>
      </c>
      <c r="K129" t="s">
        <v>109</v>
      </c>
      <c r="L129" s="1">
        <v>46143</v>
      </c>
      <c r="M129" s="1">
        <v>46173</v>
      </c>
      <c r="N129">
        <v>360</v>
      </c>
      <c r="O129" t="s">
        <v>58</v>
      </c>
      <c r="P129" t="s">
        <v>63</v>
      </c>
      <c r="Q129" t="s">
        <v>3079</v>
      </c>
      <c r="R129" t="s">
        <v>3080</v>
      </c>
      <c r="S129" t="s">
        <v>67</v>
      </c>
      <c r="T129" t="s">
        <v>3081</v>
      </c>
      <c r="U129" t="s">
        <v>3082</v>
      </c>
      <c r="V129">
        <v>16</v>
      </c>
      <c r="W129" s="2">
        <v>0</v>
      </c>
    </row>
    <row r="130" spans="1:23" x14ac:dyDescent="0.25">
      <c r="A130" t="s">
        <v>31</v>
      </c>
      <c r="B130" t="s">
        <v>32</v>
      </c>
      <c r="C130" t="s">
        <v>33</v>
      </c>
      <c r="D130" t="s">
        <v>34</v>
      </c>
      <c r="E130" t="s">
        <v>35</v>
      </c>
      <c r="F130" t="s">
        <v>36</v>
      </c>
      <c r="G130">
        <v>1141685</v>
      </c>
      <c r="H130" t="s">
        <v>76</v>
      </c>
      <c r="I130" t="s">
        <v>95</v>
      </c>
      <c r="J130" t="s">
        <v>99</v>
      </c>
      <c r="K130" t="s">
        <v>109</v>
      </c>
      <c r="L130" s="1">
        <v>46143</v>
      </c>
      <c r="M130" s="1">
        <v>46173</v>
      </c>
      <c r="N130">
        <v>167</v>
      </c>
      <c r="O130" t="s">
        <v>58</v>
      </c>
      <c r="P130" t="s">
        <v>63</v>
      </c>
      <c r="Q130" t="s">
        <v>3079</v>
      </c>
      <c r="R130" t="s">
        <v>3080</v>
      </c>
      <c r="S130" t="s">
        <v>67</v>
      </c>
      <c r="T130" t="s">
        <v>3081</v>
      </c>
      <c r="U130" t="s">
        <v>3082</v>
      </c>
      <c r="V130">
        <v>16</v>
      </c>
      <c r="W130" s="2">
        <v>0</v>
      </c>
    </row>
    <row r="131" spans="1:23" x14ac:dyDescent="0.25">
      <c r="A131" t="s">
        <v>31</v>
      </c>
      <c r="B131" t="s">
        <v>32</v>
      </c>
      <c r="C131" t="s">
        <v>33</v>
      </c>
      <c r="D131" t="s">
        <v>34</v>
      </c>
      <c r="E131" t="s">
        <v>35</v>
      </c>
      <c r="F131" t="s">
        <v>36</v>
      </c>
      <c r="G131">
        <v>1141685</v>
      </c>
      <c r="H131" t="s">
        <v>76</v>
      </c>
      <c r="I131" t="s">
        <v>95</v>
      </c>
      <c r="J131" t="s">
        <v>99</v>
      </c>
      <c r="K131" t="s">
        <v>109</v>
      </c>
      <c r="L131" s="1">
        <v>46143</v>
      </c>
      <c r="M131" s="1">
        <v>46173</v>
      </c>
      <c r="N131">
        <v>359</v>
      </c>
      <c r="O131" t="s">
        <v>58</v>
      </c>
      <c r="P131" t="s">
        <v>63</v>
      </c>
      <c r="Q131" t="s">
        <v>3079</v>
      </c>
      <c r="R131" t="s">
        <v>3080</v>
      </c>
      <c r="S131" t="s">
        <v>67</v>
      </c>
      <c r="T131" t="s">
        <v>3081</v>
      </c>
      <c r="U131" t="s">
        <v>3082</v>
      </c>
      <c r="V131">
        <v>16</v>
      </c>
      <c r="W131" s="2">
        <v>0</v>
      </c>
    </row>
    <row r="132" spans="1:23" x14ac:dyDescent="0.25">
      <c r="A132" t="s">
        <v>31</v>
      </c>
      <c r="B132" t="s">
        <v>32</v>
      </c>
      <c r="C132" t="s">
        <v>33</v>
      </c>
      <c r="D132" t="s">
        <v>34</v>
      </c>
      <c r="E132" t="s">
        <v>35</v>
      </c>
      <c r="F132" t="s">
        <v>36</v>
      </c>
      <c r="G132">
        <v>1141685</v>
      </c>
      <c r="H132" t="s">
        <v>76</v>
      </c>
      <c r="I132" t="s">
        <v>95</v>
      </c>
      <c r="J132" t="s">
        <v>99</v>
      </c>
      <c r="K132" t="s">
        <v>109</v>
      </c>
      <c r="L132" s="1">
        <v>46143</v>
      </c>
      <c r="M132" s="1">
        <v>46173</v>
      </c>
      <c r="N132">
        <v>24</v>
      </c>
      <c r="O132" t="s">
        <v>58</v>
      </c>
      <c r="P132" t="s">
        <v>63</v>
      </c>
      <c r="Q132" t="s">
        <v>3079</v>
      </c>
      <c r="R132" t="s">
        <v>3080</v>
      </c>
      <c r="S132" t="s">
        <v>67</v>
      </c>
      <c r="T132" t="s">
        <v>3081</v>
      </c>
      <c r="U132" t="s">
        <v>3082</v>
      </c>
      <c r="V132">
        <v>16</v>
      </c>
      <c r="W132" s="2">
        <v>0</v>
      </c>
    </row>
    <row r="133" spans="1:23" x14ac:dyDescent="0.25">
      <c r="A133" t="s">
        <v>31</v>
      </c>
      <c r="B133" t="s">
        <v>32</v>
      </c>
      <c r="C133" t="s">
        <v>33</v>
      </c>
      <c r="D133" t="s">
        <v>34</v>
      </c>
      <c r="E133" t="s">
        <v>35</v>
      </c>
      <c r="F133" t="s">
        <v>36</v>
      </c>
      <c r="G133">
        <v>1141685</v>
      </c>
      <c r="H133" t="s">
        <v>76</v>
      </c>
      <c r="I133" t="s">
        <v>95</v>
      </c>
      <c r="J133" t="s">
        <v>99</v>
      </c>
      <c r="K133" t="s">
        <v>109</v>
      </c>
      <c r="L133" s="1">
        <v>46143</v>
      </c>
      <c r="M133" s="1">
        <v>46173</v>
      </c>
      <c r="N133">
        <v>76</v>
      </c>
      <c r="O133" t="s">
        <v>58</v>
      </c>
      <c r="P133" t="s">
        <v>63</v>
      </c>
      <c r="Q133" t="s">
        <v>3079</v>
      </c>
      <c r="R133" t="s">
        <v>3080</v>
      </c>
      <c r="S133" t="s">
        <v>67</v>
      </c>
      <c r="T133" t="s">
        <v>3081</v>
      </c>
      <c r="U133" t="s">
        <v>3082</v>
      </c>
      <c r="V133">
        <v>16</v>
      </c>
      <c r="W133" s="2">
        <v>0</v>
      </c>
    </row>
    <row r="134" spans="1:23" x14ac:dyDescent="0.25">
      <c r="A134" t="s">
        <v>31</v>
      </c>
      <c r="B134" t="s">
        <v>32</v>
      </c>
      <c r="C134" t="s">
        <v>33</v>
      </c>
      <c r="D134" t="s">
        <v>34</v>
      </c>
      <c r="E134" t="s">
        <v>35</v>
      </c>
      <c r="F134" t="s">
        <v>36</v>
      </c>
      <c r="G134">
        <v>1141685</v>
      </c>
      <c r="H134" t="s">
        <v>76</v>
      </c>
      <c r="I134" t="s">
        <v>95</v>
      </c>
      <c r="J134" t="s">
        <v>99</v>
      </c>
      <c r="K134" t="s">
        <v>109</v>
      </c>
      <c r="L134" s="1">
        <v>46143</v>
      </c>
      <c r="M134" s="1">
        <v>46173</v>
      </c>
      <c r="N134">
        <v>166</v>
      </c>
      <c r="O134" t="s">
        <v>58</v>
      </c>
      <c r="P134" t="s">
        <v>63</v>
      </c>
      <c r="Q134" t="s">
        <v>3079</v>
      </c>
      <c r="R134" t="s">
        <v>3080</v>
      </c>
      <c r="S134" t="s">
        <v>67</v>
      </c>
      <c r="T134" t="s">
        <v>3081</v>
      </c>
      <c r="U134" t="s">
        <v>3082</v>
      </c>
      <c r="V134">
        <v>16</v>
      </c>
      <c r="W134" s="2">
        <v>0</v>
      </c>
    </row>
    <row r="135" spans="1:23" x14ac:dyDescent="0.25">
      <c r="A135" t="s">
        <v>31</v>
      </c>
      <c r="B135" t="s">
        <v>32</v>
      </c>
      <c r="C135" t="s">
        <v>33</v>
      </c>
      <c r="D135" t="s">
        <v>34</v>
      </c>
      <c r="E135" t="s">
        <v>35</v>
      </c>
      <c r="F135" t="s">
        <v>36</v>
      </c>
      <c r="G135">
        <v>1141685</v>
      </c>
      <c r="H135" t="s">
        <v>80</v>
      </c>
      <c r="I135" t="s">
        <v>96</v>
      </c>
      <c r="J135" t="s">
        <v>80</v>
      </c>
      <c r="K135" t="s">
        <v>115</v>
      </c>
      <c r="L135" s="1">
        <v>46143</v>
      </c>
      <c r="M135" s="1">
        <v>46173</v>
      </c>
      <c r="N135">
        <v>8.7437219999999996E-4</v>
      </c>
      <c r="O135" t="s">
        <v>56</v>
      </c>
      <c r="P135" t="s">
        <v>63</v>
      </c>
      <c r="Q135" t="s">
        <v>3075</v>
      </c>
      <c r="R135" t="s">
        <v>3080</v>
      </c>
      <c r="S135" t="s">
        <v>67</v>
      </c>
      <c r="T135" t="s">
        <v>3267</v>
      </c>
      <c r="U135" t="s">
        <v>3268</v>
      </c>
      <c r="V135">
        <v>16</v>
      </c>
      <c r="W135" s="2">
        <v>0.15423781689999999</v>
      </c>
    </row>
    <row r="136" spans="1:23" x14ac:dyDescent="0.25">
      <c r="A136" t="s">
        <v>31</v>
      </c>
      <c r="B136" t="s">
        <v>32</v>
      </c>
      <c r="C136" t="s">
        <v>33</v>
      </c>
      <c r="D136" t="s">
        <v>34</v>
      </c>
      <c r="E136" t="s">
        <v>35</v>
      </c>
      <c r="F136" t="s">
        <v>36</v>
      </c>
      <c r="G136">
        <v>1141685</v>
      </c>
      <c r="H136" t="s">
        <v>80</v>
      </c>
      <c r="I136" t="s">
        <v>96</v>
      </c>
      <c r="J136" t="s">
        <v>80</v>
      </c>
      <c r="K136" t="s">
        <v>115</v>
      </c>
      <c r="L136" s="1">
        <v>46143</v>
      </c>
      <c r="M136" s="1">
        <v>46173</v>
      </c>
      <c r="N136">
        <v>0.19393955730000001</v>
      </c>
      <c r="O136" t="s">
        <v>56</v>
      </c>
      <c r="P136" t="s">
        <v>63</v>
      </c>
      <c r="Q136" t="s">
        <v>3075</v>
      </c>
      <c r="R136" t="s">
        <v>3080</v>
      </c>
      <c r="S136" t="s">
        <v>67</v>
      </c>
      <c r="T136" t="s">
        <v>3269</v>
      </c>
      <c r="U136" t="s">
        <v>3270</v>
      </c>
      <c r="V136">
        <v>15</v>
      </c>
      <c r="W136" s="2">
        <v>33.834531745900001</v>
      </c>
    </row>
    <row r="137" spans="1:23" x14ac:dyDescent="0.25">
      <c r="A137" t="s">
        <v>31</v>
      </c>
      <c r="B137" t="s">
        <v>32</v>
      </c>
      <c r="C137" t="s">
        <v>33</v>
      </c>
      <c r="D137" t="s">
        <v>34</v>
      </c>
      <c r="E137" t="s">
        <v>35</v>
      </c>
      <c r="F137" t="s">
        <v>36</v>
      </c>
      <c r="G137">
        <v>1141685</v>
      </c>
      <c r="H137" t="s">
        <v>76</v>
      </c>
      <c r="I137" t="s">
        <v>95</v>
      </c>
      <c r="J137" t="s">
        <v>99</v>
      </c>
      <c r="K137" t="s">
        <v>109</v>
      </c>
      <c r="L137" s="1">
        <v>46143</v>
      </c>
      <c r="M137" s="1">
        <v>46173</v>
      </c>
      <c r="N137">
        <v>1.9000000000000001E-5</v>
      </c>
      <c r="O137" t="s">
        <v>58</v>
      </c>
      <c r="P137" t="s">
        <v>63</v>
      </c>
      <c r="Q137" t="s">
        <v>3079</v>
      </c>
      <c r="R137" t="s">
        <v>3087</v>
      </c>
      <c r="S137" t="s">
        <v>67</v>
      </c>
      <c r="T137" t="s">
        <v>3088</v>
      </c>
      <c r="U137" t="s">
        <v>3089</v>
      </c>
      <c r="V137">
        <v>17</v>
      </c>
      <c r="W137" s="2">
        <v>0</v>
      </c>
    </row>
    <row r="138" spans="1:23" x14ac:dyDescent="0.25">
      <c r="A138" t="s">
        <v>31</v>
      </c>
      <c r="B138" t="s">
        <v>32</v>
      </c>
      <c r="C138" t="s">
        <v>33</v>
      </c>
      <c r="D138" t="s">
        <v>34</v>
      </c>
      <c r="E138" t="s">
        <v>35</v>
      </c>
      <c r="F138" t="s">
        <v>36</v>
      </c>
      <c r="G138">
        <v>1141685</v>
      </c>
      <c r="H138" t="s">
        <v>76</v>
      </c>
      <c r="I138" t="s">
        <v>95</v>
      </c>
      <c r="J138" t="s">
        <v>99</v>
      </c>
      <c r="K138" t="s">
        <v>109</v>
      </c>
      <c r="L138" s="1">
        <v>46143</v>
      </c>
      <c r="M138" s="1">
        <v>46173</v>
      </c>
      <c r="N138">
        <v>0.20000399999999999</v>
      </c>
      <c r="O138" t="s">
        <v>58</v>
      </c>
      <c r="P138" t="s">
        <v>63</v>
      </c>
      <c r="Q138" t="s">
        <v>3079</v>
      </c>
      <c r="R138" t="s">
        <v>3087</v>
      </c>
      <c r="S138" t="s">
        <v>67</v>
      </c>
      <c r="T138" t="s">
        <v>3088</v>
      </c>
      <c r="U138" t="s">
        <v>3089</v>
      </c>
      <c r="V138">
        <v>17</v>
      </c>
      <c r="W138" s="2">
        <v>0</v>
      </c>
    </row>
    <row r="139" spans="1:23" x14ac:dyDescent="0.25">
      <c r="A139" t="s">
        <v>31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>
        <v>1141685</v>
      </c>
      <c r="H139" t="s">
        <v>76</v>
      </c>
      <c r="I139" t="s">
        <v>95</v>
      </c>
      <c r="J139" t="s">
        <v>99</v>
      </c>
      <c r="K139" t="s">
        <v>109</v>
      </c>
      <c r="L139" s="1">
        <v>46143</v>
      </c>
      <c r="M139" s="1">
        <v>46173</v>
      </c>
      <c r="N139">
        <v>0.98335300000000003</v>
      </c>
      <c r="O139" t="s">
        <v>58</v>
      </c>
      <c r="P139" t="s">
        <v>63</v>
      </c>
      <c r="Q139" t="s">
        <v>3079</v>
      </c>
      <c r="R139" t="s">
        <v>3087</v>
      </c>
      <c r="S139" t="s">
        <v>67</v>
      </c>
      <c r="T139" t="s">
        <v>3121</v>
      </c>
      <c r="U139" t="s">
        <v>3122</v>
      </c>
      <c r="V139">
        <v>16</v>
      </c>
      <c r="W139" s="2">
        <v>0</v>
      </c>
    </row>
    <row r="140" spans="1:23" x14ac:dyDescent="0.25">
      <c r="A140" t="s">
        <v>31</v>
      </c>
      <c r="B140" t="s">
        <v>32</v>
      </c>
      <c r="C140" t="s">
        <v>33</v>
      </c>
      <c r="D140" t="s">
        <v>34</v>
      </c>
      <c r="E140" t="s">
        <v>35</v>
      </c>
      <c r="F140" t="s">
        <v>36</v>
      </c>
      <c r="G140">
        <v>1141685</v>
      </c>
      <c r="H140" t="s">
        <v>76</v>
      </c>
      <c r="I140" t="s">
        <v>95</v>
      </c>
      <c r="J140" t="s">
        <v>99</v>
      </c>
      <c r="K140" t="s">
        <v>109</v>
      </c>
      <c r="L140" s="1">
        <v>46143</v>
      </c>
      <c r="M140" s="1">
        <v>46173</v>
      </c>
      <c r="N140">
        <v>119.950056</v>
      </c>
      <c r="O140" t="s">
        <v>58</v>
      </c>
      <c r="P140" t="s">
        <v>63</v>
      </c>
      <c r="Q140" t="s">
        <v>3079</v>
      </c>
      <c r="R140" t="s">
        <v>3076</v>
      </c>
      <c r="S140" t="s">
        <v>67</v>
      </c>
      <c r="T140" t="s">
        <v>3123</v>
      </c>
      <c r="U140" t="s">
        <v>3124</v>
      </c>
      <c r="V140">
        <v>16</v>
      </c>
      <c r="W140" s="2">
        <v>0</v>
      </c>
    </row>
    <row r="141" spans="1:23" x14ac:dyDescent="0.25">
      <c r="A141" t="s">
        <v>31</v>
      </c>
      <c r="B141" t="s">
        <v>32</v>
      </c>
      <c r="C141" t="s">
        <v>33</v>
      </c>
      <c r="D141" t="s">
        <v>34</v>
      </c>
      <c r="E141" t="s">
        <v>35</v>
      </c>
      <c r="F141" t="s">
        <v>36</v>
      </c>
      <c r="G141">
        <v>1141685</v>
      </c>
      <c r="H141" t="s">
        <v>76</v>
      </c>
      <c r="I141" t="s">
        <v>95</v>
      </c>
      <c r="J141" t="s">
        <v>99</v>
      </c>
      <c r="K141" t="s">
        <v>109</v>
      </c>
      <c r="L141" s="1">
        <v>46143</v>
      </c>
      <c r="M141" s="1">
        <v>46173</v>
      </c>
      <c r="N141">
        <v>133</v>
      </c>
      <c r="O141" t="s">
        <v>58</v>
      </c>
      <c r="P141" t="s">
        <v>63</v>
      </c>
      <c r="Q141" t="s">
        <v>3079</v>
      </c>
      <c r="R141" t="s">
        <v>3076</v>
      </c>
      <c r="S141" t="s">
        <v>67</v>
      </c>
      <c r="T141" t="s">
        <v>3271</v>
      </c>
      <c r="U141" t="s">
        <v>3272</v>
      </c>
      <c r="V141">
        <v>15</v>
      </c>
      <c r="W141" s="2">
        <v>0</v>
      </c>
    </row>
    <row r="142" spans="1:23" x14ac:dyDescent="0.25">
      <c r="A142" t="s">
        <v>31</v>
      </c>
      <c r="B142" t="s">
        <v>32</v>
      </c>
      <c r="C142" t="s">
        <v>33</v>
      </c>
      <c r="D142" t="s">
        <v>34</v>
      </c>
      <c r="E142" t="s">
        <v>35</v>
      </c>
      <c r="F142" t="s">
        <v>36</v>
      </c>
      <c r="G142">
        <v>1141685</v>
      </c>
      <c r="H142" t="s">
        <v>76</v>
      </c>
      <c r="I142" t="s">
        <v>95</v>
      </c>
      <c r="J142" t="s">
        <v>99</v>
      </c>
      <c r="K142" t="s">
        <v>109</v>
      </c>
      <c r="L142" s="1">
        <v>46143</v>
      </c>
      <c r="M142" s="1">
        <v>46173</v>
      </c>
      <c r="N142">
        <v>137.98335299999999</v>
      </c>
      <c r="O142" t="s">
        <v>58</v>
      </c>
      <c r="P142" t="s">
        <v>63</v>
      </c>
      <c r="Q142" t="s">
        <v>3079</v>
      </c>
      <c r="R142" t="s">
        <v>3076</v>
      </c>
      <c r="S142" t="s">
        <v>67</v>
      </c>
      <c r="T142" t="s">
        <v>3271</v>
      </c>
      <c r="U142" t="s">
        <v>3272</v>
      </c>
      <c r="V142">
        <v>15</v>
      </c>
      <c r="W142" s="2">
        <v>0</v>
      </c>
    </row>
    <row r="143" spans="1:23" x14ac:dyDescent="0.25">
      <c r="A143" t="s">
        <v>31</v>
      </c>
      <c r="B143" t="s">
        <v>32</v>
      </c>
      <c r="C143" t="s">
        <v>33</v>
      </c>
      <c r="D143" t="s">
        <v>34</v>
      </c>
      <c r="E143" t="s">
        <v>35</v>
      </c>
      <c r="F143" t="s">
        <v>36</v>
      </c>
      <c r="G143">
        <v>1141685</v>
      </c>
      <c r="H143" t="s">
        <v>76</v>
      </c>
      <c r="I143" t="s">
        <v>95</v>
      </c>
      <c r="J143" t="s">
        <v>99</v>
      </c>
      <c r="K143" t="s">
        <v>109</v>
      </c>
      <c r="L143" s="1">
        <v>46143</v>
      </c>
      <c r="M143" s="1">
        <v>46173</v>
      </c>
      <c r="N143">
        <v>168</v>
      </c>
      <c r="O143" t="s">
        <v>58</v>
      </c>
      <c r="P143" t="s">
        <v>63</v>
      </c>
      <c r="Q143" t="s">
        <v>3079</v>
      </c>
      <c r="R143" t="s">
        <v>3080</v>
      </c>
      <c r="S143" t="s">
        <v>67</v>
      </c>
      <c r="T143" t="s">
        <v>3081</v>
      </c>
      <c r="U143" t="s">
        <v>3082</v>
      </c>
      <c r="V143">
        <v>16</v>
      </c>
      <c r="W143" s="2">
        <v>0</v>
      </c>
    </row>
    <row r="144" spans="1:23" x14ac:dyDescent="0.25">
      <c r="A144" t="s">
        <v>31</v>
      </c>
      <c r="B144" t="s">
        <v>32</v>
      </c>
      <c r="C144" t="s">
        <v>33</v>
      </c>
      <c r="D144" t="s">
        <v>34</v>
      </c>
      <c r="E144" t="s">
        <v>35</v>
      </c>
      <c r="F144" t="s">
        <v>36</v>
      </c>
      <c r="G144">
        <v>1141685</v>
      </c>
      <c r="H144" t="s">
        <v>76</v>
      </c>
      <c r="I144" t="s">
        <v>95</v>
      </c>
      <c r="J144" t="s">
        <v>99</v>
      </c>
      <c r="K144" t="s">
        <v>109</v>
      </c>
      <c r="L144" s="1">
        <v>46143</v>
      </c>
      <c r="M144" s="1">
        <v>46173</v>
      </c>
      <c r="N144">
        <v>77</v>
      </c>
      <c r="O144" t="s">
        <v>58</v>
      </c>
      <c r="P144" t="s">
        <v>63</v>
      </c>
      <c r="Q144" t="s">
        <v>3079</v>
      </c>
      <c r="R144" t="s">
        <v>3080</v>
      </c>
      <c r="S144" t="s">
        <v>67</v>
      </c>
      <c r="T144" t="s">
        <v>3081</v>
      </c>
      <c r="U144" t="s">
        <v>3082</v>
      </c>
      <c r="V144">
        <v>16</v>
      </c>
      <c r="W144" s="2">
        <v>0</v>
      </c>
    </row>
    <row r="145" spans="1:23" x14ac:dyDescent="0.25">
      <c r="A145" t="s">
        <v>31</v>
      </c>
      <c r="B145" t="s">
        <v>32</v>
      </c>
      <c r="C145" t="s">
        <v>33</v>
      </c>
      <c r="D145" t="s">
        <v>34</v>
      </c>
      <c r="E145" t="s">
        <v>35</v>
      </c>
      <c r="F145" t="s">
        <v>36</v>
      </c>
      <c r="G145">
        <v>1141685</v>
      </c>
      <c r="H145" t="s">
        <v>86</v>
      </c>
      <c r="I145" t="s">
        <v>42</v>
      </c>
      <c r="J145" t="s">
        <v>86</v>
      </c>
      <c r="K145" t="s">
        <v>124</v>
      </c>
      <c r="L145" s="1">
        <v>46143</v>
      </c>
      <c r="M145" s="1">
        <v>46173</v>
      </c>
      <c r="N145">
        <v>8.0599999999999997E-4</v>
      </c>
      <c r="O145" t="s">
        <v>135</v>
      </c>
      <c r="P145" t="s">
        <v>63</v>
      </c>
      <c r="Q145" t="s">
        <v>3079</v>
      </c>
      <c r="R145" t="s">
        <v>3273</v>
      </c>
      <c r="S145" t="s">
        <v>67</v>
      </c>
      <c r="T145" t="s">
        <v>3274</v>
      </c>
      <c r="U145" t="s">
        <v>3275</v>
      </c>
      <c r="V145">
        <v>17</v>
      </c>
      <c r="W145" s="2">
        <v>277.1534889248</v>
      </c>
    </row>
    <row r="146" spans="1:23" x14ac:dyDescent="0.25">
      <c r="A146" t="s">
        <v>31</v>
      </c>
      <c r="B146" t="s">
        <v>32</v>
      </c>
      <c r="C146" t="s">
        <v>33</v>
      </c>
      <c r="D146" t="s">
        <v>34</v>
      </c>
      <c r="E146" t="s">
        <v>35</v>
      </c>
      <c r="F146" t="s">
        <v>36</v>
      </c>
      <c r="G146">
        <v>1141685</v>
      </c>
      <c r="H146" t="s">
        <v>76</v>
      </c>
      <c r="I146" t="s">
        <v>95</v>
      </c>
      <c r="J146" t="s">
        <v>99</v>
      </c>
      <c r="K146" t="s">
        <v>109</v>
      </c>
      <c r="L146" s="1">
        <v>46143</v>
      </c>
      <c r="M146" s="1">
        <v>46173</v>
      </c>
      <c r="N146">
        <v>1.6646999999999999E-2</v>
      </c>
      <c r="O146" t="s">
        <v>58</v>
      </c>
      <c r="P146" t="s">
        <v>63</v>
      </c>
      <c r="Q146" t="s">
        <v>3079</v>
      </c>
      <c r="R146" t="s">
        <v>3076</v>
      </c>
      <c r="S146" t="s">
        <v>67</v>
      </c>
      <c r="T146" t="s">
        <v>3271</v>
      </c>
      <c r="U146" t="s">
        <v>3272</v>
      </c>
      <c r="V146">
        <v>15</v>
      </c>
      <c r="W146" s="2">
        <v>0</v>
      </c>
    </row>
    <row r="147" spans="1:23" x14ac:dyDescent="0.25">
      <c r="A147" t="s">
        <v>31</v>
      </c>
      <c r="B147" t="s">
        <v>32</v>
      </c>
      <c r="C147" t="s">
        <v>33</v>
      </c>
      <c r="D147" t="s">
        <v>34</v>
      </c>
      <c r="E147" t="s">
        <v>35</v>
      </c>
      <c r="F147" t="s">
        <v>36</v>
      </c>
      <c r="G147">
        <v>1141685</v>
      </c>
      <c r="H147" t="s">
        <v>76</v>
      </c>
      <c r="I147" t="s">
        <v>95</v>
      </c>
      <c r="J147" t="s">
        <v>99</v>
      </c>
      <c r="K147" t="s">
        <v>109</v>
      </c>
      <c r="L147" s="1">
        <v>46143</v>
      </c>
      <c r="M147" s="1">
        <v>46173</v>
      </c>
      <c r="N147">
        <v>76</v>
      </c>
      <c r="O147" t="s">
        <v>58</v>
      </c>
      <c r="P147" t="s">
        <v>63</v>
      </c>
      <c r="Q147" t="s">
        <v>3079</v>
      </c>
      <c r="R147" t="s">
        <v>3080</v>
      </c>
      <c r="S147" t="s">
        <v>67</v>
      </c>
      <c r="T147" t="s">
        <v>3081</v>
      </c>
      <c r="U147" t="s">
        <v>3082</v>
      </c>
      <c r="V147">
        <v>16</v>
      </c>
      <c r="W147" s="2">
        <v>0</v>
      </c>
    </row>
    <row r="148" spans="1:23" x14ac:dyDescent="0.25">
      <c r="A148" t="s">
        <v>31</v>
      </c>
      <c r="B148" t="s">
        <v>32</v>
      </c>
      <c r="C148" t="s">
        <v>33</v>
      </c>
      <c r="D148" t="s">
        <v>34</v>
      </c>
      <c r="E148" t="s">
        <v>35</v>
      </c>
      <c r="F148" t="s">
        <v>36</v>
      </c>
      <c r="G148">
        <v>1141685</v>
      </c>
      <c r="H148" t="s">
        <v>76</v>
      </c>
      <c r="I148" t="s">
        <v>95</v>
      </c>
      <c r="J148" t="s">
        <v>99</v>
      </c>
      <c r="K148" t="s">
        <v>109</v>
      </c>
      <c r="L148" s="1">
        <v>46143</v>
      </c>
      <c r="M148" s="1">
        <v>46173</v>
      </c>
      <c r="N148">
        <v>360</v>
      </c>
      <c r="O148" t="s">
        <v>58</v>
      </c>
      <c r="P148" t="s">
        <v>63</v>
      </c>
      <c r="Q148" t="s">
        <v>3079</v>
      </c>
      <c r="R148" t="s">
        <v>3080</v>
      </c>
      <c r="S148" t="s">
        <v>67</v>
      </c>
      <c r="T148" t="s">
        <v>3081</v>
      </c>
      <c r="U148" t="s">
        <v>3082</v>
      </c>
      <c r="V148">
        <v>16</v>
      </c>
      <c r="W148" s="2">
        <v>0</v>
      </c>
    </row>
    <row r="149" spans="1:23" x14ac:dyDescent="0.25">
      <c r="A149" t="s">
        <v>31</v>
      </c>
      <c r="B149" t="s">
        <v>32</v>
      </c>
      <c r="C149" t="s">
        <v>33</v>
      </c>
      <c r="D149" t="s">
        <v>34</v>
      </c>
      <c r="E149" t="s">
        <v>35</v>
      </c>
      <c r="F149" t="s">
        <v>36</v>
      </c>
      <c r="G149">
        <v>1141685</v>
      </c>
      <c r="H149" t="s">
        <v>76</v>
      </c>
      <c r="I149" t="s">
        <v>95</v>
      </c>
      <c r="J149" t="s">
        <v>99</v>
      </c>
      <c r="K149" t="s">
        <v>109</v>
      </c>
      <c r="L149" s="1">
        <v>46143</v>
      </c>
      <c r="M149" s="1">
        <v>46173</v>
      </c>
      <c r="N149">
        <v>138</v>
      </c>
      <c r="O149" t="s">
        <v>58</v>
      </c>
      <c r="P149" t="s">
        <v>63</v>
      </c>
      <c r="Q149" t="s">
        <v>3079</v>
      </c>
      <c r="R149" t="s">
        <v>3080</v>
      </c>
      <c r="S149" t="s">
        <v>67</v>
      </c>
      <c r="T149" t="s">
        <v>3178</v>
      </c>
      <c r="U149" t="s">
        <v>3179</v>
      </c>
      <c r="V149">
        <v>15</v>
      </c>
      <c r="W149" s="2">
        <v>0</v>
      </c>
    </row>
    <row r="150" spans="1:23" x14ac:dyDescent="0.25">
      <c r="A150" t="s">
        <v>31</v>
      </c>
      <c r="B150" t="s">
        <v>32</v>
      </c>
      <c r="C150" t="s">
        <v>33</v>
      </c>
      <c r="D150" t="s">
        <v>34</v>
      </c>
      <c r="E150" t="s">
        <v>35</v>
      </c>
      <c r="F150" t="s">
        <v>36</v>
      </c>
      <c r="G150">
        <v>1141685</v>
      </c>
      <c r="H150" t="s">
        <v>76</v>
      </c>
      <c r="I150" t="s">
        <v>95</v>
      </c>
      <c r="J150" t="s">
        <v>99</v>
      </c>
      <c r="K150" t="s">
        <v>109</v>
      </c>
      <c r="L150" s="1">
        <v>46143</v>
      </c>
      <c r="M150" s="1">
        <v>46173</v>
      </c>
      <c r="N150">
        <v>0.98335300000000003</v>
      </c>
      <c r="O150" t="s">
        <v>58</v>
      </c>
      <c r="P150" t="s">
        <v>63</v>
      </c>
      <c r="Q150" t="s">
        <v>3079</v>
      </c>
      <c r="R150" t="s">
        <v>3080</v>
      </c>
      <c r="S150" t="s">
        <v>67</v>
      </c>
      <c r="T150" t="s">
        <v>3178</v>
      </c>
      <c r="U150" t="s">
        <v>3179</v>
      </c>
      <c r="V150">
        <v>15</v>
      </c>
      <c r="W150" s="2">
        <v>0</v>
      </c>
    </row>
    <row r="151" spans="1:23" x14ac:dyDescent="0.25">
      <c r="A151" t="s">
        <v>31</v>
      </c>
      <c r="B151" t="s">
        <v>32</v>
      </c>
      <c r="C151" t="s">
        <v>33</v>
      </c>
      <c r="D151" t="s">
        <v>34</v>
      </c>
      <c r="E151" t="s">
        <v>35</v>
      </c>
      <c r="F151" t="s">
        <v>36</v>
      </c>
      <c r="G151">
        <v>1141685</v>
      </c>
      <c r="H151" t="s">
        <v>76</v>
      </c>
      <c r="I151" t="s">
        <v>95</v>
      </c>
      <c r="J151" t="s">
        <v>99</v>
      </c>
      <c r="K151" t="s">
        <v>109</v>
      </c>
      <c r="L151" s="1">
        <v>46143</v>
      </c>
      <c r="M151" s="1">
        <v>46173</v>
      </c>
      <c r="N151">
        <v>137</v>
      </c>
      <c r="O151" t="s">
        <v>58</v>
      </c>
      <c r="P151" t="s">
        <v>63</v>
      </c>
      <c r="Q151" t="s">
        <v>3079</v>
      </c>
      <c r="R151" t="s">
        <v>3080</v>
      </c>
      <c r="S151" t="s">
        <v>67</v>
      </c>
      <c r="T151" t="s">
        <v>3178</v>
      </c>
      <c r="U151" t="s">
        <v>3179</v>
      </c>
      <c r="V151">
        <v>15</v>
      </c>
      <c r="W151" s="2">
        <v>0</v>
      </c>
    </row>
    <row r="152" spans="1:23" x14ac:dyDescent="0.25">
      <c r="A152" t="s">
        <v>31</v>
      </c>
      <c r="B152" t="s">
        <v>32</v>
      </c>
      <c r="C152" t="s">
        <v>33</v>
      </c>
      <c r="D152" t="s">
        <v>34</v>
      </c>
      <c r="E152" t="s">
        <v>35</v>
      </c>
      <c r="F152" t="s">
        <v>36</v>
      </c>
      <c r="G152">
        <v>1141685</v>
      </c>
      <c r="H152" t="s">
        <v>77</v>
      </c>
      <c r="I152" t="s">
        <v>96</v>
      </c>
      <c r="J152" t="s">
        <v>77</v>
      </c>
      <c r="K152" t="s">
        <v>111</v>
      </c>
      <c r="L152" s="1">
        <v>46143</v>
      </c>
      <c r="M152" s="1">
        <v>46173</v>
      </c>
      <c r="N152">
        <v>10.9539725538</v>
      </c>
      <c r="O152" t="s">
        <v>56</v>
      </c>
      <c r="P152" t="s">
        <v>63</v>
      </c>
      <c r="Q152" t="s">
        <v>3075</v>
      </c>
      <c r="R152" t="s">
        <v>3080</v>
      </c>
      <c r="S152" t="s">
        <v>67</v>
      </c>
      <c r="T152" t="s">
        <v>3276</v>
      </c>
      <c r="U152" t="s">
        <v>3277</v>
      </c>
      <c r="V152">
        <v>16</v>
      </c>
      <c r="W152" s="2">
        <v>1911.0264455306999</v>
      </c>
    </row>
    <row r="153" spans="1:23" x14ac:dyDescent="0.25">
      <c r="A153" t="s">
        <v>31</v>
      </c>
      <c r="B153" t="s">
        <v>32</v>
      </c>
      <c r="C153" t="s">
        <v>33</v>
      </c>
      <c r="D153" t="s">
        <v>34</v>
      </c>
      <c r="E153" t="s">
        <v>35</v>
      </c>
      <c r="F153" t="s">
        <v>36</v>
      </c>
      <c r="G153">
        <v>1141685</v>
      </c>
      <c r="H153" t="s">
        <v>77</v>
      </c>
      <c r="I153" t="s">
        <v>96</v>
      </c>
      <c r="J153" t="s">
        <v>77</v>
      </c>
      <c r="K153" t="s">
        <v>111</v>
      </c>
      <c r="L153" s="1">
        <v>46143</v>
      </c>
      <c r="M153" s="1">
        <v>46173</v>
      </c>
      <c r="N153">
        <v>28.703725593200001</v>
      </c>
      <c r="O153" t="s">
        <v>56</v>
      </c>
      <c r="P153" t="s">
        <v>63</v>
      </c>
      <c r="Q153" t="s">
        <v>3075</v>
      </c>
      <c r="R153" t="s">
        <v>3080</v>
      </c>
      <c r="S153" t="s">
        <v>67</v>
      </c>
      <c r="T153" t="s">
        <v>3278</v>
      </c>
      <c r="U153" t="s">
        <v>3279</v>
      </c>
      <c r="V153">
        <v>16</v>
      </c>
      <c r="W153" s="2">
        <v>5007.6537309426003</v>
      </c>
    </row>
    <row r="154" spans="1:23" x14ac:dyDescent="0.25">
      <c r="A154" t="s">
        <v>31</v>
      </c>
      <c r="B154" t="s">
        <v>32</v>
      </c>
      <c r="C154" t="s">
        <v>33</v>
      </c>
      <c r="D154" t="s">
        <v>34</v>
      </c>
      <c r="E154" t="s">
        <v>35</v>
      </c>
      <c r="F154" t="s">
        <v>36</v>
      </c>
      <c r="G154">
        <v>1141685</v>
      </c>
      <c r="H154" t="s">
        <v>77</v>
      </c>
      <c r="I154" t="s">
        <v>96</v>
      </c>
      <c r="J154" t="s">
        <v>77</v>
      </c>
      <c r="K154" t="s">
        <v>111</v>
      </c>
      <c r="L154" s="1">
        <v>46143</v>
      </c>
      <c r="M154" s="1">
        <v>46173</v>
      </c>
      <c r="N154">
        <v>27.202791700100001</v>
      </c>
      <c r="O154" t="s">
        <v>56</v>
      </c>
      <c r="P154" t="s">
        <v>63</v>
      </c>
      <c r="Q154" t="s">
        <v>3075</v>
      </c>
      <c r="R154" t="s">
        <v>3080</v>
      </c>
      <c r="S154" t="s">
        <v>67</v>
      </c>
      <c r="T154" t="s">
        <v>3280</v>
      </c>
      <c r="U154" t="s">
        <v>3281</v>
      </c>
      <c r="V154">
        <v>16</v>
      </c>
      <c r="W154" s="2">
        <v>4745.8031552028997</v>
      </c>
    </row>
    <row r="155" spans="1:23" x14ac:dyDescent="0.25">
      <c r="A155" t="s">
        <v>31</v>
      </c>
      <c r="B155" t="s">
        <v>32</v>
      </c>
      <c r="C155" t="s">
        <v>33</v>
      </c>
      <c r="D155" t="s">
        <v>34</v>
      </c>
      <c r="E155" t="s">
        <v>35</v>
      </c>
      <c r="F155" t="s">
        <v>36</v>
      </c>
      <c r="G155">
        <v>1141685</v>
      </c>
      <c r="H155" t="s">
        <v>77</v>
      </c>
      <c r="I155" t="s">
        <v>96</v>
      </c>
      <c r="J155" t="s">
        <v>77</v>
      </c>
      <c r="K155" t="s">
        <v>113</v>
      </c>
      <c r="L155" s="1">
        <v>46143</v>
      </c>
      <c r="M155" s="1">
        <v>46173</v>
      </c>
      <c r="N155">
        <v>55.907114670600002</v>
      </c>
      <c r="O155" t="s">
        <v>56</v>
      </c>
      <c r="P155" t="s">
        <v>63</v>
      </c>
      <c r="Q155" t="s">
        <v>3075</v>
      </c>
      <c r="R155" t="s">
        <v>3080</v>
      </c>
      <c r="S155" t="s">
        <v>67</v>
      </c>
      <c r="T155" t="s">
        <v>3282</v>
      </c>
      <c r="U155" t="s">
        <v>3283</v>
      </c>
      <c r="V155">
        <v>16</v>
      </c>
      <c r="W155" s="2">
        <v>9753.5585983828005</v>
      </c>
    </row>
    <row r="156" spans="1:23" x14ac:dyDescent="0.25">
      <c r="A156" t="s">
        <v>31</v>
      </c>
      <c r="B156" t="s">
        <v>32</v>
      </c>
      <c r="C156" t="s">
        <v>33</v>
      </c>
      <c r="D156" t="s">
        <v>34</v>
      </c>
      <c r="E156" t="s">
        <v>35</v>
      </c>
      <c r="F156" t="s">
        <v>36</v>
      </c>
      <c r="G156">
        <v>1141685</v>
      </c>
      <c r="H156" t="s">
        <v>77</v>
      </c>
      <c r="I156" t="s">
        <v>96</v>
      </c>
      <c r="J156" t="s">
        <v>77</v>
      </c>
      <c r="K156" t="s">
        <v>113</v>
      </c>
      <c r="L156" s="1">
        <v>46143</v>
      </c>
      <c r="M156" s="1">
        <v>46173</v>
      </c>
      <c r="N156">
        <v>44.750154284799997</v>
      </c>
      <c r="O156" t="s">
        <v>56</v>
      </c>
      <c r="P156" t="s">
        <v>63</v>
      </c>
      <c r="Q156" t="s">
        <v>3075</v>
      </c>
      <c r="R156" t="s">
        <v>3080</v>
      </c>
      <c r="S156" t="s">
        <v>67</v>
      </c>
      <c r="T156" t="s">
        <v>3284</v>
      </c>
      <c r="U156" t="s">
        <v>3285</v>
      </c>
      <c r="V156">
        <v>15</v>
      </c>
      <c r="W156" s="2">
        <v>7807.1084865370003</v>
      </c>
    </row>
    <row r="157" spans="1:23" x14ac:dyDescent="0.25">
      <c r="A157" t="s">
        <v>31</v>
      </c>
      <c r="B157" t="s">
        <v>32</v>
      </c>
      <c r="C157" t="s">
        <v>33</v>
      </c>
      <c r="D157" t="s">
        <v>34</v>
      </c>
      <c r="E157" t="s">
        <v>35</v>
      </c>
      <c r="F157" t="s">
        <v>36</v>
      </c>
      <c r="G157">
        <v>1141685</v>
      </c>
      <c r="H157" t="s">
        <v>77</v>
      </c>
      <c r="I157" t="s">
        <v>96</v>
      </c>
      <c r="J157" t="s">
        <v>77</v>
      </c>
      <c r="K157" t="s">
        <v>113</v>
      </c>
      <c r="L157" s="1">
        <v>46143</v>
      </c>
      <c r="M157" s="1">
        <v>46173</v>
      </c>
      <c r="N157">
        <v>169.8025298519</v>
      </c>
      <c r="O157" t="s">
        <v>56</v>
      </c>
      <c r="P157" t="s">
        <v>63</v>
      </c>
      <c r="Q157" t="s">
        <v>3075</v>
      </c>
      <c r="R157" t="s">
        <v>3080</v>
      </c>
      <c r="S157" t="s">
        <v>67</v>
      </c>
      <c r="T157" t="s">
        <v>3286</v>
      </c>
      <c r="U157" t="s">
        <v>3287</v>
      </c>
      <c r="V157">
        <v>16</v>
      </c>
      <c r="W157" s="2">
        <v>29623.7494350079</v>
      </c>
    </row>
    <row r="158" spans="1:23" x14ac:dyDescent="0.25">
      <c r="A158" t="s">
        <v>31</v>
      </c>
      <c r="B158" t="s">
        <v>32</v>
      </c>
      <c r="C158" t="s">
        <v>33</v>
      </c>
      <c r="D158" t="s">
        <v>34</v>
      </c>
      <c r="E158" t="s">
        <v>35</v>
      </c>
      <c r="F158" t="s">
        <v>36</v>
      </c>
      <c r="G158">
        <v>1141685</v>
      </c>
      <c r="H158" t="s">
        <v>79</v>
      </c>
      <c r="I158" t="s">
        <v>94</v>
      </c>
      <c r="J158" t="s">
        <v>101</v>
      </c>
      <c r="K158" t="s">
        <v>116</v>
      </c>
      <c r="L158" s="1">
        <v>46143</v>
      </c>
      <c r="M158" s="1">
        <v>46173</v>
      </c>
      <c r="N158">
        <v>0.26443473899999997</v>
      </c>
      <c r="O158" t="s">
        <v>56</v>
      </c>
      <c r="P158" t="s">
        <v>63</v>
      </c>
      <c r="Q158" t="s">
        <v>3075</v>
      </c>
      <c r="R158" t="s">
        <v>3087</v>
      </c>
      <c r="S158" t="s">
        <v>67</v>
      </c>
      <c r="T158" t="s">
        <v>3288</v>
      </c>
      <c r="U158" t="s">
        <v>3289</v>
      </c>
      <c r="V158">
        <v>17</v>
      </c>
      <c r="W158" s="2">
        <v>369.06832336209999</v>
      </c>
    </row>
    <row r="159" spans="1:23" x14ac:dyDescent="0.25">
      <c r="A159" t="s">
        <v>31</v>
      </c>
      <c r="B159" t="s">
        <v>32</v>
      </c>
      <c r="C159" t="s">
        <v>33</v>
      </c>
      <c r="D159" t="s">
        <v>34</v>
      </c>
      <c r="E159" t="s">
        <v>35</v>
      </c>
      <c r="F159" t="s">
        <v>36</v>
      </c>
      <c r="G159">
        <v>1141685</v>
      </c>
      <c r="H159" t="s">
        <v>79</v>
      </c>
      <c r="I159" t="s">
        <v>94</v>
      </c>
      <c r="J159" t="s">
        <v>101</v>
      </c>
      <c r="K159" t="s">
        <v>114</v>
      </c>
      <c r="L159" s="1">
        <v>46143</v>
      </c>
      <c r="M159" s="1">
        <v>46173</v>
      </c>
      <c r="N159">
        <v>5.5899999999999998E-8</v>
      </c>
      <c r="O159" t="s">
        <v>56</v>
      </c>
      <c r="P159" t="s">
        <v>63</v>
      </c>
      <c r="Q159" t="s">
        <v>3075</v>
      </c>
      <c r="R159" t="s">
        <v>3087</v>
      </c>
      <c r="S159" t="s">
        <v>67</v>
      </c>
      <c r="T159" t="s">
        <v>3290</v>
      </c>
      <c r="U159" t="s">
        <v>3291</v>
      </c>
      <c r="V159">
        <v>17</v>
      </c>
      <c r="W159" s="2">
        <v>6.86308E-5</v>
      </c>
    </row>
    <row r="160" spans="1:23" x14ac:dyDescent="0.25">
      <c r="A160" t="s">
        <v>31</v>
      </c>
      <c r="B160" t="s">
        <v>32</v>
      </c>
      <c r="C160" t="s">
        <v>33</v>
      </c>
      <c r="D160" t="s">
        <v>34</v>
      </c>
      <c r="E160" t="s">
        <v>35</v>
      </c>
      <c r="F160" t="s">
        <v>36</v>
      </c>
      <c r="G160">
        <v>1141685</v>
      </c>
      <c r="H160" t="s">
        <v>79</v>
      </c>
      <c r="I160" t="s">
        <v>94</v>
      </c>
      <c r="J160" t="s">
        <v>101</v>
      </c>
      <c r="K160" t="s">
        <v>114</v>
      </c>
      <c r="L160" s="1">
        <v>46143</v>
      </c>
      <c r="M160" s="1">
        <v>46173</v>
      </c>
      <c r="N160">
        <v>0.15558988039999999</v>
      </c>
      <c r="O160" t="s">
        <v>56</v>
      </c>
      <c r="P160" t="s">
        <v>63</v>
      </c>
      <c r="Q160" t="s">
        <v>3075</v>
      </c>
      <c r="R160" t="s">
        <v>3076</v>
      </c>
      <c r="S160" t="s">
        <v>67</v>
      </c>
      <c r="T160" t="s">
        <v>3292</v>
      </c>
      <c r="U160" t="s">
        <v>3293</v>
      </c>
      <c r="V160">
        <v>16</v>
      </c>
      <c r="W160" s="2">
        <v>217.15524218799999</v>
      </c>
    </row>
    <row r="161" spans="1:23" x14ac:dyDescent="0.25">
      <c r="A161" t="s">
        <v>31</v>
      </c>
      <c r="B161" t="s">
        <v>32</v>
      </c>
      <c r="C161" t="s">
        <v>33</v>
      </c>
      <c r="D161" t="s">
        <v>34</v>
      </c>
      <c r="E161" t="s">
        <v>35</v>
      </c>
      <c r="F161" t="s">
        <v>36</v>
      </c>
      <c r="G161">
        <v>1141685</v>
      </c>
      <c r="H161" t="s">
        <v>79</v>
      </c>
      <c r="I161" t="s">
        <v>94</v>
      </c>
      <c r="J161" t="s">
        <v>101</v>
      </c>
      <c r="K161" t="s">
        <v>114</v>
      </c>
      <c r="L161" s="1">
        <v>46143</v>
      </c>
      <c r="M161" s="1">
        <v>46173</v>
      </c>
      <c r="N161">
        <v>6.2911960000000002E-4</v>
      </c>
      <c r="O161" t="s">
        <v>56</v>
      </c>
      <c r="P161" t="s">
        <v>63</v>
      </c>
      <c r="Q161" t="s">
        <v>3075</v>
      </c>
      <c r="R161" t="s">
        <v>3076</v>
      </c>
      <c r="S161" t="s">
        <v>67</v>
      </c>
      <c r="T161" t="s">
        <v>3294</v>
      </c>
      <c r="U161" t="s">
        <v>3295</v>
      </c>
      <c r="V161">
        <v>15</v>
      </c>
      <c r="W161" s="2">
        <v>0.8826836549</v>
      </c>
    </row>
    <row r="162" spans="1:23" x14ac:dyDescent="0.25">
      <c r="A162" t="s">
        <v>31</v>
      </c>
      <c r="B162" t="s">
        <v>32</v>
      </c>
      <c r="C162" t="s">
        <v>33</v>
      </c>
      <c r="D162" t="s">
        <v>34</v>
      </c>
      <c r="E162" t="s">
        <v>35</v>
      </c>
      <c r="F162" t="s">
        <v>36</v>
      </c>
      <c r="G162">
        <v>1141685</v>
      </c>
      <c r="H162" t="s">
        <v>79</v>
      </c>
      <c r="I162" t="s">
        <v>94</v>
      </c>
      <c r="J162" t="s">
        <v>101</v>
      </c>
      <c r="K162" t="s">
        <v>114</v>
      </c>
      <c r="L162" s="1">
        <v>46143</v>
      </c>
      <c r="M162" s="1">
        <v>46173</v>
      </c>
      <c r="N162">
        <v>2.88764E-4</v>
      </c>
      <c r="O162" t="s">
        <v>56</v>
      </c>
      <c r="P162" t="s">
        <v>63</v>
      </c>
      <c r="Q162" t="s">
        <v>3075</v>
      </c>
      <c r="R162" t="s">
        <v>3087</v>
      </c>
      <c r="S162" t="s">
        <v>67</v>
      </c>
      <c r="T162" t="s">
        <v>3296</v>
      </c>
      <c r="U162" t="s">
        <v>3297</v>
      </c>
      <c r="V162">
        <v>17</v>
      </c>
      <c r="W162" s="2">
        <v>0.40465950049999999</v>
      </c>
    </row>
    <row r="163" spans="1:23" x14ac:dyDescent="0.25">
      <c r="A163" t="s">
        <v>31</v>
      </c>
      <c r="B163" t="s">
        <v>32</v>
      </c>
      <c r="C163" t="s">
        <v>33</v>
      </c>
      <c r="D163" t="s">
        <v>34</v>
      </c>
      <c r="E163" t="s">
        <v>35</v>
      </c>
      <c r="F163" t="s">
        <v>36</v>
      </c>
      <c r="G163">
        <v>1141685</v>
      </c>
      <c r="H163" t="s">
        <v>79</v>
      </c>
      <c r="I163" t="s">
        <v>94</v>
      </c>
      <c r="J163" t="s">
        <v>101</v>
      </c>
      <c r="K163" t="s">
        <v>114</v>
      </c>
      <c r="L163" s="1">
        <v>46143</v>
      </c>
      <c r="M163" s="1">
        <v>46173</v>
      </c>
      <c r="N163">
        <v>3.3529999999999999E-7</v>
      </c>
      <c r="O163" t="s">
        <v>56</v>
      </c>
      <c r="P163" t="s">
        <v>63</v>
      </c>
      <c r="Q163" t="s">
        <v>3075</v>
      </c>
      <c r="R163" t="s">
        <v>3076</v>
      </c>
      <c r="S163" t="s">
        <v>67</v>
      </c>
      <c r="T163" t="s">
        <v>3298</v>
      </c>
      <c r="U163" t="s">
        <v>3299</v>
      </c>
      <c r="V163">
        <v>16</v>
      </c>
      <c r="W163" s="2">
        <v>4.1178550000000002E-4</v>
      </c>
    </row>
    <row r="164" spans="1:23" x14ac:dyDescent="0.25">
      <c r="A164" t="s">
        <v>31</v>
      </c>
      <c r="B164" t="s">
        <v>32</v>
      </c>
      <c r="C164" t="s">
        <v>33</v>
      </c>
      <c r="D164" t="s">
        <v>34</v>
      </c>
      <c r="E164" t="s">
        <v>35</v>
      </c>
      <c r="F164" t="s">
        <v>36</v>
      </c>
      <c r="G164">
        <v>1141685</v>
      </c>
      <c r="H164" t="s">
        <v>79</v>
      </c>
      <c r="I164" t="s">
        <v>94</v>
      </c>
      <c r="J164" t="s">
        <v>101</v>
      </c>
      <c r="K164" t="s">
        <v>116</v>
      </c>
      <c r="L164" s="1">
        <v>46143</v>
      </c>
      <c r="M164" s="1">
        <v>46173</v>
      </c>
      <c r="N164">
        <v>3.4705020500000003E-2</v>
      </c>
      <c r="O164" t="s">
        <v>56</v>
      </c>
      <c r="P164" t="s">
        <v>63</v>
      </c>
      <c r="Q164" t="s">
        <v>3075</v>
      </c>
      <c r="R164" t="s">
        <v>3087</v>
      </c>
      <c r="S164" t="s">
        <v>67</v>
      </c>
      <c r="T164" t="s">
        <v>3300</v>
      </c>
      <c r="U164" t="s">
        <v>3301</v>
      </c>
      <c r="V164">
        <v>17</v>
      </c>
      <c r="W164" s="2">
        <v>48.434650634400001</v>
      </c>
    </row>
    <row r="165" spans="1:23" x14ac:dyDescent="0.25">
      <c r="A165" t="s">
        <v>31</v>
      </c>
      <c r="B165" t="s">
        <v>32</v>
      </c>
      <c r="C165" t="s">
        <v>33</v>
      </c>
      <c r="D165" t="s">
        <v>34</v>
      </c>
      <c r="E165" t="s">
        <v>35</v>
      </c>
      <c r="F165" t="s">
        <v>36</v>
      </c>
      <c r="G165">
        <v>1141685</v>
      </c>
      <c r="H165" t="s">
        <v>79</v>
      </c>
      <c r="I165" t="s">
        <v>94</v>
      </c>
      <c r="J165" t="s">
        <v>101</v>
      </c>
      <c r="K165" t="s">
        <v>116</v>
      </c>
      <c r="L165" s="1">
        <v>46143</v>
      </c>
      <c r="M165" s="1">
        <v>46173</v>
      </c>
      <c r="N165">
        <v>4.9225099999999997E-5</v>
      </c>
      <c r="O165" t="s">
        <v>56</v>
      </c>
      <c r="P165" t="s">
        <v>63</v>
      </c>
      <c r="Q165" t="s">
        <v>3075</v>
      </c>
      <c r="R165" t="s">
        <v>3087</v>
      </c>
      <c r="S165" t="s">
        <v>67</v>
      </c>
      <c r="T165" t="s">
        <v>3302</v>
      </c>
      <c r="U165" t="s">
        <v>3303</v>
      </c>
      <c r="V165">
        <v>17</v>
      </c>
      <c r="W165" s="2">
        <v>7.0458133199999995E-2</v>
      </c>
    </row>
    <row r="166" spans="1:23" x14ac:dyDescent="0.25">
      <c r="A166" t="s">
        <v>31</v>
      </c>
      <c r="B166" t="s">
        <v>32</v>
      </c>
      <c r="C166" t="s">
        <v>33</v>
      </c>
      <c r="D166" t="s">
        <v>34</v>
      </c>
      <c r="E166" t="s">
        <v>35</v>
      </c>
      <c r="F166" t="s">
        <v>36</v>
      </c>
      <c r="G166">
        <v>1141685</v>
      </c>
      <c r="H166" t="s">
        <v>79</v>
      </c>
      <c r="I166" t="s">
        <v>94</v>
      </c>
      <c r="J166" t="s">
        <v>101</v>
      </c>
      <c r="K166" t="s">
        <v>116</v>
      </c>
      <c r="L166" s="1">
        <v>46143</v>
      </c>
      <c r="M166" s="1">
        <v>46173</v>
      </c>
      <c r="N166">
        <v>0.2779574944</v>
      </c>
      <c r="O166" t="s">
        <v>56</v>
      </c>
      <c r="P166" t="s">
        <v>63</v>
      </c>
      <c r="Q166" t="s">
        <v>3075</v>
      </c>
      <c r="R166" t="s">
        <v>3080</v>
      </c>
      <c r="S166" t="s">
        <v>67</v>
      </c>
      <c r="T166" t="s">
        <v>3304</v>
      </c>
      <c r="U166" t="s">
        <v>3305</v>
      </c>
      <c r="V166">
        <v>15</v>
      </c>
      <c r="W166" s="2">
        <v>320.22317044779999</v>
      </c>
    </row>
    <row r="167" spans="1:23" x14ac:dyDescent="0.25">
      <c r="A167" t="s">
        <v>31</v>
      </c>
      <c r="B167" t="s">
        <v>32</v>
      </c>
      <c r="C167" t="s">
        <v>33</v>
      </c>
      <c r="D167" t="s">
        <v>34</v>
      </c>
      <c r="E167" t="s">
        <v>35</v>
      </c>
      <c r="F167" t="s">
        <v>36</v>
      </c>
      <c r="G167">
        <v>1141685</v>
      </c>
      <c r="H167" t="s">
        <v>79</v>
      </c>
      <c r="I167" t="s">
        <v>94</v>
      </c>
      <c r="J167" t="s">
        <v>101</v>
      </c>
      <c r="K167" t="s">
        <v>116</v>
      </c>
      <c r="L167" s="1">
        <v>46143</v>
      </c>
      <c r="M167" s="1">
        <v>46173</v>
      </c>
      <c r="N167">
        <v>0.28117968609999999</v>
      </c>
      <c r="O167" t="s">
        <v>56</v>
      </c>
      <c r="P167" t="s">
        <v>63</v>
      </c>
      <c r="Q167" t="s">
        <v>3075</v>
      </c>
      <c r="R167" t="s">
        <v>3080</v>
      </c>
      <c r="S167" t="s">
        <v>67</v>
      </c>
      <c r="T167" t="s">
        <v>3306</v>
      </c>
      <c r="U167" t="s">
        <v>3307</v>
      </c>
      <c r="V167">
        <v>15</v>
      </c>
      <c r="W167" s="2">
        <v>323.02988469450003</v>
      </c>
    </row>
    <row r="168" spans="1:23" x14ac:dyDescent="0.25">
      <c r="A168" t="s">
        <v>31</v>
      </c>
      <c r="B168" t="s">
        <v>32</v>
      </c>
      <c r="C168" t="s">
        <v>33</v>
      </c>
      <c r="D168" t="s">
        <v>34</v>
      </c>
      <c r="E168" t="s">
        <v>35</v>
      </c>
      <c r="F168" t="s">
        <v>36</v>
      </c>
      <c r="G168">
        <v>1141685</v>
      </c>
      <c r="H168" t="s">
        <v>93</v>
      </c>
      <c r="I168" t="s">
        <v>93</v>
      </c>
      <c r="J168" t="s">
        <v>93</v>
      </c>
      <c r="K168" t="s">
        <v>133</v>
      </c>
      <c r="L168" s="1">
        <v>46143</v>
      </c>
      <c r="M168" s="1">
        <v>46173</v>
      </c>
      <c r="N168">
        <v>743.97283662919995</v>
      </c>
      <c r="O168" t="s">
        <v>58</v>
      </c>
      <c r="P168" t="s">
        <v>63</v>
      </c>
      <c r="Q168" t="s">
        <v>3097</v>
      </c>
      <c r="R168" t="s">
        <v>3308</v>
      </c>
      <c r="S168" t="s">
        <v>67</v>
      </c>
      <c r="T168" t="s">
        <v>3309</v>
      </c>
      <c r="U168" t="s">
        <v>3310</v>
      </c>
      <c r="V168">
        <v>10</v>
      </c>
      <c r="W168" s="2">
        <v>1297935.009489377</v>
      </c>
    </row>
    <row r="169" spans="1:23" x14ac:dyDescent="0.25">
      <c r="A169" t="s">
        <v>31</v>
      </c>
      <c r="B169" t="s">
        <v>32</v>
      </c>
      <c r="C169" t="s">
        <v>33</v>
      </c>
      <c r="D169" t="s">
        <v>34</v>
      </c>
      <c r="E169" t="s">
        <v>35</v>
      </c>
      <c r="F169" t="s">
        <v>36</v>
      </c>
      <c r="G169">
        <v>1141685</v>
      </c>
      <c r="H169" t="s">
        <v>91</v>
      </c>
      <c r="I169" t="s">
        <v>95</v>
      </c>
      <c r="J169" t="s">
        <v>106</v>
      </c>
      <c r="K169" t="s">
        <v>129</v>
      </c>
      <c r="L169" s="1">
        <v>46143</v>
      </c>
      <c r="M169" s="1">
        <v>46173</v>
      </c>
      <c r="N169">
        <v>1.0000000000000001E-5</v>
      </c>
      <c r="O169" t="s">
        <v>58</v>
      </c>
      <c r="P169" t="s">
        <v>63</v>
      </c>
      <c r="Q169" t="s">
        <v>3079</v>
      </c>
      <c r="R169" t="s">
        <v>3076</v>
      </c>
      <c r="S169" t="s">
        <v>67</v>
      </c>
      <c r="T169" t="s">
        <v>3311</v>
      </c>
      <c r="U169" t="s">
        <v>3312</v>
      </c>
      <c r="V169">
        <v>16</v>
      </c>
      <c r="W169" s="2">
        <v>1.9190599999999999E-2</v>
      </c>
    </row>
    <row r="170" spans="1:23" x14ac:dyDescent="0.25">
      <c r="A170" t="s">
        <v>31</v>
      </c>
      <c r="B170" t="s">
        <v>32</v>
      </c>
      <c r="C170" t="s">
        <v>33</v>
      </c>
      <c r="D170" t="s">
        <v>34</v>
      </c>
      <c r="E170" t="s">
        <v>35</v>
      </c>
      <c r="F170" t="s">
        <v>36</v>
      </c>
      <c r="G170">
        <v>1141685</v>
      </c>
      <c r="H170" t="s">
        <v>79</v>
      </c>
      <c r="I170" t="s">
        <v>94</v>
      </c>
      <c r="J170" t="s">
        <v>101</v>
      </c>
      <c r="K170" t="s">
        <v>116</v>
      </c>
      <c r="L170" s="1">
        <v>46143</v>
      </c>
      <c r="M170" s="1">
        <v>46173</v>
      </c>
      <c r="N170">
        <v>0.76031549089999995</v>
      </c>
      <c r="O170" t="s">
        <v>56</v>
      </c>
      <c r="P170" t="s">
        <v>63</v>
      </c>
      <c r="Q170" t="s">
        <v>3075</v>
      </c>
      <c r="R170" t="s">
        <v>3080</v>
      </c>
      <c r="S170" t="s">
        <v>67</v>
      </c>
      <c r="T170" t="s">
        <v>3313</v>
      </c>
      <c r="U170" t="s">
        <v>3314</v>
      </c>
      <c r="V170">
        <v>16</v>
      </c>
      <c r="W170" s="2">
        <v>1061.1582694000001</v>
      </c>
    </row>
    <row r="171" spans="1:23" x14ac:dyDescent="0.25">
      <c r="A171" t="s">
        <v>31</v>
      </c>
      <c r="B171" t="s">
        <v>32</v>
      </c>
      <c r="C171" t="s">
        <v>33</v>
      </c>
      <c r="D171" t="s">
        <v>34</v>
      </c>
      <c r="E171" t="s">
        <v>35</v>
      </c>
      <c r="F171" t="s">
        <v>36</v>
      </c>
      <c r="G171">
        <v>1141685</v>
      </c>
      <c r="H171" t="s">
        <v>79</v>
      </c>
      <c r="I171" t="s">
        <v>94</v>
      </c>
      <c r="J171" t="s">
        <v>101</v>
      </c>
      <c r="K171" t="s">
        <v>116</v>
      </c>
      <c r="L171" s="1">
        <v>46143</v>
      </c>
      <c r="M171" s="1">
        <v>46173</v>
      </c>
      <c r="N171">
        <v>6.1574799E-2</v>
      </c>
      <c r="O171" t="s">
        <v>56</v>
      </c>
      <c r="P171" t="s">
        <v>63</v>
      </c>
      <c r="Q171" t="s">
        <v>3075</v>
      </c>
      <c r="R171" t="s">
        <v>3076</v>
      </c>
      <c r="S171" t="s">
        <v>67</v>
      </c>
      <c r="T171" t="s">
        <v>3315</v>
      </c>
      <c r="U171" t="s">
        <v>3316</v>
      </c>
      <c r="V171">
        <v>16</v>
      </c>
      <c r="W171" s="2">
        <v>85.936069621499996</v>
      </c>
    </row>
    <row r="172" spans="1:23" x14ac:dyDescent="0.25">
      <c r="A172" t="s">
        <v>31</v>
      </c>
      <c r="B172" t="s">
        <v>32</v>
      </c>
      <c r="C172" t="s">
        <v>33</v>
      </c>
      <c r="D172" t="s">
        <v>34</v>
      </c>
      <c r="E172" t="s">
        <v>35</v>
      </c>
      <c r="F172" t="s">
        <v>36</v>
      </c>
      <c r="G172">
        <v>1141685</v>
      </c>
      <c r="H172" t="s">
        <v>75</v>
      </c>
      <c r="I172" t="s">
        <v>94</v>
      </c>
      <c r="J172" t="s">
        <v>98</v>
      </c>
      <c r="K172" t="s">
        <v>108</v>
      </c>
      <c r="L172" s="1">
        <v>46143</v>
      </c>
      <c r="M172" s="1">
        <v>46173</v>
      </c>
      <c r="N172">
        <v>2.4788016499999999E-2</v>
      </c>
      <c r="O172" t="s">
        <v>56</v>
      </c>
      <c r="P172" t="s">
        <v>63</v>
      </c>
      <c r="Q172" t="s">
        <v>3075</v>
      </c>
      <c r="R172" t="s">
        <v>3080</v>
      </c>
      <c r="S172" t="s">
        <v>67</v>
      </c>
      <c r="T172" t="s">
        <v>3317</v>
      </c>
      <c r="U172" t="s">
        <v>3318</v>
      </c>
      <c r="V172">
        <v>15</v>
      </c>
      <c r="W172" s="2">
        <v>48.2623408623</v>
      </c>
    </row>
    <row r="173" spans="1:23" x14ac:dyDescent="0.25">
      <c r="A173" t="s">
        <v>31</v>
      </c>
      <c r="B173" t="s">
        <v>32</v>
      </c>
      <c r="C173" t="s">
        <v>33</v>
      </c>
      <c r="D173" t="s">
        <v>34</v>
      </c>
      <c r="E173" t="s">
        <v>35</v>
      </c>
      <c r="F173" t="s">
        <v>36</v>
      </c>
      <c r="G173">
        <v>1141685</v>
      </c>
      <c r="H173" t="s">
        <v>75</v>
      </c>
      <c r="I173" t="s">
        <v>94</v>
      </c>
      <c r="J173" t="s">
        <v>98</v>
      </c>
      <c r="K173" t="s">
        <v>108</v>
      </c>
      <c r="L173" s="1">
        <v>46143</v>
      </c>
      <c r="M173" s="1">
        <v>46173</v>
      </c>
      <c r="N173">
        <v>4.7426699999999998E-5</v>
      </c>
      <c r="O173" t="s">
        <v>56</v>
      </c>
      <c r="P173" t="s">
        <v>63</v>
      </c>
      <c r="Q173" t="s">
        <v>3075</v>
      </c>
      <c r="R173" t="s">
        <v>3087</v>
      </c>
      <c r="S173" t="s">
        <v>67</v>
      </c>
      <c r="T173" t="s">
        <v>3319</v>
      </c>
      <c r="U173" t="s">
        <v>3320</v>
      </c>
      <c r="V173">
        <v>17</v>
      </c>
      <c r="W173" s="2">
        <v>9.7374041799999991E-2</v>
      </c>
    </row>
    <row r="174" spans="1:23" x14ac:dyDescent="0.25">
      <c r="A174" t="s">
        <v>31</v>
      </c>
      <c r="B174" t="s">
        <v>32</v>
      </c>
      <c r="C174" t="s">
        <v>33</v>
      </c>
      <c r="D174" t="s">
        <v>34</v>
      </c>
      <c r="E174" t="s">
        <v>35</v>
      </c>
      <c r="F174" t="s">
        <v>36</v>
      </c>
      <c r="G174">
        <v>1141685</v>
      </c>
      <c r="H174" t="s">
        <v>75</v>
      </c>
      <c r="I174" t="s">
        <v>94</v>
      </c>
      <c r="J174" t="s">
        <v>98</v>
      </c>
      <c r="K174" t="s">
        <v>108</v>
      </c>
      <c r="L174" s="1">
        <v>46143</v>
      </c>
      <c r="M174" s="1">
        <v>46173</v>
      </c>
      <c r="N174">
        <v>7.7225787599999998E-2</v>
      </c>
      <c r="O174" t="s">
        <v>56</v>
      </c>
      <c r="P174" t="s">
        <v>63</v>
      </c>
      <c r="Q174" t="s">
        <v>3075</v>
      </c>
      <c r="R174" t="s">
        <v>3080</v>
      </c>
      <c r="S174" t="s">
        <v>67</v>
      </c>
      <c r="T174" t="s">
        <v>3321</v>
      </c>
      <c r="U174" t="s">
        <v>3322</v>
      </c>
      <c r="V174">
        <v>16</v>
      </c>
      <c r="W174" s="2">
        <v>161.6728830877</v>
      </c>
    </row>
    <row r="175" spans="1:23" x14ac:dyDescent="0.25">
      <c r="A175" t="s">
        <v>31</v>
      </c>
      <c r="B175" t="s">
        <v>32</v>
      </c>
      <c r="C175" t="s">
        <v>33</v>
      </c>
      <c r="D175" t="s">
        <v>34</v>
      </c>
      <c r="E175" t="s">
        <v>35</v>
      </c>
      <c r="F175" t="s">
        <v>36</v>
      </c>
      <c r="G175">
        <v>1141685</v>
      </c>
      <c r="H175" t="s">
        <v>75</v>
      </c>
      <c r="I175" t="s">
        <v>94</v>
      </c>
      <c r="J175" t="s">
        <v>98</v>
      </c>
      <c r="K175" t="s">
        <v>108</v>
      </c>
      <c r="L175" s="1">
        <v>46143</v>
      </c>
      <c r="M175" s="1">
        <v>46173</v>
      </c>
      <c r="N175">
        <v>9.1524607999999997E-3</v>
      </c>
      <c r="O175" t="s">
        <v>56</v>
      </c>
      <c r="P175" t="s">
        <v>63</v>
      </c>
      <c r="Q175" t="s">
        <v>3075</v>
      </c>
      <c r="R175" t="s">
        <v>3076</v>
      </c>
      <c r="S175" t="s">
        <v>67</v>
      </c>
      <c r="T175" t="s">
        <v>3323</v>
      </c>
      <c r="U175" t="s">
        <v>3324</v>
      </c>
      <c r="V175">
        <v>15</v>
      </c>
      <c r="W175" s="2">
        <v>17.7289327676</v>
      </c>
    </row>
    <row r="176" spans="1:23" x14ac:dyDescent="0.25">
      <c r="A176" t="s">
        <v>31</v>
      </c>
      <c r="B176" t="s">
        <v>32</v>
      </c>
      <c r="C176" t="s">
        <v>33</v>
      </c>
      <c r="D176" t="s">
        <v>34</v>
      </c>
      <c r="E176" t="s">
        <v>35</v>
      </c>
      <c r="F176" t="s">
        <v>36</v>
      </c>
      <c r="G176">
        <v>1141685</v>
      </c>
      <c r="H176" t="s">
        <v>87</v>
      </c>
      <c r="I176" t="s">
        <v>87</v>
      </c>
      <c r="J176" t="s">
        <v>87</v>
      </c>
      <c r="K176" t="s">
        <v>125</v>
      </c>
      <c r="L176" s="1">
        <v>46143</v>
      </c>
      <c r="M176" s="1">
        <v>46173</v>
      </c>
      <c r="N176">
        <v>744</v>
      </c>
      <c r="O176" t="s">
        <v>58</v>
      </c>
      <c r="P176" t="s">
        <v>63</v>
      </c>
      <c r="Q176" t="s">
        <v>3075</v>
      </c>
      <c r="R176" t="s">
        <v>158</v>
      </c>
      <c r="S176" t="s">
        <v>67</v>
      </c>
      <c r="T176" t="s">
        <v>3325</v>
      </c>
      <c r="U176" t="s">
        <v>3326</v>
      </c>
      <c r="V176">
        <v>12</v>
      </c>
      <c r="W176" s="2">
        <v>324495.598</v>
      </c>
    </row>
    <row r="177" spans="1:23" x14ac:dyDescent="0.25">
      <c r="A177" t="s">
        <v>31</v>
      </c>
      <c r="B177" t="s">
        <v>32</v>
      </c>
      <c r="C177" t="s">
        <v>33</v>
      </c>
      <c r="D177" t="s">
        <v>34</v>
      </c>
      <c r="E177" t="s">
        <v>35</v>
      </c>
      <c r="F177" t="s">
        <v>36</v>
      </c>
      <c r="G177">
        <v>1141685</v>
      </c>
      <c r="H177" t="s">
        <v>75</v>
      </c>
      <c r="I177" t="s">
        <v>94</v>
      </c>
      <c r="J177" t="s">
        <v>98</v>
      </c>
      <c r="K177" t="s">
        <v>108</v>
      </c>
      <c r="L177" s="1">
        <v>46143</v>
      </c>
      <c r="M177" s="1">
        <v>46173</v>
      </c>
      <c r="N177">
        <v>2.94959E-5</v>
      </c>
      <c r="O177" t="s">
        <v>56</v>
      </c>
      <c r="P177" t="s">
        <v>63</v>
      </c>
      <c r="Q177" t="s">
        <v>3075</v>
      </c>
      <c r="R177" t="s">
        <v>3080</v>
      </c>
      <c r="S177" t="s">
        <v>67</v>
      </c>
      <c r="T177" t="s">
        <v>3327</v>
      </c>
      <c r="U177" t="s">
        <v>3328</v>
      </c>
      <c r="V177">
        <v>16</v>
      </c>
      <c r="W177" s="2">
        <v>6.4340257599999992E-2</v>
      </c>
    </row>
    <row r="178" spans="1:23" x14ac:dyDescent="0.25">
      <c r="A178" t="s">
        <v>31</v>
      </c>
      <c r="B178" t="s">
        <v>32</v>
      </c>
      <c r="C178" t="s">
        <v>33</v>
      </c>
      <c r="D178" t="s">
        <v>34</v>
      </c>
      <c r="E178" t="s">
        <v>35</v>
      </c>
      <c r="F178" t="s">
        <v>36</v>
      </c>
      <c r="G178">
        <v>1141685</v>
      </c>
      <c r="H178" t="s">
        <v>75</v>
      </c>
      <c r="I178" t="s">
        <v>94</v>
      </c>
      <c r="J178" t="s">
        <v>98</v>
      </c>
      <c r="K178" t="s">
        <v>108</v>
      </c>
      <c r="L178" s="1">
        <v>46143</v>
      </c>
      <c r="M178" s="1">
        <v>46173</v>
      </c>
      <c r="N178">
        <v>0.26828329639999998</v>
      </c>
      <c r="O178" t="s">
        <v>56</v>
      </c>
      <c r="P178" t="s">
        <v>63</v>
      </c>
      <c r="Q178" t="s">
        <v>3075</v>
      </c>
      <c r="R178" t="s">
        <v>3087</v>
      </c>
      <c r="S178" t="s">
        <v>67</v>
      </c>
      <c r="T178" t="s">
        <v>3329</v>
      </c>
      <c r="U178" t="s">
        <v>3330</v>
      </c>
      <c r="V178">
        <v>17</v>
      </c>
      <c r="W178" s="2">
        <v>561.65767303409996</v>
      </c>
    </row>
    <row r="179" spans="1:23" x14ac:dyDescent="0.25">
      <c r="A179" t="s">
        <v>31</v>
      </c>
      <c r="B179" t="s">
        <v>32</v>
      </c>
      <c r="C179" t="s">
        <v>33</v>
      </c>
      <c r="D179" t="s">
        <v>34</v>
      </c>
      <c r="E179" t="s">
        <v>35</v>
      </c>
      <c r="F179" t="s">
        <v>36</v>
      </c>
      <c r="G179">
        <v>1141685</v>
      </c>
      <c r="H179" t="s">
        <v>78</v>
      </c>
      <c r="I179" t="s">
        <v>96</v>
      </c>
      <c r="J179" t="s">
        <v>100</v>
      </c>
      <c r="K179" t="s">
        <v>112</v>
      </c>
      <c r="L179" s="1">
        <v>46143</v>
      </c>
      <c r="M179" s="1">
        <v>46173</v>
      </c>
      <c r="N179">
        <v>744</v>
      </c>
      <c r="O179" t="s">
        <v>58</v>
      </c>
      <c r="P179" t="s">
        <v>63</v>
      </c>
      <c r="Q179" t="s">
        <v>3075</v>
      </c>
      <c r="R179" t="s">
        <v>3331</v>
      </c>
      <c r="S179" t="s">
        <v>67</v>
      </c>
      <c r="T179" t="s">
        <v>3332</v>
      </c>
      <c r="U179" t="s">
        <v>3333</v>
      </c>
      <c r="V179">
        <v>13</v>
      </c>
      <c r="W179" s="2">
        <v>64899.115599999997</v>
      </c>
    </row>
    <row r="180" spans="1:23" x14ac:dyDescent="0.25">
      <c r="A180" t="s">
        <v>31</v>
      </c>
      <c r="B180" t="s">
        <v>32</v>
      </c>
      <c r="C180" t="s">
        <v>33</v>
      </c>
      <c r="D180" t="s">
        <v>34</v>
      </c>
      <c r="E180" t="s">
        <v>35</v>
      </c>
      <c r="F180" t="s">
        <v>36</v>
      </c>
      <c r="G180">
        <v>1141685</v>
      </c>
      <c r="H180" t="s">
        <v>91</v>
      </c>
      <c r="I180" t="s">
        <v>95</v>
      </c>
      <c r="J180" t="s">
        <v>106</v>
      </c>
      <c r="K180" t="s">
        <v>129</v>
      </c>
      <c r="L180" s="1">
        <v>46143</v>
      </c>
      <c r="M180" s="1">
        <v>46173</v>
      </c>
      <c r="N180">
        <v>1.0000000000000001E-5</v>
      </c>
      <c r="O180" t="s">
        <v>58</v>
      </c>
      <c r="P180" t="s">
        <v>63</v>
      </c>
      <c r="Q180" t="s">
        <v>3079</v>
      </c>
      <c r="R180" t="s">
        <v>3076</v>
      </c>
      <c r="S180" t="s">
        <v>67</v>
      </c>
      <c r="T180" t="s">
        <v>3311</v>
      </c>
      <c r="U180" t="s">
        <v>3312</v>
      </c>
      <c r="V180">
        <v>16</v>
      </c>
      <c r="W180" s="2">
        <v>1.9190599999999999E-2</v>
      </c>
    </row>
    <row r="181" spans="1:23" x14ac:dyDescent="0.25">
      <c r="A181" t="s">
        <v>31</v>
      </c>
      <c r="B181" t="s">
        <v>32</v>
      </c>
      <c r="C181" t="s">
        <v>33</v>
      </c>
      <c r="D181" t="s">
        <v>34</v>
      </c>
      <c r="E181" t="s">
        <v>35</v>
      </c>
      <c r="F181" t="s">
        <v>36</v>
      </c>
      <c r="G181">
        <v>1141685</v>
      </c>
      <c r="H181" t="s">
        <v>38</v>
      </c>
      <c r="I181" t="s">
        <v>38</v>
      </c>
      <c r="J181" t="s">
        <v>38</v>
      </c>
      <c r="K181" t="s">
        <v>53</v>
      </c>
      <c r="L181" s="1">
        <v>46143</v>
      </c>
      <c r="M181" s="1">
        <v>46173</v>
      </c>
      <c r="N181">
        <v>1.7215641199999999E-2</v>
      </c>
      <c r="O181" t="s">
        <v>57</v>
      </c>
      <c r="P181" t="s">
        <v>63</v>
      </c>
      <c r="Q181" t="s">
        <v>3097</v>
      </c>
      <c r="R181" t="s">
        <v>3110</v>
      </c>
      <c r="S181" t="s">
        <v>66</v>
      </c>
      <c r="T181" t="s">
        <v>3334</v>
      </c>
      <c r="U181" t="s">
        <v>3335</v>
      </c>
      <c r="V181">
        <v>6</v>
      </c>
      <c r="W181" s="2">
        <v>42.168111357000001</v>
      </c>
    </row>
    <row r="182" spans="1:23" x14ac:dyDescent="0.25">
      <c r="A182" t="s">
        <v>31</v>
      </c>
      <c r="B182" t="s">
        <v>32</v>
      </c>
      <c r="C182" t="s">
        <v>33</v>
      </c>
      <c r="D182" t="s">
        <v>34</v>
      </c>
      <c r="E182" t="s">
        <v>35</v>
      </c>
      <c r="F182" t="s">
        <v>36</v>
      </c>
      <c r="G182">
        <v>1141685</v>
      </c>
      <c r="H182" t="s">
        <v>78</v>
      </c>
      <c r="I182" t="s">
        <v>96</v>
      </c>
      <c r="J182" t="s">
        <v>100</v>
      </c>
      <c r="K182" t="s">
        <v>112</v>
      </c>
      <c r="L182" s="1">
        <v>46143</v>
      </c>
      <c r="M182" s="1">
        <v>46173</v>
      </c>
      <c r="N182">
        <v>744</v>
      </c>
      <c r="O182" t="s">
        <v>58</v>
      </c>
      <c r="P182" t="s">
        <v>63</v>
      </c>
      <c r="Q182" t="s">
        <v>3075</v>
      </c>
      <c r="R182" t="s">
        <v>3336</v>
      </c>
      <c r="S182" t="s">
        <v>67</v>
      </c>
      <c r="T182" t="s">
        <v>3337</v>
      </c>
      <c r="U182" t="s">
        <v>3338</v>
      </c>
      <c r="V182">
        <v>14</v>
      </c>
      <c r="W182" s="2">
        <v>64899.115599999997</v>
      </c>
    </row>
    <row r="183" spans="1:23" x14ac:dyDescent="0.25">
      <c r="A183" t="s">
        <v>31</v>
      </c>
      <c r="B183" t="s">
        <v>32</v>
      </c>
      <c r="C183" t="s">
        <v>33</v>
      </c>
      <c r="D183" t="s">
        <v>34</v>
      </c>
      <c r="E183" t="s">
        <v>35</v>
      </c>
      <c r="F183" t="s">
        <v>36</v>
      </c>
      <c r="G183">
        <v>1141685</v>
      </c>
      <c r="H183" t="s">
        <v>86</v>
      </c>
      <c r="I183" t="s">
        <v>42</v>
      </c>
      <c r="J183" t="s">
        <v>86</v>
      </c>
      <c r="K183" t="s">
        <v>124</v>
      </c>
      <c r="L183" s="1">
        <v>46143</v>
      </c>
      <c r="M183" s="1">
        <v>46173</v>
      </c>
      <c r="N183">
        <v>1.3439999999999999E-3</v>
      </c>
      <c r="O183" t="s">
        <v>135</v>
      </c>
      <c r="P183" t="s">
        <v>63</v>
      </c>
      <c r="Q183" t="s">
        <v>3079</v>
      </c>
      <c r="R183" t="s">
        <v>3339</v>
      </c>
      <c r="S183" t="s">
        <v>67</v>
      </c>
      <c r="T183" t="s">
        <v>3340</v>
      </c>
      <c r="U183" t="s">
        <v>3341</v>
      </c>
      <c r="V183">
        <v>17</v>
      </c>
      <c r="W183" s="2">
        <v>462.15087979520001</v>
      </c>
    </row>
    <row r="184" spans="1:23" x14ac:dyDescent="0.25">
      <c r="A184" t="s">
        <v>31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>
        <v>1141685</v>
      </c>
      <c r="H184" t="s">
        <v>80</v>
      </c>
      <c r="I184" t="s">
        <v>96</v>
      </c>
      <c r="J184" t="s">
        <v>80</v>
      </c>
      <c r="K184" t="s">
        <v>122</v>
      </c>
      <c r="L184" s="1">
        <v>46143</v>
      </c>
      <c r="M184" s="1">
        <v>46173</v>
      </c>
      <c r="N184">
        <v>0.1026689652</v>
      </c>
      <c r="O184" t="s">
        <v>56</v>
      </c>
      <c r="P184" t="s">
        <v>63</v>
      </c>
      <c r="Q184" t="s">
        <v>3075</v>
      </c>
      <c r="R184" t="s">
        <v>3080</v>
      </c>
      <c r="S184" t="s">
        <v>67</v>
      </c>
      <c r="T184" t="s">
        <v>3342</v>
      </c>
      <c r="U184" t="s">
        <v>3343</v>
      </c>
      <c r="V184">
        <v>15</v>
      </c>
      <c r="W184" s="2">
        <v>17.9122323536</v>
      </c>
    </row>
    <row r="185" spans="1:23" x14ac:dyDescent="0.25">
      <c r="A185" t="s">
        <v>31</v>
      </c>
      <c r="B185" t="s">
        <v>32</v>
      </c>
      <c r="C185" t="s">
        <v>33</v>
      </c>
      <c r="D185" t="s">
        <v>34</v>
      </c>
      <c r="E185" t="s">
        <v>35</v>
      </c>
      <c r="F185" t="s">
        <v>36</v>
      </c>
      <c r="G185">
        <v>1141685</v>
      </c>
      <c r="H185" t="s">
        <v>80</v>
      </c>
      <c r="I185" t="s">
        <v>96</v>
      </c>
      <c r="J185" t="s">
        <v>80</v>
      </c>
      <c r="K185" t="s">
        <v>122</v>
      </c>
      <c r="L185" s="1">
        <v>46143</v>
      </c>
      <c r="M185" s="1">
        <v>46173</v>
      </c>
      <c r="N185">
        <v>0.88068804519999999</v>
      </c>
      <c r="O185" t="s">
        <v>56</v>
      </c>
      <c r="P185" t="s">
        <v>63</v>
      </c>
      <c r="Q185" t="s">
        <v>3075</v>
      </c>
      <c r="R185" t="s">
        <v>3080</v>
      </c>
      <c r="S185" t="s">
        <v>67</v>
      </c>
      <c r="T185" t="s">
        <v>3344</v>
      </c>
      <c r="U185" t="s">
        <v>3345</v>
      </c>
      <c r="V185">
        <v>16</v>
      </c>
      <c r="W185" s="2">
        <v>153.64745599540001</v>
      </c>
    </row>
    <row r="186" spans="1:23" x14ac:dyDescent="0.25">
      <c r="A186" t="s">
        <v>31</v>
      </c>
      <c r="B186" t="s">
        <v>32</v>
      </c>
      <c r="C186" t="s">
        <v>33</v>
      </c>
      <c r="D186" t="s">
        <v>34</v>
      </c>
      <c r="E186" t="s">
        <v>35</v>
      </c>
      <c r="F186" t="s">
        <v>36</v>
      </c>
      <c r="G186">
        <v>1141685</v>
      </c>
      <c r="H186" t="s">
        <v>80</v>
      </c>
      <c r="I186" t="s">
        <v>96</v>
      </c>
      <c r="J186" t="s">
        <v>80</v>
      </c>
      <c r="K186" t="s">
        <v>122</v>
      </c>
      <c r="L186" s="1">
        <v>46143</v>
      </c>
      <c r="M186" s="1">
        <v>46173</v>
      </c>
      <c r="N186">
        <v>8.8091929999999999E-3</v>
      </c>
      <c r="O186" t="s">
        <v>56</v>
      </c>
      <c r="P186" t="s">
        <v>63</v>
      </c>
      <c r="Q186" t="s">
        <v>3075</v>
      </c>
      <c r="R186" t="s">
        <v>3076</v>
      </c>
      <c r="S186" t="s">
        <v>67</v>
      </c>
      <c r="T186" t="s">
        <v>3346</v>
      </c>
      <c r="U186" t="s">
        <v>3347</v>
      </c>
      <c r="V186">
        <v>16</v>
      </c>
      <c r="W186" s="2">
        <v>1.5324295985</v>
      </c>
    </row>
    <row r="187" spans="1:23" x14ac:dyDescent="0.25">
      <c r="A187" t="s">
        <v>31</v>
      </c>
      <c r="B187" t="s">
        <v>32</v>
      </c>
      <c r="C187" t="s">
        <v>33</v>
      </c>
      <c r="D187" t="s">
        <v>34</v>
      </c>
      <c r="E187" t="s">
        <v>35</v>
      </c>
      <c r="F187" t="s">
        <v>36</v>
      </c>
      <c r="G187">
        <v>1141685</v>
      </c>
      <c r="H187" t="s">
        <v>80</v>
      </c>
      <c r="I187" t="s">
        <v>96</v>
      </c>
      <c r="J187" t="s">
        <v>80</v>
      </c>
      <c r="K187" t="s">
        <v>122</v>
      </c>
      <c r="L187" s="1">
        <v>46143</v>
      </c>
      <c r="M187" s="1">
        <v>46173</v>
      </c>
      <c r="N187">
        <v>1.2926469E-3</v>
      </c>
      <c r="O187" t="s">
        <v>56</v>
      </c>
      <c r="P187" t="s">
        <v>63</v>
      </c>
      <c r="Q187" t="s">
        <v>3075</v>
      </c>
      <c r="R187" t="s">
        <v>3080</v>
      </c>
      <c r="S187" t="s">
        <v>67</v>
      </c>
      <c r="T187" t="s">
        <v>3348</v>
      </c>
      <c r="U187" t="s">
        <v>3349</v>
      </c>
      <c r="V187">
        <v>16</v>
      </c>
      <c r="W187" s="2">
        <v>0.228453351</v>
      </c>
    </row>
    <row r="188" spans="1:23" x14ac:dyDescent="0.25">
      <c r="A188" t="s">
        <v>31</v>
      </c>
      <c r="B188" t="s">
        <v>32</v>
      </c>
      <c r="C188" t="s">
        <v>33</v>
      </c>
      <c r="D188" t="s">
        <v>34</v>
      </c>
      <c r="E188" t="s">
        <v>35</v>
      </c>
      <c r="F188" t="s">
        <v>36</v>
      </c>
      <c r="G188">
        <v>1141685</v>
      </c>
      <c r="H188" t="s">
        <v>77</v>
      </c>
      <c r="I188" t="s">
        <v>96</v>
      </c>
      <c r="J188" t="s">
        <v>77</v>
      </c>
      <c r="K188" t="s">
        <v>113</v>
      </c>
      <c r="L188" s="1">
        <v>46143</v>
      </c>
      <c r="M188" s="1">
        <v>46173</v>
      </c>
      <c r="N188">
        <v>13.5677428907</v>
      </c>
      <c r="O188" t="s">
        <v>56</v>
      </c>
      <c r="P188" t="s">
        <v>63</v>
      </c>
      <c r="Q188" t="s">
        <v>3075</v>
      </c>
      <c r="R188" t="s">
        <v>3076</v>
      </c>
      <c r="S188" t="s">
        <v>67</v>
      </c>
      <c r="T188" t="s">
        <v>3350</v>
      </c>
      <c r="U188" t="s">
        <v>3351</v>
      </c>
      <c r="V188">
        <v>16</v>
      </c>
      <c r="W188" s="2">
        <v>2367.0250137415001</v>
      </c>
    </row>
    <row r="189" spans="1:23" x14ac:dyDescent="0.25">
      <c r="A189" t="s">
        <v>31</v>
      </c>
      <c r="B189" t="s">
        <v>32</v>
      </c>
      <c r="C189" t="s">
        <v>33</v>
      </c>
      <c r="D189" t="s">
        <v>34</v>
      </c>
      <c r="E189" t="s">
        <v>35</v>
      </c>
      <c r="F189" t="s">
        <v>36</v>
      </c>
      <c r="G189">
        <v>1141685</v>
      </c>
      <c r="H189" t="s">
        <v>77</v>
      </c>
      <c r="I189" t="s">
        <v>96</v>
      </c>
      <c r="J189" t="s">
        <v>77</v>
      </c>
      <c r="K189" t="s">
        <v>111</v>
      </c>
      <c r="L189" s="1">
        <v>46143</v>
      </c>
      <c r="M189" s="1">
        <v>46173</v>
      </c>
      <c r="N189">
        <v>1.55218076E-2</v>
      </c>
      <c r="O189" t="s">
        <v>56</v>
      </c>
      <c r="P189" t="s">
        <v>63</v>
      </c>
      <c r="Q189" t="s">
        <v>3075</v>
      </c>
      <c r="R189" t="s">
        <v>3080</v>
      </c>
      <c r="S189" t="s">
        <v>67</v>
      </c>
      <c r="T189" t="s">
        <v>3352</v>
      </c>
      <c r="U189" t="s">
        <v>3353</v>
      </c>
      <c r="V189">
        <v>16</v>
      </c>
      <c r="W189" s="2">
        <v>2.7029824066999999</v>
      </c>
    </row>
    <row r="190" spans="1:23" x14ac:dyDescent="0.25">
      <c r="A190" t="s">
        <v>31</v>
      </c>
      <c r="B190" t="s">
        <v>32</v>
      </c>
      <c r="C190" t="s">
        <v>33</v>
      </c>
      <c r="D190" t="s">
        <v>34</v>
      </c>
      <c r="E190" t="s">
        <v>35</v>
      </c>
      <c r="F190" t="s">
        <v>36</v>
      </c>
      <c r="G190">
        <v>1141685</v>
      </c>
      <c r="H190" t="s">
        <v>77</v>
      </c>
      <c r="I190" t="s">
        <v>96</v>
      </c>
      <c r="J190" t="s">
        <v>77</v>
      </c>
      <c r="K190" t="s">
        <v>111</v>
      </c>
      <c r="L190" s="1">
        <v>46143</v>
      </c>
      <c r="M190" s="1">
        <v>46173</v>
      </c>
      <c r="N190">
        <v>1.1480369363</v>
      </c>
      <c r="O190" t="s">
        <v>56</v>
      </c>
      <c r="P190" t="s">
        <v>63</v>
      </c>
      <c r="Q190" t="s">
        <v>3075</v>
      </c>
      <c r="R190" t="s">
        <v>3080</v>
      </c>
      <c r="S190" t="s">
        <v>67</v>
      </c>
      <c r="T190" t="s">
        <v>3354</v>
      </c>
      <c r="U190" t="s">
        <v>3355</v>
      </c>
      <c r="V190">
        <v>15</v>
      </c>
      <c r="W190" s="2">
        <v>200.28214103720001</v>
      </c>
    </row>
    <row r="191" spans="1:23" x14ac:dyDescent="0.25">
      <c r="A191" t="s">
        <v>31</v>
      </c>
      <c r="B191" t="s">
        <v>32</v>
      </c>
      <c r="C191" t="s">
        <v>33</v>
      </c>
      <c r="D191" t="s">
        <v>34</v>
      </c>
      <c r="E191" t="s">
        <v>35</v>
      </c>
      <c r="F191" t="s">
        <v>36</v>
      </c>
      <c r="G191">
        <v>1141685</v>
      </c>
      <c r="H191" t="s">
        <v>80</v>
      </c>
      <c r="I191" t="s">
        <v>96</v>
      </c>
      <c r="J191" t="s">
        <v>80</v>
      </c>
      <c r="K191" t="s">
        <v>122</v>
      </c>
      <c r="L191" s="1">
        <v>46143</v>
      </c>
      <c r="M191" s="1">
        <v>46173</v>
      </c>
      <c r="N191">
        <v>0.97551619450000004</v>
      </c>
      <c r="O191" t="s">
        <v>56</v>
      </c>
      <c r="P191" t="s">
        <v>63</v>
      </c>
      <c r="Q191" t="s">
        <v>3075</v>
      </c>
      <c r="R191" t="s">
        <v>3080</v>
      </c>
      <c r="S191" t="s">
        <v>67</v>
      </c>
      <c r="T191" t="s">
        <v>3356</v>
      </c>
      <c r="U191" t="s">
        <v>3357</v>
      </c>
      <c r="V191">
        <v>16</v>
      </c>
      <c r="W191" s="2">
        <v>170.18592865139999</v>
      </c>
    </row>
    <row r="192" spans="1:23" x14ac:dyDescent="0.25">
      <c r="A192" t="s">
        <v>31</v>
      </c>
      <c r="B192" t="s">
        <v>32</v>
      </c>
      <c r="C192" t="s">
        <v>33</v>
      </c>
      <c r="D192" t="s">
        <v>34</v>
      </c>
      <c r="E192" t="s">
        <v>35</v>
      </c>
      <c r="F192" t="s">
        <v>36</v>
      </c>
      <c r="G192">
        <v>1141685</v>
      </c>
      <c r="H192" t="s">
        <v>80</v>
      </c>
      <c r="I192" t="s">
        <v>96</v>
      </c>
      <c r="J192" t="s">
        <v>80</v>
      </c>
      <c r="K192" t="s">
        <v>122</v>
      </c>
      <c r="L192" s="1">
        <v>46143</v>
      </c>
      <c r="M192" s="1">
        <v>46173</v>
      </c>
      <c r="N192">
        <v>1.4568662532000001</v>
      </c>
      <c r="O192" t="s">
        <v>56</v>
      </c>
      <c r="P192" t="s">
        <v>63</v>
      </c>
      <c r="Q192" t="s">
        <v>3075</v>
      </c>
      <c r="R192" t="s">
        <v>3080</v>
      </c>
      <c r="S192" t="s">
        <v>67</v>
      </c>
      <c r="T192" t="s">
        <v>3358</v>
      </c>
      <c r="U192" t="s">
        <v>3359</v>
      </c>
      <c r="V192">
        <v>16</v>
      </c>
      <c r="W192" s="2">
        <v>254.16510014209999</v>
      </c>
    </row>
    <row r="193" spans="1:23" x14ac:dyDescent="0.25">
      <c r="A193" t="s">
        <v>31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>
        <v>1141685</v>
      </c>
      <c r="H193" t="s">
        <v>77</v>
      </c>
      <c r="I193" t="s">
        <v>96</v>
      </c>
      <c r="J193" t="s">
        <v>77</v>
      </c>
      <c r="K193" t="s">
        <v>111</v>
      </c>
      <c r="L193" s="1">
        <v>46143</v>
      </c>
      <c r="M193" s="1">
        <v>46173</v>
      </c>
      <c r="N193">
        <v>3.5326630800000001E-2</v>
      </c>
      <c r="O193" t="s">
        <v>56</v>
      </c>
      <c r="P193" t="s">
        <v>63</v>
      </c>
      <c r="Q193" t="s">
        <v>3094</v>
      </c>
      <c r="R193" t="s">
        <v>3156</v>
      </c>
      <c r="S193" t="s">
        <v>67</v>
      </c>
      <c r="T193" t="s">
        <v>3360</v>
      </c>
      <c r="U193" t="s">
        <v>3361</v>
      </c>
      <c r="V193">
        <v>7</v>
      </c>
      <c r="W193" s="2">
        <v>6.1635139272000004</v>
      </c>
    </row>
    <row r="194" spans="1:23" x14ac:dyDescent="0.25">
      <c r="A194" t="s">
        <v>31</v>
      </c>
      <c r="B194" t="s">
        <v>32</v>
      </c>
      <c r="C194" t="s">
        <v>33</v>
      </c>
      <c r="D194" t="s">
        <v>34</v>
      </c>
      <c r="E194" t="s">
        <v>35</v>
      </c>
      <c r="F194" t="s">
        <v>36</v>
      </c>
      <c r="G194">
        <v>1141685</v>
      </c>
      <c r="H194" t="s">
        <v>79</v>
      </c>
      <c r="I194" t="s">
        <v>94</v>
      </c>
      <c r="J194" t="s">
        <v>101</v>
      </c>
      <c r="K194" t="s">
        <v>116</v>
      </c>
      <c r="L194" s="1">
        <v>46143</v>
      </c>
      <c r="M194" s="1">
        <v>46173</v>
      </c>
      <c r="N194">
        <v>6.3426800000000001E-5</v>
      </c>
      <c r="O194" t="s">
        <v>56</v>
      </c>
      <c r="P194" t="s">
        <v>63</v>
      </c>
      <c r="Q194" t="s">
        <v>3075</v>
      </c>
      <c r="R194" t="s">
        <v>3076</v>
      </c>
      <c r="S194" t="s">
        <v>67</v>
      </c>
      <c r="T194" t="s">
        <v>3362</v>
      </c>
      <c r="U194" t="s">
        <v>3363</v>
      </c>
      <c r="V194">
        <v>16</v>
      </c>
      <c r="W194" s="2">
        <v>8.7900685100000001E-2</v>
      </c>
    </row>
    <row r="195" spans="1:23" x14ac:dyDescent="0.25">
      <c r="A195" t="s">
        <v>31</v>
      </c>
      <c r="B195" t="s">
        <v>32</v>
      </c>
      <c r="C195" t="s">
        <v>33</v>
      </c>
      <c r="D195" t="s">
        <v>34</v>
      </c>
      <c r="E195" t="s">
        <v>35</v>
      </c>
      <c r="F195" t="s">
        <v>36</v>
      </c>
      <c r="G195">
        <v>1141685</v>
      </c>
      <c r="H195" t="s">
        <v>79</v>
      </c>
      <c r="I195" t="s">
        <v>94</v>
      </c>
      <c r="J195" t="s">
        <v>101</v>
      </c>
      <c r="K195" t="s">
        <v>116</v>
      </c>
      <c r="L195" s="1">
        <v>46143</v>
      </c>
      <c r="M195" s="1">
        <v>46173</v>
      </c>
      <c r="N195">
        <v>1.0885523735</v>
      </c>
      <c r="O195" t="s">
        <v>56</v>
      </c>
      <c r="P195" t="s">
        <v>63</v>
      </c>
      <c r="Q195" t="s">
        <v>3075</v>
      </c>
      <c r="R195" t="s">
        <v>3080</v>
      </c>
      <c r="S195" t="s">
        <v>67</v>
      </c>
      <c r="T195" t="s">
        <v>3364</v>
      </c>
      <c r="U195" t="s">
        <v>3365</v>
      </c>
      <c r="V195">
        <v>16</v>
      </c>
      <c r="W195" s="2">
        <v>1519.2682833992001</v>
      </c>
    </row>
    <row r="196" spans="1:23" x14ac:dyDescent="0.25">
      <c r="A196" t="s">
        <v>31</v>
      </c>
      <c r="B196" t="s">
        <v>32</v>
      </c>
      <c r="C196" t="s">
        <v>33</v>
      </c>
      <c r="D196" t="s">
        <v>34</v>
      </c>
      <c r="E196" t="s">
        <v>35</v>
      </c>
      <c r="F196" t="s">
        <v>36</v>
      </c>
      <c r="G196">
        <v>1141685</v>
      </c>
      <c r="H196" t="s">
        <v>79</v>
      </c>
      <c r="I196" t="s">
        <v>94</v>
      </c>
      <c r="J196" t="s">
        <v>101</v>
      </c>
      <c r="K196" t="s">
        <v>116</v>
      </c>
      <c r="L196" s="1">
        <v>46143</v>
      </c>
      <c r="M196" s="1">
        <v>46173</v>
      </c>
      <c r="N196">
        <v>1.373487E-4</v>
      </c>
      <c r="O196" t="s">
        <v>56</v>
      </c>
      <c r="P196" t="s">
        <v>63</v>
      </c>
      <c r="Q196" t="s">
        <v>3075</v>
      </c>
      <c r="R196" t="s">
        <v>3080</v>
      </c>
      <c r="S196" t="s">
        <v>67</v>
      </c>
      <c r="T196" t="s">
        <v>3366</v>
      </c>
      <c r="U196" t="s">
        <v>3367</v>
      </c>
      <c r="V196">
        <v>16</v>
      </c>
      <c r="W196" s="2">
        <v>0.1886914036</v>
      </c>
    </row>
    <row r="197" spans="1:23" x14ac:dyDescent="0.25">
      <c r="A197" t="s">
        <v>31</v>
      </c>
      <c r="B197" t="s">
        <v>32</v>
      </c>
      <c r="C197" t="s">
        <v>33</v>
      </c>
      <c r="D197" t="s">
        <v>34</v>
      </c>
      <c r="E197" t="s">
        <v>35</v>
      </c>
      <c r="F197" t="s">
        <v>36</v>
      </c>
      <c r="G197">
        <v>1141685</v>
      </c>
      <c r="H197" t="s">
        <v>79</v>
      </c>
      <c r="I197" t="s">
        <v>94</v>
      </c>
      <c r="J197" t="s">
        <v>101</v>
      </c>
      <c r="K197" t="s">
        <v>114</v>
      </c>
      <c r="L197" s="1">
        <v>46143</v>
      </c>
      <c r="M197" s="1">
        <v>46173</v>
      </c>
      <c r="N197">
        <v>0.74289104159999997</v>
      </c>
      <c r="O197" t="s">
        <v>56</v>
      </c>
      <c r="P197" t="s">
        <v>63</v>
      </c>
      <c r="Q197" t="s">
        <v>3075</v>
      </c>
      <c r="R197" t="s">
        <v>3080</v>
      </c>
      <c r="S197" t="s">
        <v>67</v>
      </c>
      <c r="T197" t="s">
        <v>3368</v>
      </c>
      <c r="U197" t="s">
        <v>3369</v>
      </c>
      <c r="V197">
        <v>16</v>
      </c>
      <c r="W197" s="2">
        <v>1036.8375886187</v>
      </c>
    </row>
    <row r="198" spans="1:23" x14ac:dyDescent="0.25">
      <c r="A198" t="s">
        <v>31</v>
      </c>
      <c r="B198" t="s">
        <v>32</v>
      </c>
      <c r="C198" t="s">
        <v>33</v>
      </c>
      <c r="D198" t="s">
        <v>34</v>
      </c>
      <c r="E198" t="s">
        <v>35</v>
      </c>
      <c r="F198" t="s">
        <v>36</v>
      </c>
      <c r="G198">
        <v>1141685</v>
      </c>
      <c r="H198" t="s">
        <v>79</v>
      </c>
      <c r="I198" t="s">
        <v>94</v>
      </c>
      <c r="J198" t="s">
        <v>101</v>
      </c>
      <c r="K198" t="s">
        <v>114</v>
      </c>
      <c r="L198" s="1">
        <v>46143</v>
      </c>
      <c r="M198" s="1">
        <v>46173</v>
      </c>
      <c r="N198">
        <v>1.8853338909999999</v>
      </c>
      <c r="O198" t="s">
        <v>56</v>
      </c>
      <c r="P198" t="s">
        <v>63</v>
      </c>
      <c r="Q198" t="s">
        <v>3075</v>
      </c>
      <c r="R198" t="s">
        <v>3080</v>
      </c>
      <c r="S198" t="s">
        <v>67</v>
      </c>
      <c r="T198" t="s">
        <v>3370</v>
      </c>
      <c r="U198" t="s">
        <v>3371</v>
      </c>
      <c r="V198">
        <v>16</v>
      </c>
      <c r="W198" s="2">
        <v>2631.3240684218999</v>
      </c>
    </row>
    <row r="199" spans="1:23" x14ac:dyDescent="0.25">
      <c r="A199" t="s">
        <v>31</v>
      </c>
      <c r="B199" t="s">
        <v>32</v>
      </c>
      <c r="C199" t="s">
        <v>33</v>
      </c>
      <c r="D199" t="s">
        <v>34</v>
      </c>
      <c r="E199" t="s">
        <v>35</v>
      </c>
      <c r="F199" t="s">
        <v>36</v>
      </c>
      <c r="G199">
        <v>1141685</v>
      </c>
      <c r="H199" t="s">
        <v>79</v>
      </c>
      <c r="I199" t="s">
        <v>94</v>
      </c>
      <c r="J199" t="s">
        <v>101</v>
      </c>
      <c r="K199" t="s">
        <v>114</v>
      </c>
      <c r="L199" s="1">
        <v>46143</v>
      </c>
      <c r="M199" s="1">
        <v>46173</v>
      </c>
      <c r="N199">
        <v>1.2984720208</v>
      </c>
      <c r="O199" t="s">
        <v>56</v>
      </c>
      <c r="P199" t="s">
        <v>63</v>
      </c>
      <c r="Q199" t="s">
        <v>3075</v>
      </c>
      <c r="R199" t="s">
        <v>3080</v>
      </c>
      <c r="S199" t="s">
        <v>67</v>
      </c>
      <c r="T199" t="s">
        <v>3372</v>
      </c>
      <c r="U199" t="s">
        <v>3373</v>
      </c>
      <c r="V199">
        <v>16</v>
      </c>
      <c r="W199" s="2">
        <v>1812.2512583585999</v>
      </c>
    </row>
    <row r="200" spans="1:23" x14ac:dyDescent="0.25">
      <c r="A200" t="s">
        <v>31</v>
      </c>
      <c r="B200" t="s">
        <v>32</v>
      </c>
      <c r="C200" t="s">
        <v>33</v>
      </c>
      <c r="D200" t="s">
        <v>34</v>
      </c>
      <c r="E200" t="s">
        <v>35</v>
      </c>
      <c r="F200" t="s">
        <v>36</v>
      </c>
      <c r="G200">
        <v>1141685</v>
      </c>
      <c r="H200" t="s">
        <v>75</v>
      </c>
      <c r="I200" t="s">
        <v>94</v>
      </c>
      <c r="J200" t="s">
        <v>98</v>
      </c>
      <c r="K200" t="s">
        <v>108</v>
      </c>
      <c r="L200" s="1">
        <v>46143</v>
      </c>
      <c r="M200" s="1">
        <v>46173</v>
      </c>
      <c r="N200">
        <v>6.9406694000000001E-3</v>
      </c>
      <c r="O200" t="s">
        <v>56</v>
      </c>
      <c r="P200" t="s">
        <v>63</v>
      </c>
      <c r="Q200" t="s">
        <v>3075</v>
      </c>
      <c r="R200" t="s">
        <v>3087</v>
      </c>
      <c r="S200" t="s">
        <v>67</v>
      </c>
      <c r="T200" t="s">
        <v>3374</v>
      </c>
      <c r="U200" t="s">
        <v>3375</v>
      </c>
      <c r="V200">
        <v>16</v>
      </c>
      <c r="W200" s="2">
        <v>13.281591836500001</v>
      </c>
    </row>
    <row r="201" spans="1:23" x14ac:dyDescent="0.25">
      <c r="A201" t="s">
        <v>31</v>
      </c>
      <c r="B201" t="s">
        <v>32</v>
      </c>
      <c r="C201" t="s">
        <v>33</v>
      </c>
      <c r="D201" t="s">
        <v>34</v>
      </c>
      <c r="E201" t="s">
        <v>35</v>
      </c>
      <c r="F201" t="s">
        <v>36</v>
      </c>
      <c r="G201">
        <v>1141685</v>
      </c>
      <c r="H201" t="s">
        <v>75</v>
      </c>
      <c r="I201" t="s">
        <v>94</v>
      </c>
      <c r="J201" t="s">
        <v>98</v>
      </c>
      <c r="K201" t="s">
        <v>108</v>
      </c>
      <c r="L201" s="1">
        <v>46143</v>
      </c>
      <c r="M201" s="1">
        <v>46173</v>
      </c>
      <c r="N201">
        <v>1.9871600000000001E-5</v>
      </c>
      <c r="O201" t="s">
        <v>56</v>
      </c>
      <c r="P201" t="s">
        <v>63</v>
      </c>
      <c r="Q201" t="s">
        <v>3075</v>
      </c>
      <c r="R201" t="s">
        <v>3080</v>
      </c>
      <c r="S201" t="s">
        <v>67</v>
      </c>
      <c r="T201" t="s">
        <v>3376</v>
      </c>
      <c r="U201" t="s">
        <v>3377</v>
      </c>
      <c r="V201">
        <v>16</v>
      </c>
      <c r="W201" s="2">
        <v>3.6609455700000001E-2</v>
      </c>
    </row>
    <row r="202" spans="1:23" x14ac:dyDescent="0.25">
      <c r="A202" t="s">
        <v>31</v>
      </c>
      <c r="B202" t="s">
        <v>32</v>
      </c>
      <c r="C202" t="s">
        <v>33</v>
      </c>
      <c r="D202" t="s">
        <v>34</v>
      </c>
      <c r="E202" t="s">
        <v>35</v>
      </c>
      <c r="F202" t="s">
        <v>36</v>
      </c>
      <c r="G202">
        <v>1141685</v>
      </c>
      <c r="H202" t="s">
        <v>75</v>
      </c>
      <c r="I202" t="s">
        <v>94</v>
      </c>
      <c r="J202" t="s">
        <v>98</v>
      </c>
      <c r="K202" t="s">
        <v>108</v>
      </c>
      <c r="L202" s="1">
        <v>46143</v>
      </c>
      <c r="M202" s="1">
        <v>46173</v>
      </c>
      <c r="N202">
        <v>0.18727390469999999</v>
      </c>
      <c r="O202" t="s">
        <v>56</v>
      </c>
      <c r="P202" t="s">
        <v>63</v>
      </c>
      <c r="Q202" t="s">
        <v>3075</v>
      </c>
      <c r="R202" t="s">
        <v>3080</v>
      </c>
      <c r="S202" t="s">
        <v>67</v>
      </c>
      <c r="T202" t="s">
        <v>3378</v>
      </c>
      <c r="U202" t="s">
        <v>3379</v>
      </c>
      <c r="V202">
        <v>16</v>
      </c>
      <c r="W202" s="2">
        <v>392.06426513420001</v>
      </c>
    </row>
    <row r="203" spans="1:23" x14ac:dyDescent="0.25">
      <c r="A203" t="s">
        <v>31</v>
      </c>
      <c r="B203" t="s">
        <v>32</v>
      </c>
      <c r="C203" t="s">
        <v>33</v>
      </c>
      <c r="D203" t="s">
        <v>34</v>
      </c>
      <c r="E203" t="s">
        <v>35</v>
      </c>
      <c r="F203" t="s">
        <v>36</v>
      </c>
      <c r="G203">
        <v>1141685</v>
      </c>
      <c r="H203" t="s">
        <v>75</v>
      </c>
      <c r="I203" t="s">
        <v>94</v>
      </c>
      <c r="J203" t="s">
        <v>98</v>
      </c>
      <c r="K203" t="s">
        <v>108</v>
      </c>
      <c r="L203" s="1">
        <v>46143</v>
      </c>
      <c r="M203" s="1">
        <v>46173</v>
      </c>
      <c r="N203">
        <v>1.12467E-5</v>
      </c>
      <c r="O203" t="s">
        <v>56</v>
      </c>
      <c r="P203" t="s">
        <v>63</v>
      </c>
      <c r="Q203" t="s">
        <v>3075</v>
      </c>
      <c r="R203" t="s">
        <v>3080</v>
      </c>
      <c r="S203" t="s">
        <v>67</v>
      </c>
      <c r="T203" t="s">
        <v>3380</v>
      </c>
      <c r="U203" t="s">
        <v>3381</v>
      </c>
      <c r="V203">
        <v>16</v>
      </c>
      <c r="W203" s="2">
        <v>2.0719678799999999E-2</v>
      </c>
    </row>
    <row r="204" spans="1:23" x14ac:dyDescent="0.25">
      <c r="A204" t="s">
        <v>31</v>
      </c>
      <c r="B204" t="s">
        <v>32</v>
      </c>
      <c r="C204" t="s">
        <v>33</v>
      </c>
      <c r="D204" t="s">
        <v>34</v>
      </c>
      <c r="E204" t="s">
        <v>35</v>
      </c>
      <c r="F204" t="s">
        <v>36</v>
      </c>
      <c r="G204">
        <v>1141685</v>
      </c>
      <c r="H204" t="s">
        <v>75</v>
      </c>
      <c r="I204" t="s">
        <v>94</v>
      </c>
      <c r="J204" t="s">
        <v>98</v>
      </c>
      <c r="K204" t="s">
        <v>108</v>
      </c>
      <c r="L204" s="1">
        <v>46143</v>
      </c>
      <c r="M204" s="1">
        <v>46173</v>
      </c>
      <c r="N204">
        <v>4.7225821799999998E-2</v>
      </c>
      <c r="O204" t="s">
        <v>56</v>
      </c>
      <c r="P204" t="s">
        <v>63</v>
      </c>
      <c r="Q204" t="s">
        <v>3075</v>
      </c>
      <c r="R204" t="s">
        <v>3080</v>
      </c>
      <c r="S204" t="s">
        <v>67</v>
      </c>
      <c r="T204" t="s">
        <v>3382</v>
      </c>
      <c r="U204" t="s">
        <v>3383</v>
      </c>
      <c r="V204">
        <v>15</v>
      </c>
      <c r="W204" s="2">
        <v>92.825791592900003</v>
      </c>
    </row>
    <row r="205" spans="1:23" x14ac:dyDescent="0.25">
      <c r="A205" t="s">
        <v>31</v>
      </c>
      <c r="B205" t="s">
        <v>32</v>
      </c>
      <c r="C205" t="s">
        <v>33</v>
      </c>
      <c r="D205" t="s">
        <v>34</v>
      </c>
      <c r="E205" t="s">
        <v>35</v>
      </c>
      <c r="F205" t="s">
        <v>36</v>
      </c>
      <c r="G205">
        <v>1141685</v>
      </c>
      <c r="H205" t="s">
        <v>75</v>
      </c>
      <c r="I205" t="s">
        <v>94</v>
      </c>
      <c r="J205" t="s">
        <v>98</v>
      </c>
      <c r="K205" t="s">
        <v>108</v>
      </c>
      <c r="L205" s="1">
        <v>46143</v>
      </c>
      <c r="M205" s="1">
        <v>46173</v>
      </c>
      <c r="N205">
        <v>4.5542788700000003E-2</v>
      </c>
      <c r="O205" t="s">
        <v>56</v>
      </c>
      <c r="P205" t="s">
        <v>63</v>
      </c>
      <c r="Q205" t="s">
        <v>3075</v>
      </c>
      <c r="R205" t="s">
        <v>3080</v>
      </c>
      <c r="S205" t="s">
        <v>67</v>
      </c>
      <c r="T205" t="s">
        <v>3384</v>
      </c>
      <c r="U205" t="s">
        <v>3385</v>
      </c>
      <c r="V205">
        <v>15</v>
      </c>
      <c r="W205" s="2">
        <v>87.715247764500006</v>
      </c>
    </row>
    <row r="206" spans="1:23" x14ac:dyDescent="0.25">
      <c r="A206" t="s">
        <v>31</v>
      </c>
      <c r="B206" t="s">
        <v>32</v>
      </c>
      <c r="C206" t="s">
        <v>33</v>
      </c>
      <c r="D206" t="s">
        <v>34</v>
      </c>
      <c r="E206" t="s">
        <v>35</v>
      </c>
      <c r="F206" t="s">
        <v>36</v>
      </c>
      <c r="G206">
        <v>1141685</v>
      </c>
      <c r="H206" t="s">
        <v>75</v>
      </c>
      <c r="I206" t="s">
        <v>94</v>
      </c>
      <c r="J206" t="s">
        <v>98</v>
      </c>
      <c r="K206" t="s">
        <v>108</v>
      </c>
      <c r="L206" s="1">
        <v>46143</v>
      </c>
      <c r="M206" s="1">
        <v>46173</v>
      </c>
      <c r="N206">
        <v>5.1463027500000001E-2</v>
      </c>
      <c r="O206" t="s">
        <v>56</v>
      </c>
      <c r="P206" t="s">
        <v>63</v>
      </c>
      <c r="Q206" t="s">
        <v>3075</v>
      </c>
      <c r="R206" t="s">
        <v>3076</v>
      </c>
      <c r="S206" t="s">
        <v>67</v>
      </c>
      <c r="T206" t="s">
        <v>3386</v>
      </c>
      <c r="U206" t="s">
        <v>3387</v>
      </c>
      <c r="V206">
        <v>16</v>
      </c>
      <c r="W206" s="2">
        <v>107.7402120216</v>
      </c>
    </row>
    <row r="207" spans="1:23" x14ac:dyDescent="0.25">
      <c r="A207" t="s">
        <v>31</v>
      </c>
      <c r="B207" t="s">
        <v>32</v>
      </c>
      <c r="C207" t="s">
        <v>33</v>
      </c>
      <c r="D207" t="s">
        <v>34</v>
      </c>
      <c r="E207" t="s">
        <v>35</v>
      </c>
      <c r="F207" t="s">
        <v>36</v>
      </c>
      <c r="G207">
        <v>1141685</v>
      </c>
      <c r="H207" t="s">
        <v>75</v>
      </c>
      <c r="I207" t="s">
        <v>94</v>
      </c>
      <c r="J207" t="s">
        <v>98</v>
      </c>
      <c r="K207" t="s">
        <v>108</v>
      </c>
      <c r="L207" s="1">
        <v>46143</v>
      </c>
      <c r="M207" s="1">
        <v>46173</v>
      </c>
      <c r="N207">
        <v>0.2053437317</v>
      </c>
      <c r="O207" t="s">
        <v>56</v>
      </c>
      <c r="P207" t="s">
        <v>63</v>
      </c>
      <c r="Q207" t="s">
        <v>3075</v>
      </c>
      <c r="R207" t="s">
        <v>3080</v>
      </c>
      <c r="S207" t="s">
        <v>67</v>
      </c>
      <c r="T207" t="s">
        <v>3388</v>
      </c>
      <c r="U207" t="s">
        <v>3389</v>
      </c>
      <c r="V207">
        <v>16</v>
      </c>
      <c r="W207" s="2">
        <v>429.89426404490001</v>
      </c>
    </row>
    <row r="208" spans="1:23" x14ac:dyDescent="0.25">
      <c r="A208" t="s">
        <v>31</v>
      </c>
      <c r="B208" t="s">
        <v>32</v>
      </c>
      <c r="C208" t="s">
        <v>33</v>
      </c>
      <c r="D208" t="s">
        <v>34</v>
      </c>
      <c r="E208" t="s">
        <v>35</v>
      </c>
      <c r="F208" t="s">
        <v>36</v>
      </c>
      <c r="G208">
        <v>1141685</v>
      </c>
      <c r="H208" t="s">
        <v>75</v>
      </c>
      <c r="I208" t="s">
        <v>94</v>
      </c>
      <c r="J208" t="s">
        <v>98</v>
      </c>
      <c r="K208" t="s">
        <v>108</v>
      </c>
      <c r="L208" s="1">
        <v>46143</v>
      </c>
      <c r="M208" s="1">
        <v>46173</v>
      </c>
      <c r="N208">
        <v>0.19400785030000001</v>
      </c>
      <c r="O208" t="s">
        <v>56</v>
      </c>
      <c r="P208" t="s">
        <v>63</v>
      </c>
      <c r="Q208" t="s">
        <v>3075</v>
      </c>
      <c r="R208" t="s">
        <v>3080</v>
      </c>
      <c r="S208" t="s">
        <v>67</v>
      </c>
      <c r="T208" t="s">
        <v>3390</v>
      </c>
      <c r="U208" t="s">
        <v>3391</v>
      </c>
      <c r="V208">
        <v>16</v>
      </c>
      <c r="W208" s="2">
        <v>406.16019689849998</v>
      </c>
    </row>
    <row r="209" spans="1:23" x14ac:dyDescent="0.25">
      <c r="A209" t="s">
        <v>31</v>
      </c>
      <c r="B209" t="s">
        <v>32</v>
      </c>
      <c r="C209" t="s">
        <v>33</v>
      </c>
      <c r="D209" t="s">
        <v>34</v>
      </c>
      <c r="E209" t="s">
        <v>35</v>
      </c>
      <c r="F209" t="s">
        <v>36</v>
      </c>
      <c r="G209">
        <v>1141685</v>
      </c>
      <c r="H209" t="s">
        <v>80</v>
      </c>
      <c r="I209" t="s">
        <v>96</v>
      </c>
      <c r="J209" t="s">
        <v>80</v>
      </c>
      <c r="K209" t="s">
        <v>122</v>
      </c>
      <c r="L209" s="1">
        <v>46143</v>
      </c>
      <c r="M209" s="1">
        <v>46173</v>
      </c>
      <c r="N209">
        <v>6.8740591399999995E-2</v>
      </c>
      <c r="O209" t="s">
        <v>56</v>
      </c>
      <c r="P209" t="s">
        <v>63</v>
      </c>
      <c r="Q209" t="s">
        <v>3075</v>
      </c>
      <c r="R209" t="s">
        <v>3080</v>
      </c>
      <c r="S209" t="s">
        <v>67</v>
      </c>
      <c r="T209" t="s">
        <v>3392</v>
      </c>
      <c r="U209" t="s">
        <v>3393</v>
      </c>
      <c r="V209">
        <v>15</v>
      </c>
      <c r="W209" s="2">
        <v>11.993385547100001</v>
      </c>
    </row>
    <row r="210" spans="1:23" x14ac:dyDescent="0.25">
      <c r="A210" t="s">
        <v>31</v>
      </c>
      <c r="B210" t="s">
        <v>32</v>
      </c>
      <c r="C210" t="s">
        <v>33</v>
      </c>
      <c r="D210" t="s">
        <v>34</v>
      </c>
      <c r="E210" t="s">
        <v>35</v>
      </c>
      <c r="F210" t="s">
        <v>36</v>
      </c>
      <c r="G210">
        <v>1141685</v>
      </c>
      <c r="H210" t="s">
        <v>80</v>
      </c>
      <c r="I210" t="s">
        <v>96</v>
      </c>
      <c r="J210" t="s">
        <v>80</v>
      </c>
      <c r="K210" t="s">
        <v>122</v>
      </c>
      <c r="L210" s="1">
        <v>46143</v>
      </c>
      <c r="M210" s="1">
        <v>46173</v>
      </c>
      <c r="N210">
        <v>1.40212476E-2</v>
      </c>
      <c r="O210" t="s">
        <v>56</v>
      </c>
      <c r="P210" t="s">
        <v>63</v>
      </c>
      <c r="Q210" t="s">
        <v>3075</v>
      </c>
      <c r="R210" t="s">
        <v>3076</v>
      </c>
      <c r="S210" t="s">
        <v>67</v>
      </c>
      <c r="T210" t="s">
        <v>3394</v>
      </c>
      <c r="U210" t="s">
        <v>3395</v>
      </c>
      <c r="V210">
        <v>15</v>
      </c>
      <c r="W210" s="2">
        <v>2.4426092368000001</v>
      </c>
    </row>
    <row r="211" spans="1:23" x14ac:dyDescent="0.25">
      <c r="A211" t="s">
        <v>31</v>
      </c>
      <c r="B211" t="s">
        <v>32</v>
      </c>
      <c r="C211" t="s">
        <v>33</v>
      </c>
      <c r="D211" t="s">
        <v>34</v>
      </c>
      <c r="E211" t="s">
        <v>35</v>
      </c>
      <c r="F211" t="s">
        <v>36</v>
      </c>
      <c r="G211">
        <v>1141685</v>
      </c>
      <c r="H211" t="s">
        <v>79</v>
      </c>
      <c r="I211" t="s">
        <v>94</v>
      </c>
      <c r="J211" t="s">
        <v>101</v>
      </c>
      <c r="K211" t="s">
        <v>116</v>
      </c>
      <c r="L211" s="1">
        <v>46143</v>
      </c>
      <c r="M211" s="1">
        <v>46173</v>
      </c>
      <c r="N211">
        <v>0.1598219508</v>
      </c>
      <c r="O211" t="s">
        <v>56</v>
      </c>
      <c r="P211" t="s">
        <v>63</v>
      </c>
      <c r="Q211" t="s">
        <v>3075</v>
      </c>
      <c r="R211" t="s">
        <v>3076</v>
      </c>
      <c r="S211" t="s">
        <v>67</v>
      </c>
      <c r="T211" t="s">
        <v>3396</v>
      </c>
      <c r="U211" t="s">
        <v>3397</v>
      </c>
      <c r="V211">
        <v>16</v>
      </c>
      <c r="W211" s="2">
        <v>223.06306429189999</v>
      </c>
    </row>
    <row r="212" spans="1:23" x14ac:dyDescent="0.25">
      <c r="A212" t="s">
        <v>31</v>
      </c>
      <c r="B212" t="s">
        <v>32</v>
      </c>
      <c r="C212" t="s">
        <v>33</v>
      </c>
      <c r="D212" t="s">
        <v>34</v>
      </c>
      <c r="E212" t="s">
        <v>35</v>
      </c>
      <c r="F212" t="s">
        <v>36</v>
      </c>
      <c r="G212">
        <v>1141685</v>
      </c>
      <c r="H212" t="s">
        <v>76</v>
      </c>
      <c r="I212" t="s">
        <v>95</v>
      </c>
      <c r="J212" t="s">
        <v>99</v>
      </c>
      <c r="K212" t="s">
        <v>109</v>
      </c>
      <c r="L212" s="1">
        <v>46143</v>
      </c>
      <c r="M212" s="1">
        <v>46173</v>
      </c>
      <c r="N212">
        <v>0.700013</v>
      </c>
      <c r="O212" t="s">
        <v>58</v>
      </c>
      <c r="P212" t="s">
        <v>63</v>
      </c>
      <c r="Q212" t="s">
        <v>3079</v>
      </c>
      <c r="R212" t="s">
        <v>3076</v>
      </c>
      <c r="S212" t="s">
        <v>67</v>
      </c>
      <c r="T212" t="s">
        <v>3123</v>
      </c>
      <c r="U212" t="s">
        <v>3124</v>
      </c>
      <c r="V212">
        <v>16</v>
      </c>
      <c r="W212" s="2">
        <v>0</v>
      </c>
    </row>
    <row r="213" spans="1:23" x14ac:dyDescent="0.25">
      <c r="A213" t="s">
        <v>31</v>
      </c>
      <c r="B213" t="s">
        <v>32</v>
      </c>
      <c r="C213" t="s">
        <v>33</v>
      </c>
      <c r="D213" t="s">
        <v>34</v>
      </c>
      <c r="E213" t="s">
        <v>35</v>
      </c>
      <c r="F213" t="s">
        <v>36</v>
      </c>
      <c r="G213">
        <v>1141685</v>
      </c>
      <c r="H213" t="s">
        <v>80</v>
      </c>
      <c r="I213" t="s">
        <v>96</v>
      </c>
      <c r="J213" t="s">
        <v>80</v>
      </c>
      <c r="K213" t="s">
        <v>122</v>
      </c>
      <c r="L213" s="1">
        <v>46143</v>
      </c>
      <c r="M213" s="1">
        <v>46173</v>
      </c>
      <c r="N213">
        <v>0.5899260435</v>
      </c>
      <c r="O213" t="s">
        <v>56</v>
      </c>
      <c r="P213" t="s">
        <v>63</v>
      </c>
      <c r="Q213" t="s">
        <v>3075</v>
      </c>
      <c r="R213" t="s">
        <v>3080</v>
      </c>
      <c r="S213" t="s">
        <v>67</v>
      </c>
      <c r="T213" t="s">
        <v>3398</v>
      </c>
      <c r="U213" t="s">
        <v>3399</v>
      </c>
      <c r="V213">
        <v>16</v>
      </c>
      <c r="W213" s="2">
        <v>102.91827784500001</v>
      </c>
    </row>
    <row r="214" spans="1:23" x14ac:dyDescent="0.25">
      <c r="A214" t="s">
        <v>31</v>
      </c>
      <c r="B214" t="s">
        <v>32</v>
      </c>
      <c r="C214" t="s">
        <v>33</v>
      </c>
      <c r="D214" t="s">
        <v>34</v>
      </c>
      <c r="E214" t="s">
        <v>35</v>
      </c>
      <c r="F214" t="s">
        <v>36</v>
      </c>
      <c r="G214">
        <v>1141685</v>
      </c>
      <c r="H214" t="s">
        <v>80</v>
      </c>
      <c r="I214" t="s">
        <v>96</v>
      </c>
      <c r="J214" t="s">
        <v>80</v>
      </c>
      <c r="K214" t="s">
        <v>122</v>
      </c>
      <c r="L214" s="1">
        <v>46143</v>
      </c>
      <c r="M214" s="1">
        <v>46173</v>
      </c>
      <c r="N214">
        <v>7.8380000000000002E-6</v>
      </c>
      <c r="O214" t="s">
        <v>56</v>
      </c>
      <c r="P214" t="s">
        <v>63</v>
      </c>
      <c r="Q214" t="s">
        <v>3075</v>
      </c>
      <c r="R214" t="s">
        <v>3080</v>
      </c>
      <c r="S214" t="s">
        <v>67</v>
      </c>
      <c r="T214" t="s">
        <v>3400</v>
      </c>
      <c r="U214" t="s">
        <v>3401</v>
      </c>
      <c r="V214">
        <v>16</v>
      </c>
      <c r="W214" s="2">
        <v>1.2033289999999999E-3</v>
      </c>
    </row>
    <row r="215" spans="1:23" x14ac:dyDescent="0.25">
      <c r="A215" t="s">
        <v>31</v>
      </c>
      <c r="B215" t="s">
        <v>32</v>
      </c>
      <c r="C215" t="s">
        <v>33</v>
      </c>
      <c r="D215" t="s">
        <v>34</v>
      </c>
      <c r="E215" t="s">
        <v>35</v>
      </c>
      <c r="F215" t="s">
        <v>36</v>
      </c>
      <c r="G215">
        <v>1141685</v>
      </c>
      <c r="H215" t="s">
        <v>76</v>
      </c>
      <c r="I215" t="s">
        <v>95</v>
      </c>
      <c r="J215" t="s">
        <v>99</v>
      </c>
      <c r="K215" t="s">
        <v>109</v>
      </c>
      <c r="L215" s="1">
        <v>46143</v>
      </c>
      <c r="M215" s="1">
        <v>46173</v>
      </c>
      <c r="N215">
        <v>4.9167649999999998</v>
      </c>
      <c r="O215" t="s">
        <v>58</v>
      </c>
      <c r="P215" t="s">
        <v>63</v>
      </c>
      <c r="Q215" t="s">
        <v>3079</v>
      </c>
      <c r="R215" t="s">
        <v>3076</v>
      </c>
      <c r="S215" t="s">
        <v>67</v>
      </c>
      <c r="T215" t="s">
        <v>3271</v>
      </c>
      <c r="U215" t="s">
        <v>3272</v>
      </c>
      <c r="V215">
        <v>15</v>
      </c>
      <c r="W215" s="2">
        <v>0</v>
      </c>
    </row>
    <row r="216" spans="1:23" x14ac:dyDescent="0.25">
      <c r="A216" t="s">
        <v>31</v>
      </c>
      <c r="B216" t="s">
        <v>32</v>
      </c>
      <c r="C216" t="s">
        <v>33</v>
      </c>
      <c r="D216" t="s">
        <v>34</v>
      </c>
      <c r="E216" t="s">
        <v>35</v>
      </c>
      <c r="F216" t="s">
        <v>36</v>
      </c>
      <c r="G216">
        <v>1141685</v>
      </c>
      <c r="H216" t="s">
        <v>76</v>
      </c>
      <c r="I216" t="s">
        <v>95</v>
      </c>
      <c r="J216" t="s">
        <v>99</v>
      </c>
      <c r="K216" t="s">
        <v>109</v>
      </c>
      <c r="L216" s="1">
        <v>46143</v>
      </c>
      <c r="M216" s="1">
        <v>46173</v>
      </c>
      <c r="N216">
        <v>2.950056</v>
      </c>
      <c r="O216" t="s">
        <v>58</v>
      </c>
      <c r="P216" t="s">
        <v>63</v>
      </c>
      <c r="Q216" t="s">
        <v>3079</v>
      </c>
      <c r="R216" t="s">
        <v>3080</v>
      </c>
      <c r="S216" t="s">
        <v>67</v>
      </c>
      <c r="T216" t="s">
        <v>3081</v>
      </c>
      <c r="U216" t="s">
        <v>3082</v>
      </c>
      <c r="V216">
        <v>16</v>
      </c>
      <c r="W216" s="2">
        <v>0</v>
      </c>
    </row>
    <row r="217" spans="1:23" x14ac:dyDescent="0.25">
      <c r="A217" t="s">
        <v>31</v>
      </c>
      <c r="B217" t="s">
        <v>32</v>
      </c>
      <c r="C217" t="s">
        <v>33</v>
      </c>
      <c r="D217" t="s">
        <v>34</v>
      </c>
      <c r="E217" t="s">
        <v>35</v>
      </c>
      <c r="F217" t="s">
        <v>36</v>
      </c>
      <c r="G217">
        <v>1141685</v>
      </c>
      <c r="H217" t="s">
        <v>76</v>
      </c>
      <c r="I217" t="s">
        <v>95</v>
      </c>
      <c r="J217" t="s">
        <v>99</v>
      </c>
      <c r="K217" t="s">
        <v>109</v>
      </c>
      <c r="L217" s="1">
        <v>46143</v>
      </c>
      <c r="M217" s="1">
        <v>46173</v>
      </c>
      <c r="N217">
        <v>76</v>
      </c>
      <c r="O217" t="s">
        <v>58</v>
      </c>
      <c r="P217" t="s">
        <v>63</v>
      </c>
      <c r="Q217" t="s">
        <v>3079</v>
      </c>
      <c r="R217" t="s">
        <v>3080</v>
      </c>
      <c r="S217" t="s">
        <v>67</v>
      </c>
      <c r="T217" t="s">
        <v>3081</v>
      </c>
      <c r="U217" t="s">
        <v>3082</v>
      </c>
      <c r="V217">
        <v>16</v>
      </c>
      <c r="W217" s="2">
        <v>0</v>
      </c>
    </row>
    <row r="218" spans="1:23" x14ac:dyDescent="0.25">
      <c r="A218" t="s">
        <v>31</v>
      </c>
      <c r="B218" t="s">
        <v>32</v>
      </c>
      <c r="C218" t="s">
        <v>33</v>
      </c>
      <c r="D218" t="s">
        <v>34</v>
      </c>
      <c r="E218" t="s">
        <v>35</v>
      </c>
      <c r="F218" t="s">
        <v>36</v>
      </c>
      <c r="G218">
        <v>1141685</v>
      </c>
      <c r="H218" t="s">
        <v>79</v>
      </c>
      <c r="I218" t="s">
        <v>94</v>
      </c>
      <c r="J218" t="s">
        <v>101</v>
      </c>
      <c r="K218" t="s">
        <v>116</v>
      </c>
      <c r="L218" s="1">
        <v>46143</v>
      </c>
      <c r="M218" s="1">
        <v>46173</v>
      </c>
      <c r="N218">
        <v>5.1277827499999998E-2</v>
      </c>
      <c r="O218" t="s">
        <v>56</v>
      </c>
      <c r="P218" t="s">
        <v>63</v>
      </c>
      <c r="Q218" t="s">
        <v>3075</v>
      </c>
      <c r="R218" t="s">
        <v>3076</v>
      </c>
      <c r="S218" t="s">
        <v>67</v>
      </c>
      <c r="T218" t="s">
        <v>3402</v>
      </c>
      <c r="U218" t="s">
        <v>3403</v>
      </c>
      <c r="V218">
        <v>16</v>
      </c>
      <c r="W218" s="2">
        <v>71.569345655199996</v>
      </c>
    </row>
    <row r="219" spans="1:23" x14ac:dyDescent="0.25">
      <c r="A219" t="s">
        <v>31</v>
      </c>
      <c r="B219" t="s">
        <v>32</v>
      </c>
      <c r="C219" t="s">
        <v>33</v>
      </c>
      <c r="D219" t="s">
        <v>34</v>
      </c>
      <c r="E219" t="s">
        <v>35</v>
      </c>
      <c r="F219" t="s">
        <v>36</v>
      </c>
      <c r="G219">
        <v>1141685</v>
      </c>
      <c r="H219" t="s">
        <v>79</v>
      </c>
      <c r="I219" t="s">
        <v>94</v>
      </c>
      <c r="J219" t="s">
        <v>101</v>
      </c>
      <c r="K219" t="s">
        <v>116</v>
      </c>
      <c r="L219" s="1">
        <v>46143</v>
      </c>
      <c r="M219" s="1">
        <v>46173</v>
      </c>
      <c r="N219">
        <v>5.3275380000000002E-4</v>
      </c>
      <c r="O219" t="s">
        <v>56</v>
      </c>
      <c r="P219" t="s">
        <v>63</v>
      </c>
      <c r="Q219" t="s">
        <v>3075</v>
      </c>
      <c r="R219" t="s">
        <v>3080</v>
      </c>
      <c r="S219" t="s">
        <v>67</v>
      </c>
      <c r="T219" t="s">
        <v>3404</v>
      </c>
      <c r="U219" t="s">
        <v>3405</v>
      </c>
      <c r="V219">
        <v>16</v>
      </c>
      <c r="W219" s="2">
        <v>0.74432732229999998</v>
      </c>
    </row>
    <row r="220" spans="1:23" x14ac:dyDescent="0.25">
      <c r="A220" t="s">
        <v>31</v>
      </c>
      <c r="B220" t="s">
        <v>32</v>
      </c>
      <c r="C220" t="s">
        <v>33</v>
      </c>
      <c r="D220" t="s">
        <v>34</v>
      </c>
      <c r="E220" t="s">
        <v>35</v>
      </c>
      <c r="F220" t="s">
        <v>36</v>
      </c>
      <c r="G220">
        <v>1141685</v>
      </c>
      <c r="H220" t="s">
        <v>79</v>
      </c>
      <c r="I220" t="s">
        <v>94</v>
      </c>
      <c r="J220" t="s">
        <v>101</v>
      </c>
      <c r="K220" t="s">
        <v>116</v>
      </c>
      <c r="L220" s="1">
        <v>46143</v>
      </c>
      <c r="M220" s="1">
        <v>46173</v>
      </c>
      <c r="N220">
        <v>1.1868813065999999</v>
      </c>
      <c r="O220" t="s">
        <v>56</v>
      </c>
      <c r="P220" t="s">
        <v>63</v>
      </c>
      <c r="Q220" t="s">
        <v>3075</v>
      </c>
      <c r="R220" t="s">
        <v>3080</v>
      </c>
      <c r="S220" t="s">
        <v>67</v>
      </c>
      <c r="T220" t="s">
        <v>3406</v>
      </c>
      <c r="U220" t="s">
        <v>3407</v>
      </c>
      <c r="V220">
        <v>16</v>
      </c>
      <c r="W220" s="2">
        <v>1656.5057217307999</v>
      </c>
    </row>
    <row r="221" spans="1:23" x14ac:dyDescent="0.25">
      <c r="A221" t="s">
        <v>31</v>
      </c>
      <c r="B221" t="s">
        <v>32</v>
      </c>
      <c r="C221" t="s">
        <v>33</v>
      </c>
      <c r="D221" t="s">
        <v>34</v>
      </c>
      <c r="E221" t="s">
        <v>35</v>
      </c>
      <c r="F221" t="s">
        <v>36</v>
      </c>
      <c r="G221">
        <v>1141685</v>
      </c>
      <c r="H221" t="s">
        <v>79</v>
      </c>
      <c r="I221" t="s">
        <v>94</v>
      </c>
      <c r="J221" t="s">
        <v>101</v>
      </c>
      <c r="K221" t="s">
        <v>116</v>
      </c>
      <c r="L221" s="1">
        <v>46143</v>
      </c>
      <c r="M221" s="1">
        <v>46173</v>
      </c>
      <c r="N221">
        <v>0.26329512150000001</v>
      </c>
      <c r="O221" t="s">
        <v>56</v>
      </c>
      <c r="P221" t="s">
        <v>63</v>
      </c>
      <c r="Q221" t="s">
        <v>3075</v>
      </c>
      <c r="R221" t="s">
        <v>3080</v>
      </c>
      <c r="S221" t="s">
        <v>67</v>
      </c>
      <c r="T221" t="s">
        <v>3408</v>
      </c>
      <c r="U221" t="s">
        <v>3409</v>
      </c>
      <c r="V221">
        <v>15</v>
      </c>
      <c r="W221" s="2">
        <v>304.47997872100001</v>
      </c>
    </row>
    <row r="222" spans="1:23" x14ac:dyDescent="0.25">
      <c r="A222" t="s">
        <v>31</v>
      </c>
      <c r="B222" t="s">
        <v>32</v>
      </c>
      <c r="C222" t="s">
        <v>33</v>
      </c>
      <c r="D222" t="s">
        <v>34</v>
      </c>
      <c r="E222" t="s">
        <v>35</v>
      </c>
      <c r="F222" t="s">
        <v>36</v>
      </c>
      <c r="G222">
        <v>1141685</v>
      </c>
      <c r="H222" t="s">
        <v>79</v>
      </c>
      <c r="I222" t="s">
        <v>94</v>
      </c>
      <c r="J222" t="s">
        <v>101</v>
      </c>
      <c r="K222" t="s">
        <v>114</v>
      </c>
      <c r="L222" s="1">
        <v>46143</v>
      </c>
      <c r="M222" s="1">
        <v>46173</v>
      </c>
      <c r="N222">
        <v>1.3337317165</v>
      </c>
      <c r="O222" t="s">
        <v>56</v>
      </c>
      <c r="P222" t="s">
        <v>63</v>
      </c>
      <c r="Q222" t="s">
        <v>3075</v>
      </c>
      <c r="R222" t="s">
        <v>3080</v>
      </c>
      <c r="S222" t="s">
        <v>67</v>
      </c>
      <c r="T222" t="s">
        <v>3410</v>
      </c>
      <c r="U222" t="s">
        <v>3411</v>
      </c>
      <c r="V222">
        <v>16</v>
      </c>
      <c r="W222" s="2">
        <v>1861.467160231</v>
      </c>
    </row>
    <row r="223" spans="1:23" x14ac:dyDescent="0.25">
      <c r="A223" t="s">
        <v>31</v>
      </c>
      <c r="B223" t="s">
        <v>32</v>
      </c>
      <c r="C223" t="s">
        <v>33</v>
      </c>
      <c r="D223" t="s">
        <v>34</v>
      </c>
      <c r="E223" t="s">
        <v>35</v>
      </c>
      <c r="F223" t="s">
        <v>36</v>
      </c>
      <c r="G223">
        <v>1141685</v>
      </c>
      <c r="H223" t="s">
        <v>79</v>
      </c>
      <c r="I223" t="s">
        <v>94</v>
      </c>
      <c r="J223" t="s">
        <v>101</v>
      </c>
      <c r="K223" t="s">
        <v>114</v>
      </c>
      <c r="L223" s="1">
        <v>46143</v>
      </c>
      <c r="M223" s="1">
        <v>46173</v>
      </c>
      <c r="N223">
        <v>8.3819999999999997E-7</v>
      </c>
      <c r="O223" t="s">
        <v>56</v>
      </c>
      <c r="P223" t="s">
        <v>63</v>
      </c>
      <c r="Q223" t="s">
        <v>3075</v>
      </c>
      <c r="R223" t="s">
        <v>3080</v>
      </c>
      <c r="S223" t="s">
        <v>67</v>
      </c>
      <c r="T223" t="s">
        <v>3412</v>
      </c>
      <c r="U223" t="s">
        <v>3413</v>
      </c>
      <c r="V223">
        <v>16</v>
      </c>
      <c r="W223" s="2">
        <v>1.0294639999999999E-3</v>
      </c>
    </row>
    <row r="224" spans="1:23" x14ac:dyDescent="0.25">
      <c r="A224" t="s">
        <v>31</v>
      </c>
      <c r="B224" t="s">
        <v>32</v>
      </c>
      <c r="C224" t="s">
        <v>33</v>
      </c>
      <c r="D224" t="s">
        <v>34</v>
      </c>
      <c r="E224" t="s">
        <v>35</v>
      </c>
      <c r="F224" t="s">
        <v>36</v>
      </c>
      <c r="G224">
        <v>1141685</v>
      </c>
      <c r="H224" t="s">
        <v>79</v>
      </c>
      <c r="I224" t="s">
        <v>94</v>
      </c>
      <c r="J224" t="s">
        <v>101</v>
      </c>
      <c r="K224" t="s">
        <v>114</v>
      </c>
      <c r="L224" s="1">
        <v>46143</v>
      </c>
      <c r="M224" s="1">
        <v>46173</v>
      </c>
      <c r="N224">
        <v>8.2286191199999997E-2</v>
      </c>
      <c r="O224" t="s">
        <v>56</v>
      </c>
      <c r="P224" t="s">
        <v>63</v>
      </c>
      <c r="Q224" t="s">
        <v>3075</v>
      </c>
      <c r="R224" t="s">
        <v>3080</v>
      </c>
      <c r="S224" t="s">
        <v>67</v>
      </c>
      <c r="T224" t="s">
        <v>3414</v>
      </c>
      <c r="U224" t="s">
        <v>3415</v>
      </c>
      <c r="V224">
        <v>15</v>
      </c>
      <c r="W224" s="2">
        <v>114.84376834</v>
      </c>
    </row>
    <row r="225" spans="1:23" x14ac:dyDescent="0.25">
      <c r="A225" t="s">
        <v>31</v>
      </c>
      <c r="B225" t="s">
        <v>32</v>
      </c>
      <c r="C225" t="s">
        <v>33</v>
      </c>
      <c r="D225" t="s">
        <v>34</v>
      </c>
      <c r="E225" t="s">
        <v>35</v>
      </c>
      <c r="F225" t="s">
        <v>36</v>
      </c>
      <c r="G225">
        <v>1141685</v>
      </c>
      <c r="H225" t="s">
        <v>79</v>
      </c>
      <c r="I225" t="s">
        <v>94</v>
      </c>
      <c r="J225" t="s">
        <v>101</v>
      </c>
      <c r="K225" t="s">
        <v>114</v>
      </c>
      <c r="L225" s="1">
        <v>46143</v>
      </c>
      <c r="M225" s="1">
        <v>46173</v>
      </c>
      <c r="N225">
        <v>5.5899999999999998E-8</v>
      </c>
      <c r="O225" t="s">
        <v>56</v>
      </c>
      <c r="P225" t="s">
        <v>63</v>
      </c>
      <c r="Q225" t="s">
        <v>3075</v>
      </c>
      <c r="R225" t="s">
        <v>3080</v>
      </c>
      <c r="S225" t="s">
        <v>67</v>
      </c>
      <c r="T225" t="s">
        <v>3416</v>
      </c>
      <c r="U225" t="s">
        <v>3417</v>
      </c>
      <c r="V225">
        <v>16</v>
      </c>
      <c r="W225" s="2">
        <v>6.86308E-5</v>
      </c>
    </row>
    <row r="226" spans="1:23" x14ac:dyDescent="0.25">
      <c r="A226" t="s">
        <v>31</v>
      </c>
      <c r="B226" t="s">
        <v>32</v>
      </c>
      <c r="C226" t="s">
        <v>33</v>
      </c>
      <c r="D226" t="s">
        <v>34</v>
      </c>
      <c r="E226" t="s">
        <v>35</v>
      </c>
      <c r="F226" t="s">
        <v>36</v>
      </c>
      <c r="G226">
        <v>1141685</v>
      </c>
      <c r="H226" t="s">
        <v>79</v>
      </c>
      <c r="I226" t="s">
        <v>94</v>
      </c>
      <c r="J226" t="s">
        <v>101</v>
      </c>
      <c r="K226" t="s">
        <v>114</v>
      </c>
      <c r="L226" s="1">
        <v>46143</v>
      </c>
      <c r="M226" s="1">
        <v>46173</v>
      </c>
      <c r="N226">
        <v>8.6155052300000007E-2</v>
      </c>
      <c r="O226" t="s">
        <v>56</v>
      </c>
      <c r="P226" t="s">
        <v>63</v>
      </c>
      <c r="Q226" t="s">
        <v>3075</v>
      </c>
      <c r="R226" t="s">
        <v>3080</v>
      </c>
      <c r="S226" t="s">
        <v>67</v>
      </c>
      <c r="T226" t="s">
        <v>3418</v>
      </c>
      <c r="U226" t="s">
        <v>3419</v>
      </c>
      <c r="V226">
        <v>15</v>
      </c>
      <c r="W226" s="2">
        <v>120.2454973821</v>
      </c>
    </row>
    <row r="227" spans="1:23" x14ac:dyDescent="0.25">
      <c r="A227" t="s">
        <v>31</v>
      </c>
      <c r="B227" t="s">
        <v>32</v>
      </c>
      <c r="C227" t="s">
        <v>33</v>
      </c>
      <c r="D227" t="s">
        <v>34</v>
      </c>
      <c r="E227" t="s">
        <v>35</v>
      </c>
      <c r="F227" t="s">
        <v>36</v>
      </c>
      <c r="G227">
        <v>1141685</v>
      </c>
      <c r="H227" t="s">
        <v>80</v>
      </c>
      <c r="I227" t="s">
        <v>96</v>
      </c>
      <c r="J227" t="s">
        <v>80</v>
      </c>
      <c r="K227" t="s">
        <v>122</v>
      </c>
      <c r="L227" s="1">
        <v>46143</v>
      </c>
      <c r="M227" s="1">
        <v>46173</v>
      </c>
      <c r="N227">
        <v>3.8294828999999998E-3</v>
      </c>
      <c r="O227" t="s">
        <v>56</v>
      </c>
      <c r="P227" t="s">
        <v>63</v>
      </c>
      <c r="Q227" t="s">
        <v>3075</v>
      </c>
      <c r="R227" t="s">
        <v>3076</v>
      </c>
      <c r="S227" t="s">
        <v>67</v>
      </c>
      <c r="T227" t="s">
        <v>3420</v>
      </c>
      <c r="U227" t="s">
        <v>3421</v>
      </c>
      <c r="V227">
        <v>15</v>
      </c>
      <c r="W227" s="2">
        <v>0.66792060209999993</v>
      </c>
    </row>
    <row r="228" spans="1:23" x14ac:dyDescent="0.25">
      <c r="A228" t="s">
        <v>31</v>
      </c>
      <c r="B228" t="s">
        <v>32</v>
      </c>
      <c r="C228" t="s">
        <v>33</v>
      </c>
      <c r="D228" t="s">
        <v>34</v>
      </c>
      <c r="E228" t="s">
        <v>35</v>
      </c>
      <c r="F228" t="s">
        <v>36</v>
      </c>
      <c r="G228">
        <v>1141685</v>
      </c>
      <c r="H228" t="s">
        <v>77</v>
      </c>
      <c r="I228" t="s">
        <v>96</v>
      </c>
      <c r="J228" t="s">
        <v>77</v>
      </c>
      <c r="K228" t="s">
        <v>110</v>
      </c>
      <c r="L228" s="1">
        <v>46143</v>
      </c>
      <c r="M228" s="1">
        <v>46173</v>
      </c>
      <c r="N228">
        <v>744</v>
      </c>
      <c r="O228" t="s">
        <v>58</v>
      </c>
      <c r="P228" t="s">
        <v>63</v>
      </c>
      <c r="Q228" t="s">
        <v>3094</v>
      </c>
      <c r="R228" t="s">
        <v>3422</v>
      </c>
      <c r="S228" t="s">
        <v>67</v>
      </c>
      <c r="T228" t="s">
        <v>3102</v>
      </c>
      <c r="U228" t="s">
        <v>3103</v>
      </c>
      <c r="V228">
        <v>7</v>
      </c>
      <c r="W228" s="2">
        <v>129798.2412</v>
      </c>
    </row>
    <row r="229" spans="1:23" x14ac:dyDescent="0.25">
      <c r="A229" t="s">
        <v>31</v>
      </c>
      <c r="B229" t="s">
        <v>32</v>
      </c>
      <c r="C229" t="s">
        <v>33</v>
      </c>
      <c r="D229" t="s">
        <v>34</v>
      </c>
      <c r="E229" t="s">
        <v>35</v>
      </c>
      <c r="F229" t="s">
        <v>36</v>
      </c>
      <c r="G229">
        <v>1141685</v>
      </c>
      <c r="H229" t="s">
        <v>86</v>
      </c>
      <c r="I229" t="s">
        <v>42</v>
      </c>
      <c r="J229" t="s">
        <v>86</v>
      </c>
      <c r="K229" t="s">
        <v>124</v>
      </c>
      <c r="L229" s="1">
        <v>46143</v>
      </c>
      <c r="M229" s="1">
        <v>46173</v>
      </c>
      <c r="N229">
        <v>0.18681600000000001</v>
      </c>
      <c r="O229" t="s">
        <v>135</v>
      </c>
      <c r="P229" t="s">
        <v>63</v>
      </c>
      <c r="Q229" t="s">
        <v>3079</v>
      </c>
      <c r="R229" t="s">
        <v>3339</v>
      </c>
      <c r="S229" t="s">
        <v>67</v>
      </c>
      <c r="T229" t="s">
        <v>3423</v>
      </c>
      <c r="U229" t="s">
        <v>3424</v>
      </c>
      <c r="V229">
        <v>16</v>
      </c>
      <c r="W229" s="2">
        <v>64238.672291532799</v>
      </c>
    </row>
    <row r="230" spans="1:23" x14ac:dyDescent="0.25">
      <c r="A230" t="s">
        <v>31</v>
      </c>
      <c r="B230" t="s">
        <v>32</v>
      </c>
      <c r="C230" t="s">
        <v>33</v>
      </c>
      <c r="D230" t="s">
        <v>34</v>
      </c>
      <c r="E230" t="s">
        <v>35</v>
      </c>
      <c r="F230" t="s">
        <v>36</v>
      </c>
      <c r="G230">
        <v>1141685</v>
      </c>
      <c r="H230" t="s">
        <v>77</v>
      </c>
      <c r="I230" t="s">
        <v>96</v>
      </c>
      <c r="J230" t="s">
        <v>77</v>
      </c>
      <c r="K230" t="s">
        <v>111</v>
      </c>
      <c r="L230" s="1">
        <v>46143</v>
      </c>
      <c r="M230" s="1">
        <v>46173</v>
      </c>
      <c r="N230">
        <v>1.115045E-4</v>
      </c>
      <c r="O230" t="s">
        <v>56</v>
      </c>
      <c r="P230" t="s">
        <v>63</v>
      </c>
      <c r="Q230" t="s">
        <v>3075</v>
      </c>
      <c r="R230" t="s">
        <v>3076</v>
      </c>
      <c r="S230" t="s">
        <v>67</v>
      </c>
      <c r="T230" t="s">
        <v>3425</v>
      </c>
      <c r="U230" t="s">
        <v>3426</v>
      </c>
      <c r="V230">
        <v>16</v>
      </c>
      <c r="W230" s="2">
        <v>1.7118699599999999E-2</v>
      </c>
    </row>
    <row r="231" spans="1:23" x14ac:dyDescent="0.25">
      <c r="A231" t="s">
        <v>31</v>
      </c>
      <c r="B231" t="s">
        <v>32</v>
      </c>
      <c r="C231" t="s">
        <v>33</v>
      </c>
      <c r="D231" t="s">
        <v>34</v>
      </c>
      <c r="E231" t="s">
        <v>35</v>
      </c>
      <c r="F231" t="s">
        <v>36</v>
      </c>
      <c r="G231">
        <v>1141685</v>
      </c>
      <c r="H231" t="s">
        <v>77</v>
      </c>
      <c r="I231" t="s">
        <v>96</v>
      </c>
      <c r="J231" t="s">
        <v>77</v>
      </c>
      <c r="K231" t="s">
        <v>111</v>
      </c>
      <c r="L231" s="1">
        <v>46143</v>
      </c>
      <c r="M231" s="1">
        <v>46173</v>
      </c>
      <c r="N231">
        <v>0.16043735200000001</v>
      </c>
      <c r="O231" t="s">
        <v>56</v>
      </c>
      <c r="P231" t="s">
        <v>63</v>
      </c>
      <c r="Q231" t="s">
        <v>3075</v>
      </c>
      <c r="R231" t="s">
        <v>3076</v>
      </c>
      <c r="S231" t="s">
        <v>67</v>
      </c>
      <c r="T231" t="s">
        <v>3427</v>
      </c>
      <c r="U231" t="s">
        <v>3428</v>
      </c>
      <c r="V231">
        <v>15</v>
      </c>
      <c r="W231" s="2">
        <v>27.991112381400001</v>
      </c>
    </row>
    <row r="232" spans="1:23" x14ac:dyDescent="0.25">
      <c r="A232" t="s">
        <v>31</v>
      </c>
      <c r="B232" t="s">
        <v>32</v>
      </c>
      <c r="C232" t="s">
        <v>33</v>
      </c>
      <c r="D232" t="s">
        <v>34</v>
      </c>
      <c r="E232" t="s">
        <v>35</v>
      </c>
      <c r="F232" t="s">
        <v>36</v>
      </c>
      <c r="G232">
        <v>1141685</v>
      </c>
      <c r="H232" t="s">
        <v>77</v>
      </c>
      <c r="I232" t="s">
        <v>96</v>
      </c>
      <c r="J232" t="s">
        <v>77</v>
      </c>
      <c r="K232" t="s">
        <v>111</v>
      </c>
      <c r="L232" s="1">
        <v>46143</v>
      </c>
      <c r="M232" s="1">
        <v>46173</v>
      </c>
      <c r="N232">
        <v>3.8287951386999999</v>
      </c>
      <c r="O232" t="s">
        <v>56</v>
      </c>
      <c r="P232" t="s">
        <v>63</v>
      </c>
      <c r="Q232" t="s">
        <v>3075</v>
      </c>
      <c r="R232" t="s">
        <v>3080</v>
      </c>
      <c r="S232" t="s">
        <v>67</v>
      </c>
      <c r="T232" t="s">
        <v>3429</v>
      </c>
      <c r="U232" t="s">
        <v>3430</v>
      </c>
      <c r="V232">
        <v>15</v>
      </c>
      <c r="W232" s="2">
        <v>667.97500791660002</v>
      </c>
    </row>
    <row r="233" spans="1:23" x14ac:dyDescent="0.25">
      <c r="A233" t="s">
        <v>31</v>
      </c>
      <c r="B233" t="s">
        <v>32</v>
      </c>
      <c r="C233" t="s">
        <v>33</v>
      </c>
      <c r="D233" t="s">
        <v>34</v>
      </c>
      <c r="E233" t="s">
        <v>35</v>
      </c>
      <c r="F233" t="s">
        <v>36</v>
      </c>
      <c r="G233">
        <v>1141685</v>
      </c>
      <c r="H233" t="s">
        <v>77</v>
      </c>
      <c r="I233" t="s">
        <v>96</v>
      </c>
      <c r="J233" t="s">
        <v>77</v>
      </c>
      <c r="K233" t="s">
        <v>111</v>
      </c>
      <c r="L233" s="1">
        <v>46143</v>
      </c>
      <c r="M233" s="1">
        <v>46173</v>
      </c>
      <c r="N233">
        <v>9.5074289134000001</v>
      </c>
      <c r="O233" t="s">
        <v>56</v>
      </c>
      <c r="P233" t="s">
        <v>63</v>
      </c>
      <c r="Q233" t="s">
        <v>3075</v>
      </c>
      <c r="R233" t="s">
        <v>3080</v>
      </c>
      <c r="S233" t="s">
        <v>67</v>
      </c>
      <c r="T233" t="s">
        <v>3431</v>
      </c>
      <c r="U233" t="s">
        <v>3432</v>
      </c>
      <c r="V233">
        <v>16</v>
      </c>
      <c r="W233" s="2">
        <v>1658.6661224376001</v>
      </c>
    </row>
    <row r="234" spans="1:23" x14ac:dyDescent="0.25">
      <c r="A234" t="s">
        <v>31</v>
      </c>
      <c r="B234" t="s">
        <v>32</v>
      </c>
      <c r="C234" t="s">
        <v>33</v>
      </c>
      <c r="D234" t="s">
        <v>34</v>
      </c>
      <c r="E234" t="s">
        <v>35</v>
      </c>
      <c r="F234" t="s">
        <v>36</v>
      </c>
      <c r="G234">
        <v>1141685</v>
      </c>
      <c r="H234" t="s">
        <v>87</v>
      </c>
      <c r="I234" t="s">
        <v>87</v>
      </c>
      <c r="J234" t="s">
        <v>87</v>
      </c>
      <c r="K234" t="s">
        <v>131</v>
      </c>
      <c r="L234" s="1">
        <v>46143</v>
      </c>
      <c r="M234" s="1">
        <v>46173</v>
      </c>
      <c r="N234">
        <v>36.4510954609</v>
      </c>
      <c r="O234" t="s">
        <v>56</v>
      </c>
      <c r="P234" t="s">
        <v>63</v>
      </c>
      <c r="Q234" t="s">
        <v>3075</v>
      </c>
      <c r="R234" t="s">
        <v>158</v>
      </c>
      <c r="S234" t="s">
        <v>67</v>
      </c>
      <c r="T234" t="s">
        <v>3433</v>
      </c>
      <c r="U234" t="s">
        <v>3434</v>
      </c>
      <c r="V234">
        <v>12</v>
      </c>
      <c r="W234" s="2">
        <v>3179.6335702052002</v>
      </c>
    </row>
    <row r="235" spans="1:23" x14ac:dyDescent="0.25">
      <c r="A235" t="s">
        <v>31</v>
      </c>
      <c r="B235" t="s">
        <v>32</v>
      </c>
      <c r="C235" t="s">
        <v>33</v>
      </c>
      <c r="D235" t="s">
        <v>34</v>
      </c>
      <c r="E235" t="s">
        <v>35</v>
      </c>
      <c r="F235" t="s">
        <v>36</v>
      </c>
      <c r="G235">
        <v>1141685</v>
      </c>
      <c r="H235" t="s">
        <v>77</v>
      </c>
      <c r="I235" t="s">
        <v>96</v>
      </c>
      <c r="J235" t="s">
        <v>77</v>
      </c>
      <c r="K235" t="s">
        <v>113</v>
      </c>
      <c r="L235" s="1">
        <v>46143</v>
      </c>
      <c r="M235" s="1">
        <v>46173</v>
      </c>
      <c r="N235">
        <v>0.26974224019999998</v>
      </c>
      <c r="O235" t="s">
        <v>56</v>
      </c>
      <c r="P235" t="s">
        <v>63</v>
      </c>
      <c r="Q235" t="s">
        <v>3075</v>
      </c>
      <c r="R235" t="s">
        <v>3076</v>
      </c>
      <c r="S235" t="s">
        <v>67</v>
      </c>
      <c r="T235" t="s">
        <v>3435</v>
      </c>
      <c r="U235" t="s">
        <v>3436</v>
      </c>
      <c r="V235">
        <v>16</v>
      </c>
      <c r="W235" s="2">
        <v>47.062123477</v>
      </c>
    </row>
    <row r="236" spans="1:23" x14ac:dyDescent="0.25">
      <c r="A236" t="s">
        <v>31</v>
      </c>
      <c r="B236" t="s">
        <v>32</v>
      </c>
      <c r="C236" t="s">
        <v>33</v>
      </c>
      <c r="D236" t="s">
        <v>34</v>
      </c>
      <c r="E236" t="s">
        <v>35</v>
      </c>
      <c r="F236" t="s">
        <v>36</v>
      </c>
      <c r="G236">
        <v>1141685</v>
      </c>
      <c r="H236" t="s">
        <v>77</v>
      </c>
      <c r="I236" t="s">
        <v>96</v>
      </c>
      <c r="J236" t="s">
        <v>77</v>
      </c>
      <c r="K236" t="s">
        <v>113</v>
      </c>
      <c r="L236" s="1">
        <v>46143</v>
      </c>
      <c r="M236" s="1">
        <v>46173</v>
      </c>
      <c r="N236">
        <v>4.214477E-4</v>
      </c>
      <c r="O236" t="s">
        <v>56</v>
      </c>
      <c r="P236" t="s">
        <v>63</v>
      </c>
      <c r="Q236" t="s">
        <v>3075</v>
      </c>
      <c r="R236" t="s">
        <v>3076</v>
      </c>
      <c r="S236" t="s">
        <v>67</v>
      </c>
      <c r="T236" t="s">
        <v>3437</v>
      </c>
      <c r="U236" t="s">
        <v>3438</v>
      </c>
      <c r="V236">
        <v>16</v>
      </c>
      <c r="W236" s="2">
        <v>7.4702670599999993E-2</v>
      </c>
    </row>
    <row r="237" spans="1:23" x14ac:dyDescent="0.25">
      <c r="A237" t="s">
        <v>31</v>
      </c>
      <c r="B237" t="s">
        <v>32</v>
      </c>
      <c r="C237" t="s">
        <v>33</v>
      </c>
      <c r="D237" t="s">
        <v>34</v>
      </c>
      <c r="E237" t="s">
        <v>35</v>
      </c>
      <c r="F237" t="s">
        <v>36</v>
      </c>
      <c r="G237">
        <v>1141685</v>
      </c>
      <c r="H237" t="s">
        <v>79</v>
      </c>
      <c r="I237" t="s">
        <v>94</v>
      </c>
      <c r="J237" t="s">
        <v>101</v>
      </c>
      <c r="K237" t="s">
        <v>114</v>
      </c>
      <c r="L237" s="1">
        <v>46143</v>
      </c>
      <c r="M237" s="1">
        <v>46173</v>
      </c>
      <c r="N237">
        <v>1.3832650000000001E-4</v>
      </c>
      <c r="O237" t="s">
        <v>56</v>
      </c>
      <c r="P237" t="s">
        <v>63</v>
      </c>
      <c r="Q237" t="s">
        <v>3075</v>
      </c>
      <c r="R237" t="s">
        <v>3087</v>
      </c>
      <c r="S237" t="s">
        <v>67</v>
      </c>
      <c r="T237" t="s">
        <v>3439</v>
      </c>
      <c r="U237" t="s">
        <v>3440</v>
      </c>
      <c r="V237">
        <v>17</v>
      </c>
      <c r="W237" s="2">
        <v>0.18989244490000001</v>
      </c>
    </row>
    <row r="238" spans="1:23" x14ac:dyDescent="0.25">
      <c r="A238" t="s">
        <v>31</v>
      </c>
      <c r="B238" t="s">
        <v>32</v>
      </c>
      <c r="C238" t="s">
        <v>33</v>
      </c>
      <c r="D238" t="s">
        <v>34</v>
      </c>
      <c r="E238" t="s">
        <v>35</v>
      </c>
      <c r="F238" t="s">
        <v>36</v>
      </c>
      <c r="G238">
        <v>1141685</v>
      </c>
      <c r="H238" t="s">
        <v>79</v>
      </c>
      <c r="I238" t="s">
        <v>94</v>
      </c>
      <c r="J238" t="s">
        <v>101</v>
      </c>
      <c r="K238" t="s">
        <v>114</v>
      </c>
      <c r="L238" s="1">
        <v>46143</v>
      </c>
      <c r="M238" s="1">
        <v>46173</v>
      </c>
      <c r="N238">
        <v>1.2258067999999999E-3</v>
      </c>
      <c r="O238" t="s">
        <v>56</v>
      </c>
      <c r="P238" t="s">
        <v>63</v>
      </c>
      <c r="Q238" t="s">
        <v>3075</v>
      </c>
      <c r="R238" t="s">
        <v>3076</v>
      </c>
      <c r="S238" t="s">
        <v>67</v>
      </c>
      <c r="T238" t="s">
        <v>3441</v>
      </c>
      <c r="U238" t="s">
        <v>3442</v>
      </c>
      <c r="V238">
        <v>16</v>
      </c>
      <c r="W238" s="2">
        <v>1.715533916</v>
      </c>
    </row>
    <row r="239" spans="1:23" x14ac:dyDescent="0.25">
      <c r="A239" t="s">
        <v>31</v>
      </c>
      <c r="B239" t="s">
        <v>32</v>
      </c>
      <c r="C239" t="s">
        <v>33</v>
      </c>
      <c r="D239" t="s">
        <v>34</v>
      </c>
      <c r="E239" t="s">
        <v>35</v>
      </c>
      <c r="F239" t="s">
        <v>36</v>
      </c>
      <c r="G239">
        <v>1141685</v>
      </c>
      <c r="H239" t="s">
        <v>79</v>
      </c>
      <c r="I239" t="s">
        <v>94</v>
      </c>
      <c r="J239" t="s">
        <v>101</v>
      </c>
      <c r="K239" t="s">
        <v>114</v>
      </c>
      <c r="L239" s="1">
        <v>46143</v>
      </c>
      <c r="M239" s="1">
        <v>46173</v>
      </c>
      <c r="N239">
        <v>5.5899999999999998E-8</v>
      </c>
      <c r="O239" t="s">
        <v>56</v>
      </c>
      <c r="P239" t="s">
        <v>63</v>
      </c>
      <c r="Q239" t="s">
        <v>3075</v>
      </c>
      <c r="R239" t="s">
        <v>3080</v>
      </c>
      <c r="S239" t="s">
        <v>67</v>
      </c>
      <c r="T239" t="s">
        <v>3416</v>
      </c>
      <c r="U239" t="s">
        <v>3417</v>
      </c>
      <c r="V239">
        <v>16</v>
      </c>
      <c r="W239" s="2">
        <v>6.86308E-5</v>
      </c>
    </row>
    <row r="240" spans="1:23" x14ac:dyDescent="0.25">
      <c r="A240" t="s">
        <v>31</v>
      </c>
      <c r="B240" t="s">
        <v>32</v>
      </c>
      <c r="C240" t="s">
        <v>33</v>
      </c>
      <c r="D240" t="s">
        <v>34</v>
      </c>
      <c r="E240" t="s">
        <v>35</v>
      </c>
      <c r="F240" t="s">
        <v>36</v>
      </c>
      <c r="G240">
        <v>1141685</v>
      </c>
      <c r="H240" t="s">
        <v>79</v>
      </c>
      <c r="I240" t="s">
        <v>94</v>
      </c>
      <c r="J240" t="s">
        <v>101</v>
      </c>
      <c r="K240" t="s">
        <v>114</v>
      </c>
      <c r="L240" s="1">
        <v>46143</v>
      </c>
      <c r="M240" s="1">
        <v>46173</v>
      </c>
      <c r="N240">
        <v>2.150693E-3</v>
      </c>
      <c r="O240" t="s">
        <v>56</v>
      </c>
      <c r="P240" t="s">
        <v>63</v>
      </c>
      <c r="Q240" t="s">
        <v>3075</v>
      </c>
      <c r="R240" t="s">
        <v>3087</v>
      </c>
      <c r="S240" t="s">
        <v>67</v>
      </c>
      <c r="T240" t="s">
        <v>3443</v>
      </c>
      <c r="U240" t="s">
        <v>3444</v>
      </c>
      <c r="V240">
        <v>17</v>
      </c>
      <c r="W240" s="2">
        <v>3.0014776711</v>
      </c>
    </row>
    <row r="241" spans="1:23" x14ac:dyDescent="0.25">
      <c r="A241" t="s">
        <v>31</v>
      </c>
      <c r="B241" t="s">
        <v>32</v>
      </c>
      <c r="C241" t="s">
        <v>33</v>
      </c>
      <c r="D241" t="s">
        <v>34</v>
      </c>
      <c r="E241" t="s">
        <v>35</v>
      </c>
      <c r="F241" t="s">
        <v>36</v>
      </c>
      <c r="G241">
        <v>1141685</v>
      </c>
      <c r="H241" t="s">
        <v>81</v>
      </c>
      <c r="I241" t="s">
        <v>97</v>
      </c>
      <c r="J241" t="s">
        <v>102</v>
      </c>
      <c r="K241" t="s">
        <v>117</v>
      </c>
      <c r="L241" s="1">
        <v>46143</v>
      </c>
      <c r="M241" s="1">
        <v>46173</v>
      </c>
      <c r="N241">
        <v>434</v>
      </c>
      <c r="O241" t="s">
        <v>58</v>
      </c>
      <c r="P241" t="s">
        <v>63</v>
      </c>
      <c r="Q241" t="s">
        <v>3097</v>
      </c>
      <c r="R241" t="s">
        <v>3098</v>
      </c>
      <c r="S241" t="s">
        <v>67</v>
      </c>
      <c r="T241" t="s">
        <v>70</v>
      </c>
      <c r="U241" t="s">
        <v>73</v>
      </c>
      <c r="V241">
        <v>6</v>
      </c>
      <c r="W241" s="2">
        <v>0</v>
      </c>
    </row>
    <row r="242" spans="1:23" x14ac:dyDescent="0.25">
      <c r="A242" t="s">
        <v>31</v>
      </c>
      <c r="B242" t="s">
        <v>32</v>
      </c>
      <c r="C242" t="s">
        <v>33</v>
      </c>
      <c r="D242" t="s">
        <v>34</v>
      </c>
      <c r="E242" t="s">
        <v>35</v>
      </c>
      <c r="F242" t="s">
        <v>36</v>
      </c>
      <c r="G242">
        <v>1141685</v>
      </c>
      <c r="H242" t="s">
        <v>92</v>
      </c>
      <c r="I242" t="s">
        <v>97</v>
      </c>
      <c r="J242" t="s">
        <v>107</v>
      </c>
      <c r="K242" t="s">
        <v>130</v>
      </c>
      <c r="L242" s="1">
        <v>46143</v>
      </c>
      <c r="M242" s="1">
        <v>46173</v>
      </c>
      <c r="N242">
        <v>41.6</v>
      </c>
      <c r="O242" t="s">
        <v>57</v>
      </c>
      <c r="P242" t="s">
        <v>63</v>
      </c>
      <c r="Q242" t="s">
        <v>3097</v>
      </c>
      <c r="R242" t="s">
        <v>3098</v>
      </c>
      <c r="S242" t="s">
        <v>67</v>
      </c>
      <c r="T242" t="s">
        <v>1463</v>
      </c>
      <c r="U242" t="s">
        <v>1603</v>
      </c>
      <c r="V242">
        <v>6</v>
      </c>
      <c r="W242" s="2">
        <v>100153.9971839958</v>
      </c>
    </row>
    <row r="243" spans="1:23" x14ac:dyDescent="0.25">
      <c r="A243" t="s">
        <v>31</v>
      </c>
      <c r="B243" t="s">
        <v>32</v>
      </c>
      <c r="C243" t="s">
        <v>33</v>
      </c>
      <c r="D243" t="s">
        <v>34</v>
      </c>
      <c r="E243" t="s">
        <v>35</v>
      </c>
      <c r="F243" t="s">
        <v>36</v>
      </c>
      <c r="G243">
        <v>1141685</v>
      </c>
      <c r="H243" t="s">
        <v>87</v>
      </c>
      <c r="I243" t="s">
        <v>87</v>
      </c>
      <c r="J243" t="s">
        <v>87</v>
      </c>
      <c r="K243" t="s">
        <v>125</v>
      </c>
      <c r="L243" s="1">
        <v>46143</v>
      </c>
      <c r="M243" s="1">
        <v>46173</v>
      </c>
      <c r="N243">
        <v>744</v>
      </c>
      <c r="O243" t="s">
        <v>58</v>
      </c>
      <c r="P243" t="s">
        <v>63</v>
      </c>
      <c r="Q243" t="s">
        <v>3075</v>
      </c>
      <c r="R243" t="s">
        <v>164</v>
      </c>
      <c r="S243" t="s">
        <v>67</v>
      </c>
      <c r="T243" t="s">
        <v>3445</v>
      </c>
      <c r="U243" t="s">
        <v>3446</v>
      </c>
      <c r="V243">
        <v>12</v>
      </c>
      <c r="W243" s="2">
        <v>324495.598</v>
      </c>
    </row>
    <row r="244" spans="1:23" x14ac:dyDescent="0.25">
      <c r="A244" t="s">
        <v>31</v>
      </c>
      <c r="B244" t="s">
        <v>32</v>
      </c>
      <c r="C244" t="s">
        <v>33</v>
      </c>
      <c r="D244" t="s">
        <v>34</v>
      </c>
      <c r="E244" t="s">
        <v>35</v>
      </c>
      <c r="F244" t="s">
        <v>36</v>
      </c>
      <c r="G244">
        <v>1141685</v>
      </c>
      <c r="H244" t="s">
        <v>88</v>
      </c>
      <c r="I244" t="s">
        <v>88</v>
      </c>
      <c r="J244" t="s">
        <v>88</v>
      </c>
      <c r="K244" t="s">
        <v>134</v>
      </c>
      <c r="L244" s="1">
        <v>46143</v>
      </c>
      <c r="M244" s="1">
        <v>46173</v>
      </c>
      <c r="N244">
        <v>1.0721579999999999</v>
      </c>
      <c r="O244" t="s">
        <v>60</v>
      </c>
      <c r="P244" t="s">
        <v>63</v>
      </c>
      <c r="Q244" t="s">
        <v>3097</v>
      </c>
      <c r="R244" t="s">
        <v>3155</v>
      </c>
      <c r="S244" t="s">
        <v>67</v>
      </c>
      <c r="T244" t="s">
        <v>3447</v>
      </c>
      <c r="U244" t="s">
        <v>3448</v>
      </c>
      <c r="V244">
        <v>6</v>
      </c>
      <c r="W244" s="2">
        <v>523.73795904969995</v>
      </c>
    </row>
    <row r="245" spans="1:23" x14ac:dyDescent="0.25">
      <c r="A245" t="s">
        <v>31</v>
      </c>
      <c r="B245" t="s">
        <v>32</v>
      </c>
      <c r="C245" t="s">
        <v>33</v>
      </c>
      <c r="D245" t="s">
        <v>34</v>
      </c>
      <c r="E245" t="s">
        <v>35</v>
      </c>
      <c r="F245" t="s">
        <v>36</v>
      </c>
      <c r="G245">
        <v>1141685</v>
      </c>
      <c r="H245" t="s">
        <v>75</v>
      </c>
      <c r="I245" t="s">
        <v>94</v>
      </c>
      <c r="J245" t="s">
        <v>98</v>
      </c>
      <c r="K245" t="s">
        <v>108</v>
      </c>
      <c r="L245" s="1">
        <v>46143</v>
      </c>
      <c r="M245" s="1">
        <v>46173</v>
      </c>
      <c r="N245">
        <v>0.53622633129999997</v>
      </c>
      <c r="O245" t="s">
        <v>56</v>
      </c>
      <c r="P245" t="s">
        <v>63</v>
      </c>
      <c r="Q245" t="s">
        <v>3075</v>
      </c>
      <c r="R245" t="s">
        <v>3076</v>
      </c>
      <c r="S245" t="s">
        <v>67</v>
      </c>
      <c r="T245" t="s">
        <v>3449</v>
      </c>
      <c r="U245" t="s">
        <v>3450</v>
      </c>
      <c r="V245">
        <v>15</v>
      </c>
      <c r="W245" s="2">
        <v>1037.7575171395999</v>
      </c>
    </row>
    <row r="246" spans="1:23" x14ac:dyDescent="0.25">
      <c r="A246" t="s">
        <v>31</v>
      </c>
      <c r="B246" t="s">
        <v>32</v>
      </c>
      <c r="C246" t="s">
        <v>33</v>
      </c>
      <c r="D246" t="s">
        <v>34</v>
      </c>
      <c r="E246" t="s">
        <v>35</v>
      </c>
      <c r="F246" t="s">
        <v>36</v>
      </c>
      <c r="G246">
        <v>1141685</v>
      </c>
      <c r="H246" t="s">
        <v>75</v>
      </c>
      <c r="I246" t="s">
        <v>94</v>
      </c>
      <c r="J246" t="s">
        <v>98</v>
      </c>
      <c r="K246" t="s">
        <v>108</v>
      </c>
      <c r="L246" s="1">
        <v>46143</v>
      </c>
      <c r="M246" s="1">
        <v>46173</v>
      </c>
      <c r="N246">
        <v>2.0190639400000002E-2</v>
      </c>
      <c r="O246" t="s">
        <v>56</v>
      </c>
      <c r="P246" t="s">
        <v>63</v>
      </c>
      <c r="Q246" t="s">
        <v>3075</v>
      </c>
      <c r="R246" t="s">
        <v>3076</v>
      </c>
      <c r="S246" t="s">
        <v>67</v>
      </c>
      <c r="T246" t="s">
        <v>3451</v>
      </c>
      <c r="U246" t="s">
        <v>3452</v>
      </c>
      <c r="V246">
        <v>16</v>
      </c>
      <c r="W246" s="2">
        <v>42.267166546799999</v>
      </c>
    </row>
    <row r="247" spans="1:23" x14ac:dyDescent="0.25">
      <c r="A247" t="s">
        <v>31</v>
      </c>
      <c r="B247" t="s">
        <v>32</v>
      </c>
      <c r="C247" t="s">
        <v>33</v>
      </c>
      <c r="D247" t="s">
        <v>34</v>
      </c>
      <c r="E247" t="s">
        <v>35</v>
      </c>
      <c r="F247" t="s">
        <v>36</v>
      </c>
      <c r="G247">
        <v>1141685</v>
      </c>
      <c r="H247" t="s">
        <v>75</v>
      </c>
      <c r="I247" t="s">
        <v>94</v>
      </c>
      <c r="J247" t="s">
        <v>98</v>
      </c>
      <c r="K247" t="s">
        <v>108</v>
      </c>
      <c r="L247" s="1">
        <v>46143</v>
      </c>
      <c r="M247" s="1">
        <v>46173</v>
      </c>
      <c r="N247">
        <v>4.8730485099999998E-2</v>
      </c>
      <c r="O247" t="s">
        <v>56</v>
      </c>
      <c r="P247" t="s">
        <v>63</v>
      </c>
      <c r="Q247" t="s">
        <v>3075</v>
      </c>
      <c r="R247" t="s">
        <v>3080</v>
      </c>
      <c r="S247" t="s">
        <v>67</v>
      </c>
      <c r="T247" t="s">
        <v>3453</v>
      </c>
      <c r="U247" t="s">
        <v>3454</v>
      </c>
      <c r="V247">
        <v>15</v>
      </c>
      <c r="W247" s="2">
        <v>94.390759161600002</v>
      </c>
    </row>
    <row r="248" spans="1:23" x14ac:dyDescent="0.25">
      <c r="A248" t="s">
        <v>31</v>
      </c>
      <c r="B248" t="s">
        <v>32</v>
      </c>
      <c r="C248" t="s">
        <v>33</v>
      </c>
      <c r="D248" t="s">
        <v>34</v>
      </c>
      <c r="E248" t="s">
        <v>35</v>
      </c>
      <c r="F248" t="s">
        <v>36</v>
      </c>
      <c r="G248">
        <v>1141685</v>
      </c>
      <c r="H248" t="s">
        <v>75</v>
      </c>
      <c r="I248" t="s">
        <v>94</v>
      </c>
      <c r="J248" t="s">
        <v>98</v>
      </c>
      <c r="K248" t="s">
        <v>108</v>
      </c>
      <c r="L248" s="1">
        <v>46143</v>
      </c>
      <c r="M248" s="1">
        <v>46173</v>
      </c>
      <c r="N248">
        <v>0.10827324820000001</v>
      </c>
      <c r="O248" t="s">
        <v>56</v>
      </c>
      <c r="P248" t="s">
        <v>63</v>
      </c>
      <c r="Q248" t="s">
        <v>3075</v>
      </c>
      <c r="R248" t="s">
        <v>3080</v>
      </c>
      <c r="S248" t="s">
        <v>67</v>
      </c>
      <c r="T248" t="s">
        <v>3455</v>
      </c>
      <c r="U248" t="s">
        <v>3456</v>
      </c>
      <c r="V248">
        <v>16</v>
      </c>
      <c r="W248" s="2">
        <v>226.6715452789</v>
      </c>
    </row>
    <row r="249" spans="1:23" x14ac:dyDescent="0.25">
      <c r="A249" t="s">
        <v>31</v>
      </c>
      <c r="B249" t="s">
        <v>32</v>
      </c>
      <c r="C249" t="s">
        <v>33</v>
      </c>
      <c r="D249" t="s">
        <v>34</v>
      </c>
      <c r="E249" t="s">
        <v>35</v>
      </c>
      <c r="F249" t="s">
        <v>36</v>
      </c>
      <c r="G249">
        <v>1141685</v>
      </c>
      <c r="H249" t="s">
        <v>38</v>
      </c>
      <c r="I249" t="s">
        <v>38</v>
      </c>
      <c r="J249" t="s">
        <v>38</v>
      </c>
      <c r="K249" t="s">
        <v>55</v>
      </c>
      <c r="L249" s="1">
        <v>46143</v>
      </c>
      <c r="M249" s="1">
        <v>46173</v>
      </c>
      <c r="N249">
        <v>2433</v>
      </c>
      <c r="O249" t="s">
        <v>61</v>
      </c>
      <c r="P249" t="s">
        <v>63</v>
      </c>
      <c r="Q249" t="s">
        <v>3097</v>
      </c>
      <c r="R249" t="s">
        <v>3110</v>
      </c>
      <c r="S249" t="s">
        <v>66</v>
      </c>
      <c r="T249" t="s">
        <v>3457</v>
      </c>
      <c r="U249" t="s">
        <v>3458</v>
      </c>
      <c r="V249">
        <v>6</v>
      </c>
      <c r="W249" s="2">
        <v>6197.1372406399996</v>
      </c>
    </row>
    <row r="250" spans="1:23" x14ac:dyDescent="0.25">
      <c r="A250" t="s">
        <v>31</v>
      </c>
      <c r="B250" t="s">
        <v>32</v>
      </c>
      <c r="C250" t="s">
        <v>33</v>
      </c>
      <c r="D250" t="s">
        <v>34</v>
      </c>
      <c r="E250" t="s">
        <v>35</v>
      </c>
      <c r="F250" t="s">
        <v>36</v>
      </c>
      <c r="G250">
        <v>1141685</v>
      </c>
      <c r="H250" t="s">
        <v>76</v>
      </c>
      <c r="I250" t="s">
        <v>95</v>
      </c>
      <c r="J250" t="s">
        <v>99</v>
      </c>
      <c r="K250" t="s">
        <v>109</v>
      </c>
      <c r="L250" s="1">
        <v>46143</v>
      </c>
      <c r="M250" s="1">
        <v>46173</v>
      </c>
      <c r="N250">
        <v>168</v>
      </c>
      <c r="O250" t="s">
        <v>58</v>
      </c>
      <c r="P250" t="s">
        <v>63</v>
      </c>
      <c r="Q250" t="s">
        <v>3079</v>
      </c>
      <c r="R250" t="s">
        <v>3087</v>
      </c>
      <c r="S250" t="s">
        <v>67</v>
      </c>
      <c r="T250" t="s">
        <v>3088</v>
      </c>
      <c r="U250" t="s">
        <v>3089</v>
      </c>
      <c r="V250">
        <v>17</v>
      </c>
      <c r="W250" s="2">
        <v>0</v>
      </c>
    </row>
    <row r="251" spans="1:23" x14ac:dyDescent="0.25">
      <c r="A251" t="s">
        <v>31</v>
      </c>
      <c r="B251" t="s">
        <v>32</v>
      </c>
      <c r="C251" t="s">
        <v>33</v>
      </c>
      <c r="D251" t="s">
        <v>34</v>
      </c>
      <c r="E251" t="s">
        <v>35</v>
      </c>
      <c r="F251" t="s">
        <v>36</v>
      </c>
      <c r="G251">
        <v>1141685</v>
      </c>
      <c r="H251" t="s">
        <v>76</v>
      </c>
      <c r="I251" t="s">
        <v>95</v>
      </c>
      <c r="J251" t="s">
        <v>99</v>
      </c>
      <c r="K251" t="s">
        <v>109</v>
      </c>
      <c r="L251" s="1">
        <v>46143</v>
      </c>
      <c r="M251" s="1">
        <v>46173</v>
      </c>
      <c r="N251">
        <v>1.966704</v>
      </c>
      <c r="O251" t="s">
        <v>58</v>
      </c>
      <c r="P251" t="s">
        <v>63</v>
      </c>
      <c r="Q251" t="s">
        <v>3079</v>
      </c>
      <c r="R251" t="s">
        <v>3080</v>
      </c>
      <c r="S251" t="s">
        <v>67</v>
      </c>
      <c r="T251" t="s">
        <v>3081</v>
      </c>
      <c r="U251" t="s">
        <v>3082</v>
      </c>
      <c r="V251">
        <v>16</v>
      </c>
      <c r="W251" s="2">
        <v>0</v>
      </c>
    </row>
    <row r="252" spans="1:23" x14ac:dyDescent="0.25">
      <c r="A252" t="s">
        <v>31</v>
      </c>
      <c r="B252" t="s">
        <v>32</v>
      </c>
      <c r="C252" t="s">
        <v>33</v>
      </c>
      <c r="D252" t="s">
        <v>34</v>
      </c>
      <c r="E252" t="s">
        <v>35</v>
      </c>
      <c r="F252" t="s">
        <v>36</v>
      </c>
      <c r="G252">
        <v>1141685</v>
      </c>
      <c r="H252" t="s">
        <v>76</v>
      </c>
      <c r="I252" t="s">
        <v>95</v>
      </c>
      <c r="J252" t="s">
        <v>99</v>
      </c>
      <c r="K252" t="s">
        <v>109</v>
      </c>
      <c r="L252" s="1">
        <v>46143</v>
      </c>
      <c r="M252" s="1">
        <v>46173</v>
      </c>
      <c r="N252">
        <v>0.50000900000000004</v>
      </c>
      <c r="O252" t="s">
        <v>58</v>
      </c>
      <c r="P252" t="s">
        <v>63</v>
      </c>
      <c r="Q252" t="s">
        <v>3079</v>
      </c>
      <c r="R252" t="s">
        <v>3080</v>
      </c>
      <c r="S252" t="s">
        <v>67</v>
      </c>
      <c r="T252" t="s">
        <v>3081</v>
      </c>
      <c r="U252" t="s">
        <v>3082</v>
      </c>
      <c r="V252">
        <v>16</v>
      </c>
      <c r="W252" s="2">
        <v>0</v>
      </c>
    </row>
    <row r="253" spans="1:23" x14ac:dyDescent="0.25">
      <c r="A253" t="s">
        <v>31</v>
      </c>
      <c r="B253" t="s">
        <v>32</v>
      </c>
      <c r="C253" t="s">
        <v>33</v>
      </c>
      <c r="D253" t="s">
        <v>34</v>
      </c>
      <c r="E253" t="s">
        <v>35</v>
      </c>
      <c r="F253" t="s">
        <v>36</v>
      </c>
      <c r="G253">
        <v>1141685</v>
      </c>
      <c r="H253" t="s">
        <v>76</v>
      </c>
      <c r="I253" t="s">
        <v>95</v>
      </c>
      <c r="J253" t="s">
        <v>99</v>
      </c>
      <c r="K253" t="s">
        <v>109</v>
      </c>
      <c r="L253" s="1">
        <v>46143</v>
      </c>
      <c r="M253" s="1">
        <v>46173</v>
      </c>
      <c r="N253">
        <v>0.98335300000000003</v>
      </c>
      <c r="O253" t="s">
        <v>58</v>
      </c>
      <c r="P253" t="s">
        <v>63</v>
      </c>
      <c r="Q253" t="s">
        <v>3079</v>
      </c>
      <c r="R253" t="s">
        <v>3080</v>
      </c>
      <c r="S253" t="s">
        <v>67</v>
      </c>
      <c r="T253" t="s">
        <v>3178</v>
      </c>
      <c r="U253" t="s">
        <v>3179</v>
      </c>
      <c r="V253">
        <v>15</v>
      </c>
      <c r="W253" s="2">
        <v>0</v>
      </c>
    </row>
    <row r="254" spans="1:23" x14ac:dyDescent="0.25">
      <c r="A254" t="s">
        <v>31</v>
      </c>
      <c r="B254" t="s">
        <v>32</v>
      </c>
      <c r="C254" t="s">
        <v>33</v>
      </c>
      <c r="D254" t="s">
        <v>34</v>
      </c>
      <c r="E254" t="s">
        <v>35</v>
      </c>
      <c r="F254" t="s">
        <v>36</v>
      </c>
      <c r="G254">
        <v>1141685</v>
      </c>
      <c r="H254" t="s">
        <v>3065</v>
      </c>
      <c r="I254" t="s">
        <v>42</v>
      </c>
      <c r="J254" t="s">
        <v>3065</v>
      </c>
      <c r="K254" t="s">
        <v>3066</v>
      </c>
      <c r="L254" s="4">
        <v>46173</v>
      </c>
      <c r="M254" s="4">
        <v>46173</v>
      </c>
      <c r="N254">
        <v>1143.22</v>
      </c>
      <c r="O254" t="s">
        <v>59</v>
      </c>
      <c r="P254" t="s">
        <v>63</v>
      </c>
      <c r="Q254" t="s">
        <v>3876</v>
      </c>
      <c r="R254" t="s">
        <v>3877</v>
      </c>
      <c r="S254" t="s">
        <v>66</v>
      </c>
      <c r="T254" t="s">
        <v>3878</v>
      </c>
      <c r="U254" t="s">
        <v>3879</v>
      </c>
      <c r="V254">
        <v>7</v>
      </c>
      <c r="W254" s="2">
        <v>29016</v>
      </c>
    </row>
    <row r="255" spans="1:23" x14ac:dyDescent="0.25">
      <c r="A255" t="s">
        <v>31</v>
      </c>
      <c r="B255" t="s">
        <v>32</v>
      </c>
      <c r="C255" t="s">
        <v>33</v>
      </c>
      <c r="D255" t="s">
        <v>34</v>
      </c>
      <c r="E255" t="s">
        <v>35</v>
      </c>
      <c r="F255" t="s">
        <v>36</v>
      </c>
      <c r="G255">
        <v>1141685</v>
      </c>
      <c r="H255" t="s">
        <v>3065</v>
      </c>
      <c r="I255" t="s">
        <v>42</v>
      </c>
      <c r="J255" t="s">
        <v>3065</v>
      </c>
      <c r="K255" t="s">
        <v>3066</v>
      </c>
      <c r="L255" s="4">
        <v>46173</v>
      </c>
      <c r="M255" s="4">
        <v>46173</v>
      </c>
      <c r="N255">
        <v>1143.22</v>
      </c>
      <c r="O255" t="s">
        <v>59</v>
      </c>
      <c r="P255" t="s">
        <v>63</v>
      </c>
      <c r="Q255" t="s">
        <v>3876</v>
      </c>
      <c r="R255" t="s">
        <v>3877</v>
      </c>
      <c r="S255" t="s">
        <v>66</v>
      </c>
      <c r="T255" t="s">
        <v>3878</v>
      </c>
      <c r="U255" t="s">
        <v>3879</v>
      </c>
      <c r="V255">
        <v>7</v>
      </c>
      <c r="W255" s="2">
        <v>29016</v>
      </c>
    </row>
    <row r="256" spans="1:23" x14ac:dyDescent="0.25">
      <c r="A256" t="s">
        <v>31</v>
      </c>
      <c r="B256" t="s">
        <v>32</v>
      </c>
      <c r="C256" t="s">
        <v>33</v>
      </c>
      <c r="D256" t="s">
        <v>34</v>
      </c>
      <c r="E256" t="s">
        <v>35</v>
      </c>
      <c r="F256" t="s">
        <v>36</v>
      </c>
      <c r="G256">
        <v>1141685</v>
      </c>
      <c r="H256" t="s">
        <v>3065</v>
      </c>
      <c r="I256" t="s">
        <v>42</v>
      </c>
      <c r="J256" t="s">
        <v>3065</v>
      </c>
      <c r="K256" t="s">
        <v>3066</v>
      </c>
      <c r="L256" s="4">
        <v>46173</v>
      </c>
      <c r="M256" s="4">
        <v>46173</v>
      </c>
      <c r="N256">
        <v>1143.22</v>
      </c>
      <c r="O256" t="s">
        <v>59</v>
      </c>
      <c r="P256" t="s">
        <v>63</v>
      </c>
      <c r="Q256" t="s">
        <v>3876</v>
      </c>
      <c r="R256" t="s">
        <v>3877</v>
      </c>
      <c r="S256" t="s">
        <v>66</v>
      </c>
      <c r="T256" t="s">
        <v>3878</v>
      </c>
      <c r="U256" t="s">
        <v>3879</v>
      </c>
      <c r="V256">
        <v>7</v>
      </c>
      <c r="W256" s="2">
        <v>29016</v>
      </c>
    </row>
    <row r="257" spans="1:23" x14ac:dyDescent="0.25">
      <c r="A257" t="s">
        <v>31</v>
      </c>
      <c r="B257" t="s">
        <v>32</v>
      </c>
      <c r="C257" t="s">
        <v>33</v>
      </c>
      <c r="D257" t="s">
        <v>34</v>
      </c>
      <c r="E257" t="s">
        <v>35</v>
      </c>
      <c r="F257" t="s">
        <v>36</v>
      </c>
      <c r="G257">
        <v>1141685</v>
      </c>
      <c r="H257" t="s">
        <v>3065</v>
      </c>
      <c r="I257" t="s">
        <v>42</v>
      </c>
      <c r="J257" t="s">
        <v>3065</v>
      </c>
      <c r="K257" t="s">
        <v>3066</v>
      </c>
      <c r="L257" s="4">
        <v>46173</v>
      </c>
      <c r="M257" s="4">
        <v>46173</v>
      </c>
      <c r="N257">
        <v>1143.22</v>
      </c>
      <c r="O257" t="s">
        <v>59</v>
      </c>
      <c r="P257" t="s">
        <v>63</v>
      </c>
      <c r="Q257" t="s">
        <v>3876</v>
      </c>
      <c r="R257" t="s">
        <v>3877</v>
      </c>
      <c r="S257" t="s">
        <v>66</v>
      </c>
      <c r="T257" t="s">
        <v>3878</v>
      </c>
      <c r="U257" t="s">
        <v>3879</v>
      </c>
      <c r="V257">
        <v>7</v>
      </c>
      <c r="W257" s="2">
        <v>29016</v>
      </c>
    </row>
    <row r="258" spans="1:23" x14ac:dyDescent="0.25">
      <c r="A258" t="s">
        <v>31</v>
      </c>
      <c r="B258" t="s">
        <v>32</v>
      </c>
      <c r="C258" t="s">
        <v>33</v>
      </c>
      <c r="D258" t="s">
        <v>34</v>
      </c>
      <c r="E258" t="s">
        <v>35</v>
      </c>
      <c r="F258" t="s">
        <v>36</v>
      </c>
      <c r="G258">
        <v>1141685</v>
      </c>
      <c r="H258" t="s">
        <v>3065</v>
      </c>
      <c r="I258" t="s">
        <v>42</v>
      </c>
      <c r="J258" t="s">
        <v>3065</v>
      </c>
      <c r="K258" t="s">
        <v>3066</v>
      </c>
      <c r="L258" s="4">
        <v>46173</v>
      </c>
      <c r="M258" s="4">
        <v>46173</v>
      </c>
      <c r="N258">
        <v>1143.22</v>
      </c>
      <c r="O258" t="s">
        <v>59</v>
      </c>
      <c r="P258" t="s">
        <v>63</v>
      </c>
      <c r="Q258" t="s">
        <v>3876</v>
      </c>
      <c r="R258" t="s">
        <v>3877</v>
      </c>
      <c r="S258" t="s">
        <v>66</v>
      </c>
      <c r="T258" t="s">
        <v>3878</v>
      </c>
      <c r="U258" t="s">
        <v>3879</v>
      </c>
      <c r="V258">
        <v>7</v>
      </c>
      <c r="W258" s="2">
        <v>29016</v>
      </c>
    </row>
    <row r="259" spans="1:23" x14ac:dyDescent="0.25">
      <c r="A259" t="s">
        <v>31</v>
      </c>
      <c r="B259" t="s">
        <v>32</v>
      </c>
      <c r="C259" t="s">
        <v>33</v>
      </c>
      <c r="D259" t="s">
        <v>34</v>
      </c>
      <c r="E259" t="s">
        <v>35</v>
      </c>
      <c r="F259" t="s">
        <v>36</v>
      </c>
      <c r="G259">
        <v>1141685</v>
      </c>
      <c r="H259" t="s">
        <v>3065</v>
      </c>
      <c r="I259" t="s">
        <v>42</v>
      </c>
      <c r="J259" t="s">
        <v>3065</v>
      </c>
      <c r="K259" t="s">
        <v>3066</v>
      </c>
      <c r="L259" s="4">
        <v>46173</v>
      </c>
      <c r="M259" s="4">
        <v>46173</v>
      </c>
      <c r="N259">
        <v>1143.22</v>
      </c>
      <c r="O259" t="s">
        <v>59</v>
      </c>
      <c r="P259" t="s">
        <v>63</v>
      </c>
      <c r="Q259" t="s">
        <v>3876</v>
      </c>
      <c r="R259" t="s">
        <v>3877</v>
      </c>
      <c r="S259" t="s">
        <v>66</v>
      </c>
      <c r="T259" t="s">
        <v>3878</v>
      </c>
      <c r="U259" t="s">
        <v>3879</v>
      </c>
      <c r="V259">
        <v>7</v>
      </c>
      <c r="W259" s="2">
        <v>29016</v>
      </c>
    </row>
    <row r="260" spans="1:23" x14ac:dyDescent="0.25">
      <c r="A260" t="s">
        <v>31</v>
      </c>
      <c r="B260" t="s">
        <v>32</v>
      </c>
      <c r="C260" t="s">
        <v>33</v>
      </c>
      <c r="D260" t="s">
        <v>34</v>
      </c>
      <c r="E260" t="s">
        <v>35</v>
      </c>
      <c r="F260" t="s">
        <v>36</v>
      </c>
      <c r="G260">
        <v>1141685</v>
      </c>
      <c r="H260" t="s">
        <v>3065</v>
      </c>
      <c r="I260" t="s">
        <v>42</v>
      </c>
      <c r="J260" t="s">
        <v>3065</v>
      </c>
      <c r="K260" t="s">
        <v>3066</v>
      </c>
      <c r="L260" s="4">
        <v>46173</v>
      </c>
      <c r="M260" s="4">
        <v>46173</v>
      </c>
      <c r="N260">
        <v>1143.22</v>
      </c>
      <c r="O260" t="s">
        <v>59</v>
      </c>
      <c r="P260" t="s">
        <v>63</v>
      </c>
      <c r="Q260" t="s">
        <v>3876</v>
      </c>
      <c r="R260" t="s">
        <v>3877</v>
      </c>
      <c r="S260" t="s">
        <v>66</v>
      </c>
      <c r="T260" t="s">
        <v>3878</v>
      </c>
      <c r="U260" t="s">
        <v>3879</v>
      </c>
      <c r="V260">
        <v>7</v>
      </c>
      <c r="W260" s="2">
        <v>29016</v>
      </c>
    </row>
    <row r="261" spans="1:23" x14ac:dyDescent="0.25">
      <c r="A261" t="s">
        <v>31</v>
      </c>
      <c r="B261" t="s">
        <v>32</v>
      </c>
      <c r="C261" t="s">
        <v>33</v>
      </c>
      <c r="D261" t="s">
        <v>34</v>
      </c>
      <c r="E261" t="s">
        <v>35</v>
      </c>
      <c r="F261" t="s">
        <v>36</v>
      </c>
      <c r="G261">
        <v>1141685</v>
      </c>
      <c r="H261" t="s">
        <v>3065</v>
      </c>
      <c r="I261" t="s">
        <v>42</v>
      </c>
      <c r="J261" t="s">
        <v>3065</v>
      </c>
      <c r="K261" t="s">
        <v>3066</v>
      </c>
      <c r="L261" s="4">
        <v>46173</v>
      </c>
      <c r="M261" s="4">
        <v>46173</v>
      </c>
      <c r="N261">
        <v>1143.22</v>
      </c>
      <c r="O261" t="s">
        <v>59</v>
      </c>
      <c r="P261" t="s">
        <v>63</v>
      </c>
      <c r="Q261" t="s">
        <v>3876</v>
      </c>
      <c r="R261" t="s">
        <v>3877</v>
      </c>
      <c r="S261" t="s">
        <v>66</v>
      </c>
      <c r="T261" t="s">
        <v>3878</v>
      </c>
      <c r="U261" t="s">
        <v>3879</v>
      </c>
      <c r="V261">
        <v>7</v>
      </c>
      <c r="W261" s="2">
        <v>29016</v>
      </c>
    </row>
    <row r="262" spans="1:23" x14ac:dyDescent="0.25">
      <c r="A262" t="s">
        <v>31</v>
      </c>
      <c r="B262" t="s">
        <v>32</v>
      </c>
      <c r="C262" t="s">
        <v>33</v>
      </c>
      <c r="D262" t="s">
        <v>34</v>
      </c>
      <c r="E262" t="s">
        <v>35</v>
      </c>
      <c r="F262" t="s">
        <v>36</v>
      </c>
      <c r="G262">
        <v>1141685</v>
      </c>
      <c r="H262" t="s">
        <v>3065</v>
      </c>
      <c r="I262" t="s">
        <v>42</v>
      </c>
      <c r="J262" t="s">
        <v>3065</v>
      </c>
      <c r="K262" t="s">
        <v>3066</v>
      </c>
      <c r="L262" s="4">
        <v>46173</v>
      </c>
      <c r="M262" s="4">
        <v>46173</v>
      </c>
      <c r="N262">
        <v>1143.22</v>
      </c>
      <c r="O262" t="s">
        <v>59</v>
      </c>
      <c r="P262" t="s">
        <v>63</v>
      </c>
      <c r="Q262" t="s">
        <v>3876</v>
      </c>
      <c r="R262" t="s">
        <v>3877</v>
      </c>
      <c r="S262" t="s">
        <v>66</v>
      </c>
      <c r="T262" t="s">
        <v>3878</v>
      </c>
      <c r="U262" t="s">
        <v>3879</v>
      </c>
      <c r="V262">
        <v>7</v>
      </c>
      <c r="W262" s="2">
        <v>29016</v>
      </c>
    </row>
    <row r="263" spans="1:23" x14ac:dyDescent="0.25">
      <c r="A263" t="s">
        <v>31</v>
      </c>
      <c r="B263" t="s">
        <v>32</v>
      </c>
      <c r="C263" t="s">
        <v>33</v>
      </c>
      <c r="D263" t="s">
        <v>34</v>
      </c>
      <c r="E263" t="s">
        <v>35</v>
      </c>
      <c r="F263" t="s">
        <v>36</v>
      </c>
      <c r="G263">
        <v>1141685</v>
      </c>
      <c r="H263" t="s">
        <v>3065</v>
      </c>
      <c r="I263" t="s">
        <v>42</v>
      </c>
      <c r="J263" t="s">
        <v>3065</v>
      </c>
      <c r="K263" t="s">
        <v>3066</v>
      </c>
      <c r="L263" s="4">
        <v>46173</v>
      </c>
      <c r="M263" s="4">
        <v>46173</v>
      </c>
      <c r="N263">
        <v>1143.22</v>
      </c>
      <c r="O263" t="s">
        <v>59</v>
      </c>
      <c r="P263" t="s">
        <v>63</v>
      </c>
      <c r="Q263" t="s">
        <v>3876</v>
      </c>
      <c r="R263" t="s">
        <v>3877</v>
      </c>
      <c r="S263" t="s">
        <v>66</v>
      </c>
      <c r="T263" t="s">
        <v>3878</v>
      </c>
      <c r="U263" t="s">
        <v>3879</v>
      </c>
      <c r="V263">
        <v>7</v>
      </c>
      <c r="W263" s="2">
        <v>29016</v>
      </c>
    </row>
    <row r="264" spans="1:23" x14ac:dyDescent="0.25">
      <c r="A264" t="s">
        <v>31</v>
      </c>
      <c r="B264" t="s">
        <v>32</v>
      </c>
      <c r="C264" t="s">
        <v>33</v>
      </c>
      <c r="D264" t="s">
        <v>34</v>
      </c>
      <c r="E264" t="s">
        <v>35</v>
      </c>
      <c r="F264" t="s">
        <v>36</v>
      </c>
      <c r="G264">
        <v>1141685</v>
      </c>
      <c r="H264" t="s">
        <v>3065</v>
      </c>
      <c r="I264" t="s">
        <v>42</v>
      </c>
      <c r="J264" t="s">
        <v>3065</v>
      </c>
      <c r="K264" t="s">
        <v>3066</v>
      </c>
      <c r="L264" s="4">
        <v>46173</v>
      </c>
      <c r="M264" s="4">
        <v>46173</v>
      </c>
      <c r="N264">
        <v>1143.22</v>
      </c>
      <c r="O264" t="s">
        <v>59</v>
      </c>
      <c r="P264" t="s">
        <v>63</v>
      </c>
      <c r="Q264" t="s">
        <v>3876</v>
      </c>
      <c r="R264" t="s">
        <v>3877</v>
      </c>
      <c r="S264" t="s">
        <v>66</v>
      </c>
      <c r="T264" t="s">
        <v>3878</v>
      </c>
      <c r="U264" t="s">
        <v>3879</v>
      </c>
      <c r="V264">
        <v>7</v>
      </c>
      <c r="W264" s="2">
        <v>29016</v>
      </c>
    </row>
    <row r="265" spans="1:23" x14ac:dyDescent="0.25">
      <c r="A265" t="s">
        <v>31</v>
      </c>
      <c r="B265" t="s">
        <v>32</v>
      </c>
      <c r="C265" t="s">
        <v>33</v>
      </c>
      <c r="D265" t="s">
        <v>34</v>
      </c>
      <c r="E265" t="s">
        <v>35</v>
      </c>
      <c r="F265" t="s">
        <v>36</v>
      </c>
      <c r="G265">
        <v>1141685</v>
      </c>
      <c r="H265" t="s">
        <v>3065</v>
      </c>
      <c r="I265" t="s">
        <v>42</v>
      </c>
      <c r="J265" t="s">
        <v>3065</v>
      </c>
      <c r="K265" t="s">
        <v>3066</v>
      </c>
      <c r="L265" s="4">
        <v>46173</v>
      </c>
      <c r="M265" s="4">
        <v>46173</v>
      </c>
      <c r="N265">
        <v>1143.22</v>
      </c>
      <c r="O265" t="s">
        <v>59</v>
      </c>
      <c r="P265" t="s">
        <v>63</v>
      </c>
      <c r="Q265" t="s">
        <v>3876</v>
      </c>
      <c r="R265" t="s">
        <v>3877</v>
      </c>
      <c r="S265" t="s">
        <v>66</v>
      </c>
      <c r="T265" t="s">
        <v>3878</v>
      </c>
      <c r="U265" t="s">
        <v>3879</v>
      </c>
      <c r="V265">
        <v>7</v>
      </c>
      <c r="W265" s="2">
        <v>29016</v>
      </c>
    </row>
    <row r="266" spans="1:23" x14ac:dyDescent="0.25">
      <c r="A266" t="s">
        <v>31</v>
      </c>
      <c r="B266" t="s">
        <v>32</v>
      </c>
      <c r="C266" t="s">
        <v>33</v>
      </c>
      <c r="D266" t="s">
        <v>34</v>
      </c>
      <c r="E266" t="s">
        <v>35</v>
      </c>
      <c r="F266" t="s">
        <v>36</v>
      </c>
      <c r="G266">
        <v>1141685</v>
      </c>
      <c r="H266" t="s">
        <v>3065</v>
      </c>
      <c r="I266" t="s">
        <v>42</v>
      </c>
      <c r="J266" t="s">
        <v>3065</v>
      </c>
      <c r="K266" t="s">
        <v>3066</v>
      </c>
      <c r="L266" s="4">
        <v>46173</v>
      </c>
      <c r="M266" s="4">
        <v>46173</v>
      </c>
      <c r="N266">
        <v>1143.22</v>
      </c>
      <c r="O266" t="s">
        <v>59</v>
      </c>
      <c r="P266" t="s">
        <v>63</v>
      </c>
      <c r="Q266" t="s">
        <v>3876</v>
      </c>
      <c r="R266" t="s">
        <v>3877</v>
      </c>
      <c r="S266" t="s">
        <v>66</v>
      </c>
      <c r="T266" t="s">
        <v>3878</v>
      </c>
      <c r="U266" t="s">
        <v>3879</v>
      </c>
      <c r="V266">
        <v>7</v>
      </c>
      <c r="W266" s="2">
        <v>29016</v>
      </c>
    </row>
    <row r="267" spans="1:23" x14ac:dyDescent="0.25">
      <c r="A267" t="s">
        <v>31</v>
      </c>
      <c r="B267" t="s">
        <v>32</v>
      </c>
      <c r="C267" t="s">
        <v>33</v>
      </c>
      <c r="D267" t="s">
        <v>34</v>
      </c>
      <c r="E267" t="s">
        <v>35</v>
      </c>
      <c r="F267" t="s">
        <v>36</v>
      </c>
      <c r="G267">
        <v>1141685</v>
      </c>
      <c r="H267" t="s">
        <v>3065</v>
      </c>
      <c r="I267" t="s">
        <v>42</v>
      </c>
      <c r="J267" t="s">
        <v>3065</v>
      </c>
      <c r="K267" t="s">
        <v>3066</v>
      </c>
      <c r="L267" s="4">
        <v>46173</v>
      </c>
      <c r="M267" s="4">
        <v>46173</v>
      </c>
      <c r="N267">
        <v>1143.22</v>
      </c>
      <c r="O267" t="s">
        <v>59</v>
      </c>
      <c r="P267" t="s">
        <v>63</v>
      </c>
      <c r="Q267" t="s">
        <v>3876</v>
      </c>
      <c r="R267" t="s">
        <v>3877</v>
      </c>
      <c r="S267" t="s">
        <v>66</v>
      </c>
      <c r="T267" t="s">
        <v>3878</v>
      </c>
      <c r="U267" t="s">
        <v>3879</v>
      </c>
      <c r="V267">
        <v>7</v>
      </c>
      <c r="W267" s="2">
        <v>29016</v>
      </c>
    </row>
    <row r="268" spans="1:23" x14ac:dyDescent="0.25">
      <c r="A268" t="s">
        <v>31</v>
      </c>
      <c r="B268" t="s">
        <v>32</v>
      </c>
      <c r="C268" t="s">
        <v>33</v>
      </c>
      <c r="D268" t="s">
        <v>34</v>
      </c>
      <c r="E268" t="s">
        <v>35</v>
      </c>
      <c r="F268" t="s">
        <v>36</v>
      </c>
      <c r="G268">
        <v>1141685</v>
      </c>
      <c r="H268" t="s">
        <v>3065</v>
      </c>
      <c r="I268" t="s">
        <v>42</v>
      </c>
      <c r="J268" t="s">
        <v>3065</v>
      </c>
      <c r="K268" t="s">
        <v>3066</v>
      </c>
      <c r="L268" s="4">
        <v>46173</v>
      </c>
      <c r="M268" s="4">
        <v>46173</v>
      </c>
      <c r="N268">
        <v>1143.22</v>
      </c>
      <c r="O268" t="s">
        <v>59</v>
      </c>
      <c r="P268" t="s">
        <v>63</v>
      </c>
      <c r="Q268" t="s">
        <v>3876</v>
      </c>
      <c r="R268" t="s">
        <v>3877</v>
      </c>
      <c r="S268" t="s">
        <v>66</v>
      </c>
      <c r="T268" t="s">
        <v>3878</v>
      </c>
      <c r="U268" t="s">
        <v>3879</v>
      </c>
      <c r="V268">
        <v>7</v>
      </c>
      <c r="W268" s="2">
        <v>29016</v>
      </c>
    </row>
    <row r="269" spans="1:23" x14ac:dyDescent="0.25">
      <c r="A269" t="s">
        <v>31</v>
      </c>
      <c r="B269" t="s">
        <v>32</v>
      </c>
      <c r="C269" t="s">
        <v>33</v>
      </c>
      <c r="D269" t="s">
        <v>34</v>
      </c>
      <c r="E269" t="s">
        <v>35</v>
      </c>
      <c r="F269" t="s">
        <v>36</v>
      </c>
      <c r="G269">
        <v>1141685</v>
      </c>
      <c r="H269" t="s">
        <v>3065</v>
      </c>
      <c r="I269" t="s">
        <v>42</v>
      </c>
      <c r="J269" t="s">
        <v>3065</v>
      </c>
      <c r="K269" t="s">
        <v>3066</v>
      </c>
      <c r="L269" s="4">
        <v>46173</v>
      </c>
      <c r="M269" s="4">
        <v>46173</v>
      </c>
      <c r="N269">
        <v>1143.22</v>
      </c>
      <c r="O269" t="s">
        <v>59</v>
      </c>
      <c r="P269" t="s">
        <v>63</v>
      </c>
      <c r="Q269" t="s">
        <v>3876</v>
      </c>
      <c r="R269" t="s">
        <v>3877</v>
      </c>
      <c r="S269" t="s">
        <v>66</v>
      </c>
      <c r="T269" t="s">
        <v>3878</v>
      </c>
      <c r="U269" t="s">
        <v>3879</v>
      </c>
      <c r="V269">
        <v>7</v>
      </c>
      <c r="W269" s="2">
        <v>29016</v>
      </c>
    </row>
    <row r="270" spans="1:23" x14ac:dyDescent="0.25">
      <c r="A270" t="s">
        <v>31</v>
      </c>
      <c r="B270" t="s">
        <v>32</v>
      </c>
      <c r="C270" t="s">
        <v>33</v>
      </c>
      <c r="D270" t="s">
        <v>34</v>
      </c>
      <c r="E270" t="s">
        <v>35</v>
      </c>
      <c r="F270" t="s">
        <v>36</v>
      </c>
      <c r="G270">
        <v>1141685</v>
      </c>
      <c r="H270" t="s">
        <v>3065</v>
      </c>
      <c r="I270" t="s">
        <v>42</v>
      </c>
      <c r="J270" t="s">
        <v>3065</v>
      </c>
      <c r="K270" t="s">
        <v>3066</v>
      </c>
      <c r="L270" s="4">
        <v>46173</v>
      </c>
      <c r="M270" s="4">
        <v>46173</v>
      </c>
      <c r="N270">
        <v>1143.22</v>
      </c>
      <c r="O270" t="s">
        <v>59</v>
      </c>
      <c r="P270" t="s">
        <v>63</v>
      </c>
      <c r="Q270" t="s">
        <v>3876</v>
      </c>
      <c r="R270" t="s">
        <v>3877</v>
      </c>
      <c r="S270" t="s">
        <v>66</v>
      </c>
      <c r="T270" t="s">
        <v>3878</v>
      </c>
      <c r="U270" t="s">
        <v>3879</v>
      </c>
      <c r="V270">
        <v>7</v>
      </c>
      <c r="W270" s="2">
        <v>29016</v>
      </c>
    </row>
    <row r="271" spans="1:23" x14ac:dyDescent="0.25">
      <c r="A271" t="s">
        <v>31</v>
      </c>
      <c r="B271" t="s">
        <v>32</v>
      </c>
      <c r="C271" t="s">
        <v>33</v>
      </c>
      <c r="D271" t="s">
        <v>34</v>
      </c>
      <c r="E271" t="s">
        <v>35</v>
      </c>
      <c r="F271" t="s">
        <v>36</v>
      </c>
      <c r="G271">
        <v>1141685</v>
      </c>
      <c r="H271" t="s">
        <v>3065</v>
      </c>
      <c r="I271" t="s">
        <v>42</v>
      </c>
      <c r="J271" t="s">
        <v>3065</v>
      </c>
      <c r="K271" t="s">
        <v>3066</v>
      </c>
      <c r="L271" s="4">
        <v>46173</v>
      </c>
      <c r="M271" s="4">
        <v>46173</v>
      </c>
      <c r="N271">
        <v>1143.22</v>
      </c>
      <c r="O271" t="s">
        <v>59</v>
      </c>
      <c r="P271" t="s">
        <v>63</v>
      </c>
      <c r="Q271" t="s">
        <v>3876</v>
      </c>
      <c r="R271" t="s">
        <v>3877</v>
      </c>
      <c r="S271" t="s">
        <v>66</v>
      </c>
      <c r="T271" t="s">
        <v>3878</v>
      </c>
      <c r="U271" t="s">
        <v>3879</v>
      </c>
      <c r="V271">
        <v>7</v>
      </c>
      <c r="W271" s="2">
        <v>29016</v>
      </c>
    </row>
    <row r="272" spans="1:23" x14ac:dyDescent="0.25">
      <c r="A272" t="s">
        <v>31</v>
      </c>
      <c r="B272" t="s">
        <v>32</v>
      </c>
      <c r="C272" t="s">
        <v>33</v>
      </c>
      <c r="D272" t="s">
        <v>34</v>
      </c>
      <c r="E272" t="s">
        <v>35</v>
      </c>
      <c r="F272" t="s">
        <v>36</v>
      </c>
      <c r="G272">
        <v>1141685</v>
      </c>
      <c r="H272" t="s">
        <v>3065</v>
      </c>
      <c r="I272" t="s">
        <v>42</v>
      </c>
      <c r="J272" t="s">
        <v>3065</v>
      </c>
      <c r="K272" t="s">
        <v>3066</v>
      </c>
      <c r="L272" s="4">
        <v>46173</v>
      </c>
      <c r="M272" s="4">
        <v>46173</v>
      </c>
      <c r="N272">
        <v>1143.22</v>
      </c>
      <c r="O272" t="s">
        <v>59</v>
      </c>
      <c r="P272" t="s">
        <v>63</v>
      </c>
      <c r="Q272" t="s">
        <v>3876</v>
      </c>
      <c r="R272" t="s">
        <v>3877</v>
      </c>
      <c r="S272" t="s">
        <v>66</v>
      </c>
      <c r="T272" t="s">
        <v>3878</v>
      </c>
      <c r="U272" t="s">
        <v>3879</v>
      </c>
      <c r="V272">
        <v>7</v>
      </c>
      <c r="W272" s="2">
        <v>29016</v>
      </c>
    </row>
    <row r="273" spans="1:24" x14ac:dyDescent="0.25">
      <c r="A273" t="s">
        <v>31</v>
      </c>
      <c r="B273" t="s">
        <v>32</v>
      </c>
      <c r="C273" t="s">
        <v>33</v>
      </c>
      <c r="D273" t="s">
        <v>34</v>
      </c>
      <c r="E273" t="s">
        <v>35</v>
      </c>
      <c r="F273" t="s">
        <v>36</v>
      </c>
      <c r="G273">
        <v>1141685</v>
      </c>
      <c r="H273" t="s">
        <v>3065</v>
      </c>
      <c r="I273" t="s">
        <v>42</v>
      </c>
      <c r="J273" t="s">
        <v>3065</v>
      </c>
      <c r="K273" t="s">
        <v>3066</v>
      </c>
      <c r="L273" s="4">
        <v>46173</v>
      </c>
      <c r="M273" s="4">
        <v>46173</v>
      </c>
      <c r="N273">
        <v>1143.22</v>
      </c>
      <c r="O273" t="s">
        <v>59</v>
      </c>
      <c r="P273" t="s">
        <v>63</v>
      </c>
      <c r="Q273" t="s">
        <v>3876</v>
      </c>
      <c r="R273" t="s">
        <v>3877</v>
      </c>
      <c r="S273" t="s">
        <v>66</v>
      </c>
      <c r="T273" t="s">
        <v>3878</v>
      </c>
      <c r="U273" t="s">
        <v>3879</v>
      </c>
      <c r="V273">
        <v>7</v>
      </c>
      <c r="W273" s="2">
        <v>29016</v>
      </c>
    </row>
    <row r="274" spans="1:24" x14ac:dyDescent="0.25">
      <c r="A274" t="s">
        <v>31</v>
      </c>
      <c r="B274" t="s">
        <v>32</v>
      </c>
      <c r="C274" t="s">
        <v>33</v>
      </c>
      <c r="D274" t="s">
        <v>34</v>
      </c>
      <c r="E274" t="s">
        <v>35</v>
      </c>
      <c r="F274" t="s">
        <v>36</v>
      </c>
      <c r="G274">
        <v>1141685</v>
      </c>
      <c r="H274" t="s">
        <v>3065</v>
      </c>
      <c r="I274" t="s">
        <v>42</v>
      </c>
      <c r="J274" t="s">
        <v>3065</v>
      </c>
      <c r="K274" t="s">
        <v>3066</v>
      </c>
      <c r="L274" s="4">
        <v>46173</v>
      </c>
      <c r="M274" s="4">
        <v>46173</v>
      </c>
      <c r="N274">
        <v>1143.22</v>
      </c>
      <c r="O274" t="s">
        <v>59</v>
      </c>
      <c r="P274" t="s">
        <v>63</v>
      </c>
      <c r="Q274" t="s">
        <v>3876</v>
      </c>
      <c r="R274" t="s">
        <v>3877</v>
      </c>
      <c r="S274" t="s">
        <v>66</v>
      </c>
      <c r="T274" t="s">
        <v>3878</v>
      </c>
      <c r="U274" t="s">
        <v>3879</v>
      </c>
      <c r="V274">
        <v>7</v>
      </c>
      <c r="W274" s="2">
        <v>29016</v>
      </c>
    </row>
    <row r="275" spans="1:24" x14ac:dyDescent="0.25">
      <c r="A275" t="s">
        <v>31</v>
      </c>
      <c r="B275" t="s">
        <v>32</v>
      </c>
      <c r="C275" t="s">
        <v>33</v>
      </c>
      <c r="D275" t="s">
        <v>34</v>
      </c>
      <c r="E275" t="s">
        <v>35</v>
      </c>
      <c r="F275" t="s">
        <v>36</v>
      </c>
      <c r="G275">
        <v>1141685</v>
      </c>
      <c r="H275" t="s">
        <v>3065</v>
      </c>
      <c r="I275" t="s">
        <v>42</v>
      </c>
      <c r="J275" t="s">
        <v>3065</v>
      </c>
      <c r="K275" t="s">
        <v>3066</v>
      </c>
      <c r="L275" s="4">
        <v>46173</v>
      </c>
      <c r="M275" s="4">
        <v>46173</v>
      </c>
      <c r="N275">
        <v>1143.22</v>
      </c>
      <c r="O275" t="s">
        <v>59</v>
      </c>
      <c r="P275" t="s">
        <v>63</v>
      </c>
      <c r="Q275" t="s">
        <v>3876</v>
      </c>
      <c r="R275" t="s">
        <v>3877</v>
      </c>
      <c r="S275" t="s">
        <v>66</v>
      </c>
      <c r="T275" t="s">
        <v>3878</v>
      </c>
      <c r="U275" t="s">
        <v>3879</v>
      </c>
      <c r="V275">
        <v>7</v>
      </c>
      <c r="W275" s="2">
        <v>29016</v>
      </c>
    </row>
    <row r="276" spans="1:24" x14ac:dyDescent="0.25">
      <c r="A276" t="s">
        <v>31</v>
      </c>
      <c r="B276" t="s">
        <v>32</v>
      </c>
      <c r="C276" t="s">
        <v>33</v>
      </c>
      <c r="D276" t="s">
        <v>34</v>
      </c>
      <c r="E276" t="s">
        <v>35</v>
      </c>
      <c r="F276" t="s">
        <v>36</v>
      </c>
      <c r="G276">
        <v>1141685</v>
      </c>
      <c r="H276" t="s">
        <v>3065</v>
      </c>
      <c r="I276" t="s">
        <v>42</v>
      </c>
      <c r="J276" t="s">
        <v>3065</v>
      </c>
      <c r="K276" t="s">
        <v>3066</v>
      </c>
      <c r="L276" s="4">
        <v>46173</v>
      </c>
      <c r="M276" s="4">
        <v>46173</v>
      </c>
      <c r="N276">
        <v>1143.22</v>
      </c>
      <c r="O276" t="s">
        <v>59</v>
      </c>
      <c r="P276" t="s">
        <v>63</v>
      </c>
      <c r="Q276" t="s">
        <v>3876</v>
      </c>
      <c r="R276" t="s">
        <v>3877</v>
      </c>
      <c r="S276" t="s">
        <v>66</v>
      </c>
      <c r="T276" t="s">
        <v>3878</v>
      </c>
      <c r="U276" t="s">
        <v>3879</v>
      </c>
      <c r="V276">
        <v>7</v>
      </c>
      <c r="W276" s="2">
        <v>29016</v>
      </c>
    </row>
    <row r="277" spans="1:24" x14ac:dyDescent="0.25">
      <c r="A277" t="s">
        <v>31</v>
      </c>
      <c r="B277" t="s">
        <v>32</v>
      </c>
      <c r="C277" t="s">
        <v>33</v>
      </c>
      <c r="D277" t="s">
        <v>34</v>
      </c>
      <c r="E277" t="s">
        <v>35</v>
      </c>
      <c r="F277" t="s">
        <v>36</v>
      </c>
      <c r="G277">
        <v>1141685</v>
      </c>
      <c r="H277" t="s">
        <v>3065</v>
      </c>
      <c r="I277" t="s">
        <v>42</v>
      </c>
      <c r="J277" t="s">
        <v>3065</v>
      </c>
      <c r="K277" t="s">
        <v>3066</v>
      </c>
      <c r="L277" s="4">
        <v>46173</v>
      </c>
      <c r="M277" s="4">
        <v>46173</v>
      </c>
      <c r="N277">
        <v>1143.22</v>
      </c>
      <c r="O277" t="s">
        <v>59</v>
      </c>
      <c r="P277" t="s">
        <v>63</v>
      </c>
      <c r="Q277" t="s">
        <v>3876</v>
      </c>
      <c r="R277" t="s">
        <v>3877</v>
      </c>
      <c r="S277" t="s">
        <v>66</v>
      </c>
      <c r="T277" t="s">
        <v>3878</v>
      </c>
      <c r="U277" t="s">
        <v>3879</v>
      </c>
      <c r="V277">
        <v>7</v>
      </c>
      <c r="W277" s="2">
        <v>29016</v>
      </c>
    </row>
    <row r="278" spans="1:24" x14ac:dyDescent="0.25">
      <c r="A278" t="s">
        <v>31</v>
      </c>
      <c r="B278" t="s">
        <v>32</v>
      </c>
      <c r="C278" t="s">
        <v>33</v>
      </c>
      <c r="D278" t="s">
        <v>34</v>
      </c>
      <c r="E278" t="s">
        <v>35</v>
      </c>
      <c r="F278" t="s">
        <v>36</v>
      </c>
      <c r="G278">
        <v>1141685</v>
      </c>
      <c r="H278" t="s">
        <v>3065</v>
      </c>
      <c r="I278" t="s">
        <v>42</v>
      </c>
      <c r="J278" t="s">
        <v>3065</v>
      </c>
      <c r="K278" t="s">
        <v>3066</v>
      </c>
      <c r="L278" s="4">
        <v>46173</v>
      </c>
      <c r="M278" s="4">
        <v>46173</v>
      </c>
      <c r="N278">
        <v>1143.22</v>
      </c>
      <c r="O278" t="s">
        <v>59</v>
      </c>
      <c r="P278" t="s">
        <v>63</v>
      </c>
      <c r="Q278" t="s">
        <v>3876</v>
      </c>
      <c r="R278" t="s">
        <v>3877</v>
      </c>
      <c r="S278" t="s">
        <v>66</v>
      </c>
      <c r="T278" t="s">
        <v>3878</v>
      </c>
      <c r="U278" t="s">
        <v>3879</v>
      </c>
      <c r="V278">
        <v>7</v>
      </c>
      <c r="W278" s="2">
        <v>29016</v>
      </c>
    </row>
    <row r="279" spans="1:24" x14ac:dyDescent="0.25">
      <c r="A279" t="s">
        <v>31</v>
      </c>
      <c r="B279" t="s">
        <v>32</v>
      </c>
      <c r="C279" t="s">
        <v>33</v>
      </c>
      <c r="D279" t="s">
        <v>34</v>
      </c>
      <c r="E279" t="s">
        <v>35</v>
      </c>
      <c r="F279" t="s">
        <v>36</v>
      </c>
      <c r="G279">
        <v>1141685</v>
      </c>
      <c r="H279" t="s">
        <v>3065</v>
      </c>
      <c r="I279" t="s">
        <v>42</v>
      </c>
      <c r="J279" t="s">
        <v>3065</v>
      </c>
      <c r="K279" t="s">
        <v>3066</v>
      </c>
      <c r="L279" s="4">
        <v>46173</v>
      </c>
      <c r="M279" s="4">
        <v>46173</v>
      </c>
      <c r="N279">
        <v>1143.22</v>
      </c>
      <c r="O279" t="s">
        <v>59</v>
      </c>
      <c r="P279" t="s">
        <v>63</v>
      </c>
      <c r="Q279" t="s">
        <v>3876</v>
      </c>
      <c r="R279" t="s">
        <v>3877</v>
      </c>
      <c r="S279" t="s">
        <v>66</v>
      </c>
      <c r="T279" t="s">
        <v>3878</v>
      </c>
      <c r="U279" t="s">
        <v>3879</v>
      </c>
      <c r="V279">
        <v>7</v>
      </c>
      <c r="W279" s="2">
        <v>29016</v>
      </c>
    </row>
    <row r="280" spans="1:24" x14ac:dyDescent="0.25">
      <c r="A280" t="s">
        <v>31</v>
      </c>
      <c r="B280" t="s">
        <v>32</v>
      </c>
      <c r="C280" t="s">
        <v>33</v>
      </c>
      <c r="D280" t="s">
        <v>34</v>
      </c>
      <c r="E280" t="s">
        <v>35</v>
      </c>
      <c r="F280" t="s">
        <v>36</v>
      </c>
      <c r="G280">
        <v>1141685</v>
      </c>
      <c r="H280" t="s">
        <v>3065</v>
      </c>
      <c r="I280" t="s">
        <v>42</v>
      </c>
      <c r="J280" t="s">
        <v>3065</v>
      </c>
      <c r="K280" t="s">
        <v>3066</v>
      </c>
      <c r="L280" s="4">
        <v>46173</v>
      </c>
      <c r="M280" s="4">
        <v>46173</v>
      </c>
      <c r="N280">
        <v>1143.22</v>
      </c>
      <c r="O280" t="s">
        <v>59</v>
      </c>
      <c r="P280" t="s">
        <v>63</v>
      </c>
      <c r="Q280" t="s">
        <v>3876</v>
      </c>
      <c r="R280" t="s">
        <v>3877</v>
      </c>
      <c r="S280" t="s">
        <v>66</v>
      </c>
      <c r="T280" t="s">
        <v>3878</v>
      </c>
      <c r="U280" t="s">
        <v>3879</v>
      </c>
      <c r="V280">
        <v>7</v>
      </c>
      <c r="W280" s="2">
        <v>29016</v>
      </c>
    </row>
    <row r="281" spans="1:24" x14ac:dyDescent="0.25">
      <c r="A281" t="s">
        <v>31</v>
      </c>
      <c r="B281" t="s">
        <v>32</v>
      </c>
      <c r="C281" t="s">
        <v>33</v>
      </c>
      <c r="D281" t="s">
        <v>34</v>
      </c>
      <c r="E281" t="s">
        <v>35</v>
      </c>
      <c r="F281" t="s">
        <v>36</v>
      </c>
      <c r="G281">
        <v>1141685</v>
      </c>
      <c r="H281" t="s">
        <v>3065</v>
      </c>
      <c r="I281" t="s">
        <v>42</v>
      </c>
      <c r="J281" t="s">
        <v>3065</v>
      </c>
      <c r="K281" t="s">
        <v>3066</v>
      </c>
      <c r="L281" s="4">
        <v>46173</v>
      </c>
      <c r="M281" s="4">
        <v>46173</v>
      </c>
      <c r="N281">
        <v>1143.22</v>
      </c>
      <c r="O281" t="s">
        <v>59</v>
      </c>
      <c r="P281" t="s">
        <v>63</v>
      </c>
      <c r="Q281" t="s">
        <v>3876</v>
      </c>
      <c r="R281" t="s">
        <v>3877</v>
      </c>
      <c r="S281" t="s">
        <v>66</v>
      </c>
      <c r="T281" t="s">
        <v>3878</v>
      </c>
      <c r="U281" t="s">
        <v>3879</v>
      </c>
      <c r="V281">
        <v>7</v>
      </c>
      <c r="W281" s="2">
        <v>29016</v>
      </c>
    </row>
    <row r="282" spans="1:24" x14ac:dyDescent="0.25">
      <c r="A282" t="s">
        <v>31</v>
      </c>
      <c r="B282" t="s">
        <v>32</v>
      </c>
      <c r="C282" t="s">
        <v>33</v>
      </c>
      <c r="D282" t="s">
        <v>34</v>
      </c>
      <c r="E282" t="s">
        <v>35</v>
      </c>
      <c r="F282" t="s">
        <v>36</v>
      </c>
      <c r="G282">
        <v>1141685</v>
      </c>
      <c r="H282" t="s">
        <v>3065</v>
      </c>
      <c r="I282" t="s">
        <v>42</v>
      </c>
      <c r="J282" t="s">
        <v>3065</v>
      </c>
      <c r="K282" t="s">
        <v>3066</v>
      </c>
      <c r="L282" s="4">
        <v>46173</v>
      </c>
      <c r="M282" s="4">
        <v>46173</v>
      </c>
      <c r="N282">
        <v>1143.22</v>
      </c>
      <c r="O282" t="s">
        <v>59</v>
      </c>
      <c r="P282" t="s">
        <v>63</v>
      </c>
      <c r="Q282" t="s">
        <v>3876</v>
      </c>
      <c r="R282" t="s">
        <v>3877</v>
      </c>
      <c r="S282" t="s">
        <v>66</v>
      </c>
      <c r="T282" t="s">
        <v>3878</v>
      </c>
      <c r="U282" t="s">
        <v>3879</v>
      </c>
      <c r="V282">
        <v>7</v>
      </c>
      <c r="W282" s="2">
        <v>29016</v>
      </c>
    </row>
    <row r="283" spans="1:24" x14ac:dyDescent="0.25">
      <c r="A283" t="s">
        <v>31</v>
      </c>
      <c r="B283" t="s">
        <v>32</v>
      </c>
      <c r="C283" t="s">
        <v>33</v>
      </c>
      <c r="D283" t="s">
        <v>34</v>
      </c>
      <c r="E283" t="s">
        <v>35</v>
      </c>
      <c r="F283" t="s">
        <v>36</v>
      </c>
      <c r="G283">
        <v>1141685</v>
      </c>
      <c r="H283" t="s">
        <v>3065</v>
      </c>
      <c r="I283" t="s">
        <v>42</v>
      </c>
      <c r="J283" t="s">
        <v>3065</v>
      </c>
      <c r="K283" t="s">
        <v>3066</v>
      </c>
      <c r="L283" s="4">
        <v>46173</v>
      </c>
      <c r="M283" s="4">
        <v>46173</v>
      </c>
      <c r="N283">
        <v>1143.22</v>
      </c>
      <c r="O283" t="s">
        <v>59</v>
      </c>
      <c r="P283" t="s">
        <v>63</v>
      </c>
      <c r="Q283" t="s">
        <v>3876</v>
      </c>
      <c r="R283" t="s">
        <v>3877</v>
      </c>
      <c r="S283" t="s">
        <v>66</v>
      </c>
      <c r="T283" t="s">
        <v>3878</v>
      </c>
      <c r="U283" t="s">
        <v>3879</v>
      </c>
      <c r="V283">
        <v>7</v>
      </c>
      <c r="W283" s="2">
        <v>29016</v>
      </c>
    </row>
    <row r="284" spans="1:24" x14ac:dyDescent="0.25">
      <c r="A284" t="s">
        <v>31</v>
      </c>
      <c r="B284" t="s">
        <v>32</v>
      </c>
      <c r="C284" t="s">
        <v>33</v>
      </c>
      <c r="D284" t="s">
        <v>34</v>
      </c>
      <c r="E284" t="s">
        <v>35</v>
      </c>
      <c r="F284" t="s">
        <v>36</v>
      </c>
      <c r="G284">
        <v>1141685</v>
      </c>
      <c r="H284" t="s">
        <v>3065</v>
      </c>
      <c r="I284" t="s">
        <v>42</v>
      </c>
      <c r="J284" t="s">
        <v>3065</v>
      </c>
      <c r="K284" t="s">
        <v>3066</v>
      </c>
      <c r="L284" s="4">
        <v>46173</v>
      </c>
      <c r="M284" s="4">
        <v>46173</v>
      </c>
      <c r="N284">
        <v>1143.22</v>
      </c>
      <c r="O284" t="s">
        <v>59</v>
      </c>
      <c r="P284" t="s">
        <v>63</v>
      </c>
      <c r="Q284" t="s">
        <v>3876</v>
      </c>
      <c r="R284" t="s">
        <v>3877</v>
      </c>
      <c r="S284" t="s">
        <v>66</v>
      </c>
      <c r="T284" t="s">
        <v>3878</v>
      </c>
      <c r="U284" t="s">
        <v>3879</v>
      </c>
      <c r="V284">
        <v>7</v>
      </c>
      <c r="W284" s="2">
        <v>29016</v>
      </c>
    </row>
    <row r="285" spans="1:24" x14ac:dyDescent="0.25">
      <c r="A285" t="s">
        <v>31</v>
      </c>
      <c r="B285" s="5" t="s">
        <v>32</v>
      </c>
      <c r="C285" s="5" t="s">
        <v>33</v>
      </c>
      <c r="D285" s="5" t="s">
        <v>34</v>
      </c>
      <c r="E285" s="5" t="s">
        <v>35</v>
      </c>
      <c r="F285" s="5" t="s">
        <v>36</v>
      </c>
      <c r="G285" s="5">
        <v>1141685</v>
      </c>
      <c r="H285" s="5" t="s">
        <v>3880</v>
      </c>
      <c r="I285" s="5" t="str">
        <f t="shared" ref="I285:I288" si="0">IF(LEFT(K285,9)="Standard_","Reserved Instance Virtual Machine",IF(ISNUMBER(SEARCH("SQL Database Single/ElasticPool General Purpose - Compute Gen5",K285)),"Reserved Instance SQL Database",IF(ISNUMBER(SEARCH("SQL Database SingleDB/Elastic Pool Hyperscale - Compute Gen5",K285)),"Reserved Instance Hyperscale Serverless",IF(ISNUMBER(SEARCH("Azure Database for PostgreSQL Flexible Server General Purpose Ddsv4 Series Compute",K285)),"Reserved Instance PostgreSQL",IF(ISNUMBER(SEARCH("Azure Redis Cache Premium",K285)),"Reserved Instance Redis","Reserved Instance")))))</f>
        <v>Reserved Instance SQL Database</v>
      </c>
      <c r="J285" s="5" t="s">
        <v>3880</v>
      </c>
      <c r="K285" s="5" t="str">
        <f t="shared" ref="K285:K288" si="1">H285</f>
        <v>SQL Database Single/ElasticPool General Purpose - Compute Gen5</v>
      </c>
      <c r="L285" s="5" t="s">
        <v>3881</v>
      </c>
      <c r="M285" s="5" t="s">
        <v>3881</v>
      </c>
      <c r="N285" s="5">
        <f t="shared" ref="N285:N288" si="2">U285</f>
        <v>3</v>
      </c>
      <c r="O285" s="5" t="s">
        <v>3882</v>
      </c>
      <c r="P285" s="5" t="s">
        <v>63</v>
      </c>
      <c r="Q285" s="5" t="s">
        <v>3882</v>
      </c>
      <c r="R285" s="5" t="str">
        <f t="shared" ref="R285:R288" si="3">IF(LEFT(K285,9)="Standard_","Virtual Machine",IF(ISNUMBER(SEARCH("SQL Database Single/ElasticPool General Purpose - Compute Gen5",K285)),"SQL Database",IF(ISNUMBER(SEARCH("SQL Database SingleDB/Elastic Pool Hyperscale - Compute Gen5",K285)),"Hyperscale Serverless",IF(ISNUMBER(SEARCH("Azure Database for PostgreSQL Flexible Server General Purpose Ddsv4 Series Compute",K285)),"PostgreSQL",IF(ISNUMBER(SEARCH("Azure Redis Cache Premium",K285)),"Redis",K285)))))</f>
        <v>SQL Database</v>
      </c>
      <c r="S285" s="5" t="s">
        <v>67</v>
      </c>
      <c r="T285" s="5" t="s">
        <v>3882</v>
      </c>
      <c r="U285" s="5">
        <v>3</v>
      </c>
      <c r="V285" s="6">
        <v>951231.6</v>
      </c>
      <c r="W285" s="6">
        <f>V285*U285</f>
        <v>2853694.8</v>
      </c>
      <c r="X285" t="s">
        <v>3895</v>
      </c>
    </row>
    <row r="286" spans="1:24" x14ac:dyDescent="0.25">
      <c r="A286" t="s">
        <v>31</v>
      </c>
      <c r="B286" s="5" t="s">
        <v>32</v>
      </c>
      <c r="C286" s="5" t="s">
        <v>33</v>
      </c>
      <c r="D286" s="5" t="s">
        <v>34</v>
      </c>
      <c r="E286" s="5" t="s">
        <v>3884</v>
      </c>
      <c r="F286" s="5" t="s">
        <v>36</v>
      </c>
      <c r="G286" s="5">
        <v>1141685</v>
      </c>
      <c r="H286" s="5" t="s">
        <v>3885</v>
      </c>
      <c r="I286" s="5" t="str">
        <f t="shared" si="0"/>
        <v>Reserved Instance Virtual Machine</v>
      </c>
      <c r="J286" s="5" t="s">
        <v>3885</v>
      </c>
      <c r="K286" s="5" t="str">
        <f t="shared" si="1"/>
        <v>Standard_D2s_v3</v>
      </c>
      <c r="L286" s="5" t="s">
        <v>3881</v>
      </c>
      <c r="M286" s="5" t="s">
        <v>3881</v>
      </c>
      <c r="N286" s="5">
        <f t="shared" si="2"/>
        <v>2</v>
      </c>
      <c r="O286" s="5" t="s">
        <v>3882</v>
      </c>
      <c r="P286" s="5" t="s">
        <v>63</v>
      </c>
      <c r="Q286" s="5" t="s">
        <v>3882</v>
      </c>
      <c r="R286" s="5" t="str">
        <f t="shared" si="3"/>
        <v>Virtual Machine</v>
      </c>
      <c r="S286" s="5" t="s">
        <v>67</v>
      </c>
      <c r="T286" s="5" t="s">
        <v>3882</v>
      </c>
      <c r="U286" s="5">
        <v>2</v>
      </c>
      <c r="V286" s="6">
        <v>565908.75</v>
      </c>
      <c r="W286" s="6">
        <f t="shared" ref="W286:W288" si="4">V286*U286</f>
        <v>1131817.5</v>
      </c>
      <c r="X286" t="s">
        <v>3895</v>
      </c>
    </row>
    <row r="287" spans="1:24" x14ac:dyDescent="0.25">
      <c r="A287" t="s">
        <v>31</v>
      </c>
      <c r="B287" s="5" t="s">
        <v>32</v>
      </c>
      <c r="C287" s="5" t="s">
        <v>33</v>
      </c>
      <c r="D287" s="5" t="s">
        <v>34</v>
      </c>
      <c r="E287" s="5" t="s">
        <v>3892</v>
      </c>
      <c r="F287" s="5" t="s">
        <v>36</v>
      </c>
      <c r="G287" s="5">
        <v>1141685</v>
      </c>
      <c r="H287" s="5" t="s">
        <v>3885</v>
      </c>
      <c r="I287" s="5" t="str">
        <f t="shared" si="0"/>
        <v>Reserved Instance Virtual Machine</v>
      </c>
      <c r="J287" s="5" t="s">
        <v>3885</v>
      </c>
      <c r="K287" s="5" t="str">
        <f t="shared" si="1"/>
        <v>Standard_D2s_v3</v>
      </c>
      <c r="L287" s="5" t="s">
        <v>3881</v>
      </c>
      <c r="M287" s="5" t="s">
        <v>3881</v>
      </c>
      <c r="N287" s="5">
        <f t="shared" si="2"/>
        <v>1</v>
      </c>
      <c r="O287" s="5" t="s">
        <v>3882</v>
      </c>
      <c r="P287" s="5" t="s">
        <v>63</v>
      </c>
      <c r="Q287" s="5" t="s">
        <v>3882</v>
      </c>
      <c r="R287" s="5" t="str">
        <f t="shared" si="3"/>
        <v>Virtual Machine</v>
      </c>
      <c r="S287" s="5" t="s">
        <v>67</v>
      </c>
      <c r="T287" s="5" t="s">
        <v>3882</v>
      </c>
      <c r="U287" s="5">
        <v>1</v>
      </c>
      <c r="V287" s="6">
        <v>890475.3</v>
      </c>
      <c r="W287" s="6">
        <f t="shared" si="4"/>
        <v>890475.3</v>
      </c>
      <c r="X287" t="s">
        <v>3895</v>
      </c>
    </row>
    <row r="288" spans="1:24" x14ac:dyDescent="0.25">
      <c r="A288" t="s">
        <v>31</v>
      </c>
      <c r="B288" s="5" t="s">
        <v>32</v>
      </c>
      <c r="C288" s="5" t="s">
        <v>33</v>
      </c>
      <c r="D288" s="5" t="s">
        <v>34</v>
      </c>
      <c r="E288" s="5" t="s">
        <v>3886</v>
      </c>
      <c r="F288" s="5" t="s">
        <v>36</v>
      </c>
      <c r="G288" s="5">
        <v>1141685</v>
      </c>
      <c r="H288" s="5" t="s">
        <v>3887</v>
      </c>
      <c r="I288" s="5" t="str">
        <f t="shared" si="0"/>
        <v>Reserved Instance Virtual Machine</v>
      </c>
      <c r="J288" s="5" t="s">
        <v>3887</v>
      </c>
      <c r="K288" s="5" t="str">
        <f t="shared" si="1"/>
        <v>Standard_D4s_v3</v>
      </c>
      <c r="L288" s="5" t="s">
        <v>3881</v>
      </c>
      <c r="M288" s="5" t="s">
        <v>3881</v>
      </c>
      <c r="N288" s="5">
        <f t="shared" si="2"/>
        <v>5</v>
      </c>
      <c r="O288" s="5" t="s">
        <v>3882</v>
      </c>
      <c r="P288" s="5" t="s">
        <v>63</v>
      </c>
      <c r="Q288" s="5" t="s">
        <v>3882</v>
      </c>
      <c r="R288" s="5" t="str">
        <f t="shared" si="3"/>
        <v>Virtual Machine</v>
      </c>
      <c r="S288" s="5" t="s">
        <v>67</v>
      </c>
      <c r="T288" s="5" t="s">
        <v>3882</v>
      </c>
      <c r="U288" s="5">
        <v>5</v>
      </c>
      <c r="V288" s="6">
        <v>1131817.5</v>
      </c>
      <c r="W288" s="6">
        <f t="shared" si="4"/>
        <v>5659087.5</v>
      </c>
      <c r="X288" t="s">
        <v>3895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8C16-F0AA-41D2-8C43-935808892B63}">
  <dimension ref="A1:X280"/>
  <sheetViews>
    <sheetView workbookViewId="0">
      <selection sqref="A1:W280"/>
    </sheetView>
  </sheetViews>
  <sheetFormatPr defaultRowHeight="15" x14ac:dyDescent="0.25"/>
  <cols>
    <col min="23" max="23" width="15.5703125" bestFit="1" customWidth="1"/>
  </cols>
  <sheetData>
    <row r="1" spans="1:2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9</v>
      </c>
      <c r="S1" t="s">
        <v>27</v>
      </c>
      <c r="T1" t="s">
        <v>28</v>
      </c>
      <c r="U1" t="s">
        <v>29</v>
      </c>
      <c r="V1" t="s">
        <v>30</v>
      </c>
      <c r="W1" t="s">
        <v>8</v>
      </c>
    </row>
    <row r="2" spans="1:23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1141685</v>
      </c>
      <c r="H2" t="s">
        <v>80</v>
      </c>
      <c r="I2" t="s">
        <v>96</v>
      </c>
      <c r="J2" t="s">
        <v>80</v>
      </c>
      <c r="K2" t="s">
        <v>122</v>
      </c>
      <c r="L2" s="1">
        <v>46143</v>
      </c>
      <c r="M2" s="1">
        <v>46173</v>
      </c>
      <c r="N2">
        <v>1.99778E-5</v>
      </c>
      <c r="O2" t="s">
        <v>56</v>
      </c>
      <c r="P2" t="s">
        <v>63</v>
      </c>
      <c r="Q2" t="s">
        <v>3459</v>
      </c>
      <c r="R2" t="s">
        <v>3460</v>
      </c>
      <c r="S2" t="s">
        <v>67</v>
      </c>
      <c r="T2" t="s">
        <v>3461</v>
      </c>
      <c r="U2" t="s">
        <v>3462</v>
      </c>
      <c r="V2">
        <v>16</v>
      </c>
      <c r="W2" s="2">
        <v>3.0670876999999998E-3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1141685</v>
      </c>
      <c r="H3" t="s">
        <v>80</v>
      </c>
      <c r="I3" t="s">
        <v>96</v>
      </c>
      <c r="J3" t="s">
        <v>80</v>
      </c>
      <c r="K3" t="s">
        <v>122</v>
      </c>
      <c r="L3" s="1">
        <v>46143</v>
      </c>
      <c r="M3" s="1">
        <v>46173</v>
      </c>
      <c r="N3">
        <v>7.4154285700000003E-2</v>
      </c>
      <c r="O3" t="s">
        <v>56</v>
      </c>
      <c r="P3" t="s">
        <v>63</v>
      </c>
      <c r="Q3" t="s">
        <v>3459</v>
      </c>
      <c r="R3" t="s">
        <v>3460</v>
      </c>
      <c r="S3" t="s">
        <v>67</v>
      </c>
      <c r="T3" t="s">
        <v>3463</v>
      </c>
      <c r="U3" t="s">
        <v>3464</v>
      </c>
      <c r="V3">
        <v>15</v>
      </c>
      <c r="W3" s="2">
        <v>12.9345218827</v>
      </c>
    </row>
    <row r="4" spans="1:2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1141685</v>
      </c>
      <c r="H4" t="s">
        <v>91</v>
      </c>
      <c r="I4" t="s">
        <v>95</v>
      </c>
      <c r="J4" t="s">
        <v>106</v>
      </c>
      <c r="K4" t="s">
        <v>479</v>
      </c>
      <c r="L4" s="1">
        <v>46143</v>
      </c>
      <c r="M4" s="1">
        <v>46173</v>
      </c>
      <c r="N4">
        <v>0.21667</v>
      </c>
      <c r="O4" t="s">
        <v>58</v>
      </c>
      <c r="P4" t="s">
        <v>63</v>
      </c>
      <c r="Q4" t="s">
        <v>3465</v>
      </c>
      <c r="R4" t="s">
        <v>3460</v>
      </c>
      <c r="S4" t="s">
        <v>67</v>
      </c>
      <c r="T4" t="s">
        <v>3466</v>
      </c>
      <c r="U4" t="s">
        <v>3467</v>
      </c>
      <c r="V4">
        <v>16</v>
      </c>
      <c r="W4" s="2">
        <v>945.00546039999995</v>
      </c>
    </row>
    <row r="5" spans="1:23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1141685</v>
      </c>
      <c r="H5" t="s">
        <v>77</v>
      </c>
      <c r="I5" t="s">
        <v>96</v>
      </c>
      <c r="J5" t="s">
        <v>77</v>
      </c>
      <c r="K5" t="s">
        <v>110</v>
      </c>
      <c r="L5" s="1">
        <v>46143</v>
      </c>
      <c r="M5" s="1">
        <v>46173</v>
      </c>
      <c r="N5">
        <v>744</v>
      </c>
      <c r="O5" t="s">
        <v>58</v>
      </c>
      <c r="P5" t="s">
        <v>63</v>
      </c>
      <c r="Q5" t="s">
        <v>3468</v>
      </c>
      <c r="R5" t="s">
        <v>3469</v>
      </c>
      <c r="S5" t="s">
        <v>67</v>
      </c>
      <c r="T5" t="s">
        <v>3470</v>
      </c>
      <c r="U5" t="s">
        <v>3471</v>
      </c>
      <c r="V5">
        <v>7</v>
      </c>
      <c r="W5" s="2">
        <v>129798.2412</v>
      </c>
    </row>
    <row r="6" spans="1:23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1141685</v>
      </c>
      <c r="H6" t="s">
        <v>83</v>
      </c>
      <c r="I6" t="s">
        <v>97</v>
      </c>
      <c r="J6" t="s">
        <v>103</v>
      </c>
      <c r="K6" t="s">
        <v>119</v>
      </c>
      <c r="L6" s="1">
        <v>46143</v>
      </c>
      <c r="M6" s="1">
        <v>46173</v>
      </c>
      <c r="N6">
        <v>434</v>
      </c>
      <c r="O6" t="s">
        <v>58</v>
      </c>
      <c r="P6" t="s">
        <v>63</v>
      </c>
      <c r="Q6" t="s">
        <v>3472</v>
      </c>
      <c r="R6" t="s">
        <v>3473</v>
      </c>
      <c r="S6" t="s">
        <v>67</v>
      </c>
      <c r="T6" t="s">
        <v>513</v>
      </c>
      <c r="U6" t="s">
        <v>698</v>
      </c>
      <c r="V6">
        <v>6</v>
      </c>
      <c r="W6" s="2">
        <v>756898.97080511996</v>
      </c>
    </row>
    <row r="7" spans="1:23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1141685</v>
      </c>
      <c r="H7" t="s">
        <v>75</v>
      </c>
      <c r="I7" t="s">
        <v>94</v>
      </c>
      <c r="J7" t="s">
        <v>98</v>
      </c>
      <c r="K7" t="s">
        <v>108</v>
      </c>
      <c r="L7" s="1">
        <v>46143</v>
      </c>
      <c r="M7" s="1">
        <v>46173</v>
      </c>
      <c r="N7">
        <v>8.2627162300000001E-2</v>
      </c>
      <c r="O7" t="s">
        <v>56</v>
      </c>
      <c r="P7" t="s">
        <v>63</v>
      </c>
      <c r="Q7" t="s">
        <v>3459</v>
      </c>
      <c r="R7" t="s">
        <v>3460</v>
      </c>
      <c r="S7" t="s">
        <v>67</v>
      </c>
      <c r="T7" t="s">
        <v>3474</v>
      </c>
      <c r="U7" t="s">
        <v>3475</v>
      </c>
      <c r="V7">
        <v>16</v>
      </c>
      <c r="W7" s="2">
        <v>172.9838228669</v>
      </c>
    </row>
    <row r="8" spans="1:23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1141685</v>
      </c>
      <c r="H8" t="s">
        <v>75</v>
      </c>
      <c r="I8" t="s">
        <v>94</v>
      </c>
      <c r="J8" t="s">
        <v>98</v>
      </c>
      <c r="K8" t="s">
        <v>108</v>
      </c>
      <c r="L8" s="1">
        <v>46143</v>
      </c>
      <c r="M8" s="1">
        <v>46173</v>
      </c>
      <c r="N8">
        <v>4.5221490000000003E-4</v>
      </c>
      <c r="O8" t="s">
        <v>56</v>
      </c>
      <c r="P8" t="s">
        <v>63</v>
      </c>
      <c r="Q8" t="s">
        <v>3459</v>
      </c>
      <c r="R8" t="s">
        <v>3460</v>
      </c>
      <c r="S8" t="s">
        <v>67</v>
      </c>
      <c r="T8" t="s">
        <v>3476</v>
      </c>
      <c r="U8" t="s">
        <v>3477</v>
      </c>
      <c r="V8">
        <v>16</v>
      </c>
      <c r="W8" s="2">
        <v>0.94311433649999998</v>
      </c>
    </row>
    <row r="9" spans="1:23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1141685</v>
      </c>
      <c r="H9" t="s">
        <v>75</v>
      </c>
      <c r="I9" t="s">
        <v>94</v>
      </c>
      <c r="J9" t="s">
        <v>98</v>
      </c>
      <c r="K9" t="s">
        <v>108</v>
      </c>
      <c r="L9" s="1">
        <v>46143</v>
      </c>
      <c r="M9" s="1">
        <v>46173</v>
      </c>
      <c r="N9">
        <v>3.7155099999999999E-5</v>
      </c>
      <c r="O9" t="s">
        <v>56</v>
      </c>
      <c r="P9" t="s">
        <v>63</v>
      </c>
      <c r="Q9" t="s">
        <v>3459</v>
      </c>
      <c r="R9" t="s">
        <v>3460</v>
      </c>
      <c r="S9" t="s">
        <v>67</v>
      </c>
      <c r="T9" t="s">
        <v>3478</v>
      </c>
      <c r="U9" t="s">
        <v>3479</v>
      </c>
      <c r="V9">
        <v>16</v>
      </c>
      <c r="W9" s="2">
        <v>7.8450777399999991E-2</v>
      </c>
    </row>
    <row r="10" spans="1:23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1141685</v>
      </c>
      <c r="H10" t="s">
        <v>83</v>
      </c>
      <c r="I10" t="s">
        <v>97</v>
      </c>
      <c r="J10" t="s">
        <v>103</v>
      </c>
      <c r="K10" t="s">
        <v>119</v>
      </c>
      <c r="L10" s="1">
        <v>46143</v>
      </c>
      <c r="M10" s="1">
        <v>46173</v>
      </c>
      <c r="N10">
        <v>2108</v>
      </c>
      <c r="O10" t="s">
        <v>58</v>
      </c>
      <c r="P10" t="s">
        <v>63</v>
      </c>
      <c r="Q10" t="s">
        <v>3472</v>
      </c>
      <c r="R10" t="s">
        <v>3473</v>
      </c>
      <c r="S10" t="s">
        <v>67</v>
      </c>
      <c r="T10" t="s">
        <v>552</v>
      </c>
      <c r="U10" t="s">
        <v>737</v>
      </c>
      <c r="V10">
        <v>6</v>
      </c>
      <c r="W10" s="2">
        <v>3676366.4110534401</v>
      </c>
    </row>
    <row r="11" spans="1:23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1141685</v>
      </c>
      <c r="H11" t="s">
        <v>86</v>
      </c>
      <c r="I11" t="s">
        <v>42</v>
      </c>
      <c r="J11" t="s">
        <v>86</v>
      </c>
      <c r="K11" t="s">
        <v>124</v>
      </c>
      <c r="L11" s="1">
        <v>46143</v>
      </c>
      <c r="M11" s="1">
        <v>46173</v>
      </c>
      <c r="N11">
        <v>1.5100000000000001E-4</v>
      </c>
      <c r="O11" t="s">
        <v>135</v>
      </c>
      <c r="P11" t="s">
        <v>63</v>
      </c>
      <c r="Q11" t="s">
        <v>3465</v>
      </c>
      <c r="R11" t="s">
        <v>3480</v>
      </c>
      <c r="S11" t="s">
        <v>67</v>
      </c>
      <c r="T11" t="s">
        <v>3481</v>
      </c>
      <c r="U11" t="s">
        <v>3482</v>
      </c>
      <c r="V11">
        <v>17</v>
      </c>
      <c r="W11" s="2">
        <v>51.922204500800007</v>
      </c>
    </row>
    <row r="12" spans="1:23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1141685</v>
      </c>
      <c r="H12" t="s">
        <v>77</v>
      </c>
      <c r="I12" t="s">
        <v>96</v>
      </c>
      <c r="J12" t="s">
        <v>77</v>
      </c>
      <c r="K12" t="s">
        <v>113</v>
      </c>
      <c r="L12" s="1">
        <v>46143</v>
      </c>
      <c r="M12" s="1">
        <v>46173</v>
      </c>
      <c r="N12">
        <v>4.8193023500000001E-2</v>
      </c>
      <c r="O12" t="s">
        <v>56</v>
      </c>
      <c r="P12" t="s">
        <v>63</v>
      </c>
      <c r="Q12" t="s">
        <v>3468</v>
      </c>
      <c r="R12" t="s">
        <v>3483</v>
      </c>
      <c r="S12" t="s">
        <v>67</v>
      </c>
      <c r="T12" t="s">
        <v>3484</v>
      </c>
      <c r="U12" t="s">
        <v>3485</v>
      </c>
      <c r="V12">
        <v>7</v>
      </c>
      <c r="W12" s="2">
        <v>8.4088242991000008</v>
      </c>
    </row>
    <row r="13" spans="1:23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1141685</v>
      </c>
      <c r="H13" t="s">
        <v>79</v>
      </c>
      <c r="I13" t="s">
        <v>94</v>
      </c>
      <c r="J13" t="s">
        <v>101</v>
      </c>
      <c r="K13" t="s">
        <v>114</v>
      </c>
      <c r="L13" s="1">
        <v>46143</v>
      </c>
      <c r="M13" s="1">
        <v>46173</v>
      </c>
      <c r="N13">
        <v>2.5105438999999999E-3</v>
      </c>
      <c r="O13" t="s">
        <v>56</v>
      </c>
      <c r="P13" t="s">
        <v>63</v>
      </c>
      <c r="Q13" t="s">
        <v>3459</v>
      </c>
      <c r="R13" t="s">
        <v>3460</v>
      </c>
      <c r="S13" t="s">
        <v>67</v>
      </c>
      <c r="T13" t="s">
        <v>3486</v>
      </c>
      <c r="U13" t="s">
        <v>3487</v>
      </c>
      <c r="V13">
        <v>15</v>
      </c>
      <c r="W13" s="2">
        <v>3.5034460162999999</v>
      </c>
    </row>
    <row r="14" spans="1:23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1141685</v>
      </c>
      <c r="H14" t="s">
        <v>79</v>
      </c>
      <c r="I14" t="s">
        <v>94</v>
      </c>
      <c r="J14" t="s">
        <v>101</v>
      </c>
      <c r="K14" t="s">
        <v>116</v>
      </c>
      <c r="L14" s="1">
        <v>46143</v>
      </c>
      <c r="M14" s="1">
        <v>46173</v>
      </c>
      <c r="N14">
        <v>2.5358999999999999E-5</v>
      </c>
      <c r="O14" t="s">
        <v>56</v>
      </c>
      <c r="P14" t="s">
        <v>63</v>
      </c>
      <c r="Q14" t="s">
        <v>3459</v>
      </c>
      <c r="R14" t="s">
        <v>3460</v>
      </c>
      <c r="S14" t="s">
        <v>67</v>
      </c>
      <c r="T14" t="s">
        <v>3488</v>
      </c>
      <c r="U14" t="s">
        <v>3489</v>
      </c>
      <c r="V14">
        <v>16</v>
      </c>
      <c r="W14" s="2">
        <v>3.1145861600000001E-2</v>
      </c>
    </row>
    <row r="15" spans="1:23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1141685</v>
      </c>
      <c r="H15" t="s">
        <v>77</v>
      </c>
      <c r="I15" t="s">
        <v>96</v>
      </c>
      <c r="J15" t="s">
        <v>77</v>
      </c>
      <c r="K15" t="s">
        <v>111</v>
      </c>
      <c r="L15" s="1">
        <v>46143</v>
      </c>
      <c r="M15" s="1">
        <v>46173</v>
      </c>
      <c r="N15">
        <v>1.6596E-6</v>
      </c>
      <c r="O15" t="s">
        <v>56</v>
      </c>
      <c r="P15" t="s">
        <v>63</v>
      </c>
      <c r="Q15" t="s">
        <v>3459</v>
      </c>
      <c r="R15" t="s">
        <v>3460</v>
      </c>
      <c r="S15" t="s">
        <v>67</v>
      </c>
      <c r="T15" t="s">
        <v>3490</v>
      </c>
      <c r="U15" t="s">
        <v>3491</v>
      </c>
      <c r="V15">
        <v>15</v>
      </c>
      <c r="W15" s="2">
        <v>2.5479229999999999E-4</v>
      </c>
    </row>
    <row r="16" spans="1:23" x14ac:dyDescent="0.25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1141685</v>
      </c>
      <c r="H16" t="s">
        <v>77</v>
      </c>
      <c r="I16" t="s">
        <v>96</v>
      </c>
      <c r="J16" t="s">
        <v>77</v>
      </c>
      <c r="K16" t="s">
        <v>110</v>
      </c>
      <c r="L16" s="1">
        <v>46143</v>
      </c>
      <c r="M16" s="1">
        <v>46173</v>
      </c>
      <c r="N16">
        <v>744</v>
      </c>
      <c r="O16" t="s">
        <v>58</v>
      </c>
      <c r="P16" t="s">
        <v>63</v>
      </c>
      <c r="Q16" t="s">
        <v>3468</v>
      </c>
      <c r="R16" t="s">
        <v>3483</v>
      </c>
      <c r="S16" t="s">
        <v>67</v>
      </c>
      <c r="T16" t="s">
        <v>3470</v>
      </c>
      <c r="U16" t="s">
        <v>3471</v>
      </c>
      <c r="V16">
        <v>7</v>
      </c>
      <c r="W16" s="2">
        <v>129798.2412</v>
      </c>
    </row>
    <row r="17" spans="1:23" x14ac:dyDescent="0.25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1141685</v>
      </c>
      <c r="H17" t="s">
        <v>76</v>
      </c>
      <c r="I17" t="s">
        <v>95</v>
      </c>
      <c r="J17" t="s">
        <v>99</v>
      </c>
      <c r="K17" t="s">
        <v>109</v>
      </c>
      <c r="L17" s="1">
        <v>46143</v>
      </c>
      <c r="M17" s="1">
        <v>46173</v>
      </c>
      <c r="N17">
        <v>76.916759999999996</v>
      </c>
      <c r="O17" t="s">
        <v>58</v>
      </c>
      <c r="P17" t="s">
        <v>63</v>
      </c>
      <c r="Q17" t="s">
        <v>3465</v>
      </c>
      <c r="R17" t="s">
        <v>3460</v>
      </c>
      <c r="S17" t="s">
        <v>67</v>
      </c>
      <c r="T17" t="s">
        <v>3492</v>
      </c>
      <c r="U17" t="s">
        <v>3493</v>
      </c>
      <c r="V17">
        <v>16</v>
      </c>
      <c r="W17" s="2">
        <v>0</v>
      </c>
    </row>
    <row r="18" spans="1:23" x14ac:dyDescent="0.2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1141685</v>
      </c>
      <c r="H18" t="s">
        <v>79</v>
      </c>
      <c r="I18" t="s">
        <v>94</v>
      </c>
      <c r="J18" t="s">
        <v>101</v>
      </c>
      <c r="K18" t="s">
        <v>114</v>
      </c>
      <c r="L18" s="1">
        <v>46143</v>
      </c>
      <c r="M18" s="1">
        <v>46173</v>
      </c>
      <c r="N18">
        <v>1.6759999999999999E-7</v>
      </c>
      <c r="O18" t="s">
        <v>56</v>
      </c>
      <c r="P18" t="s">
        <v>63</v>
      </c>
      <c r="Q18" t="s">
        <v>3459</v>
      </c>
      <c r="R18" t="s">
        <v>3460</v>
      </c>
      <c r="S18" t="s">
        <v>67</v>
      </c>
      <c r="T18" t="s">
        <v>3494</v>
      </c>
      <c r="U18" t="s">
        <v>3495</v>
      </c>
      <c r="V18">
        <v>16</v>
      </c>
      <c r="W18" s="2">
        <v>2.0589269999999999E-4</v>
      </c>
    </row>
    <row r="19" spans="1:23" x14ac:dyDescent="0.2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1141685</v>
      </c>
      <c r="H19" t="s">
        <v>77</v>
      </c>
      <c r="I19" t="s">
        <v>96</v>
      </c>
      <c r="J19" t="s">
        <v>77</v>
      </c>
      <c r="K19" t="s">
        <v>111</v>
      </c>
      <c r="L19" s="1">
        <v>46143</v>
      </c>
      <c r="M19" s="1">
        <v>46173</v>
      </c>
      <c r="N19">
        <v>0.28113426829999999</v>
      </c>
      <c r="O19" t="s">
        <v>56</v>
      </c>
      <c r="P19" t="s">
        <v>63</v>
      </c>
      <c r="Q19" t="s">
        <v>3459</v>
      </c>
      <c r="R19" t="s">
        <v>3496</v>
      </c>
      <c r="S19" t="s">
        <v>67</v>
      </c>
      <c r="T19" t="s">
        <v>3497</v>
      </c>
      <c r="U19" t="s">
        <v>3498</v>
      </c>
      <c r="V19">
        <v>15</v>
      </c>
      <c r="W19" s="2">
        <v>49.0510823085</v>
      </c>
    </row>
    <row r="20" spans="1:23" x14ac:dyDescent="0.25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1141685</v>
      </c>
      <c r="H20" t="s">
        <v>79</v>
      </c>
      <c r="I20" t="s">
        <v>94</v>
      </c>
      <c r="J20" t="s">
        <v>101</v>
      </c>
      <c r="K20" t="s">
        <v>116</v>
      </c>
      <c r="L20" s="1">
        <v>46143</v>
      </c>
      <c r="M20" s="1">
        <v>46173</v>
      </c>
      <c r="N20">
        <v>0.47978451379999998</v>
      </c>
      <c r="O20" t="s">
        <v>56</v>
      </c>
      <c r="P20" t="s">
        <v>63</v>
      </c>
      <c r="Q20" t="s">
        <v>3459</v>
      </c>
      <c r="R20" t="s">
        <v>3460</v>
      </c>
      <c r="S20" t="s">
        <v>67</v>
      </c>
      <c r="T20" t="s">
        <v>3499</v>
      </c>
      <c r="U20" t="s">
        <v>3500</v>
      </c>
      <c r="V20">
        <v>16</v>
      </c>
      <c r="W20" s="2">
        <v>669.63057222250006</v>
      </c>
    </row>
    <row r="21" spans="1:23" x14ac:dyDescent="0.2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1141685</v>
      </c>
      <c r="H21" t="s">
        <v>77</v>
      </c>
      <c r="I21" t="s">
        <v>96</v>
      </c>
      <c r="J21" t="s">
        <v>77</v>
      </c>
      <c r="K21" t="s">
        <v>111</v>
      </c>
      <c r="L21" s="1">
        <v>46143</v>
      </c>
      <c r="M21" s="1">
        <v>46173</v>
      </c>
      <c r="N21">
        <v>3.3071502930999999</v>
      </c>
      <c r="O21" t="s">
        <v>56</v>
      </c>
      <c r="P21" t="s">
        <v>63</v>
      </c>
      <c r="Q21" t="s">
        <v>3459</v>
      </c>
      <c r="R21" t="s">
        <v>3460</v>
      </c>
      <c r="S21" t="s">
        <v>67</v>
      </c>
      <c r="T21" t="s">
        <v>3501</v>
      </c>
      <c r="U21" t="s">
        <v>3502</v>
      </c>
      <c r="V21">
        <v>15</v>
      </c>
      <c r="W21" s="2">
        <v>576.96958732420001</v>
      </c>
    </row>
    <row r="22" spans="1:23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1141685</v>
      </c>
      <c r="H22" t="s">
        <v>77</v>
      </c>
      <c r="I22" t="s">
        <v>96</v>
      </c>
      <c r="J22" t="s">
        <v>77</v>
      </c>
      <c r="K22" t="s">
        <v>111</v>
      </c>
      <c r="L22" s="1">
        <v>46143</v>
      </c>
      <c r="M22" s="1">
        <v>46173</v>
      </c>
      <c r="N22">
        <v>1.6647292133</v>
      </c>
      <c r="O22" t="s">
        <v>56</v>
      </c>
      <c r="P22" t="s">
        <v>63</v>
      </c>
      <c r="Q22" t="s">
        <v>3459</v>
      </c>
      <c r="R22" t="s">
        <v>3496</v>
      </c>
      <c r="S22" t="s">
        <v>67</v>
      </c>
      <c r="T22" t="s">
        <v>3503</v>
      </c>
      <c r="U22" t="s">
        <v>3504</v>
      </c>
      <c r="V22">
        <v>16</v>
      </c>
      <c r="W22" s="2">
        <v>290.42721953170002</v>
      </c>
    </row>
    <row r="23" spans="1:23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1141685</v>
      </c>
      <c r="H23" t="s">
        <v>77</v>
      </c>
      <c r="I23" t="s">
        <v>96</v>
      </c>
      <c r="J23" t="s">
        <v>77</v>
      </c>
      <c r="K23" t="s">
        <v>113</v>
      </c>
      <c r="L23" s="1">
        <v>46143</v>
      </c>
      <c r="M23" s="1">
        <v>46173</v>
      </c>
      <c r="N23">
        <v>139.10476880990001</v>
      </c>
      <c r="O23" t="s">
        <v>56</v>
      </c>
      <c r="P23" t="s">
        <v>63</v>
      </c>
      <c r="Q23" t="s">
        <v>3459</v>
      </c>
      <c r="R23" t="s">
        <v>3460</v>
      </c>
      <c r="S23" t="s">
        <v>67</v>
      </c>
      <c r="T23" t="s">
        <v>3505</v>
      </c>
      <c r="U23" t="s">
        <v>3506</v>
      </c>
      <c r="V23">
        <v>16</v>
      </c>
      <c r="W23" s="2">
        <v>24268.221810580399</v>
      </c>
    </row>
    <row r="24" spans="1:23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1141685</v>
      </c>
      <c r="H24" t="s">
        <v>77</v>
      </c>
      <c r="I24" t="s">
        <v>96</v>
      </c>
      <c r="J24" t="s">
        <v>77</v>
      </c>
      <c r="K24" t="s">
        <v>111</v>
      </c>
      <c r="L24" s="1">
        <v>46143</v>
      </c>
      <c r="M24" s="1">
        <v>46173</v>
      </c>
      <c r="N24">
        <v>4.0503101925999996</v>
      </c>
      <c r="O24" t="s">
        <v>56</v>
      </c>
      <c r="P24" t="s">
        <v>63</v>
      </c>
      <c r="Q24" t="s">
        <v>3459</v>
      </c>
      <c r="R24" t="s">
        <v>3460</v>
      </c>
      <c r="S24" t="s">
        <v>67</v>
      </c>
      <c r="T24" t="s">
        <v>3507</v>
      </c>
      <c r="U24" t="s">
        <v>3508</v>
      </c>
      <c r="V24">
        <v>15</v>
      </c>
      <c r="W24" s="2">
        <v>706.61306226099998</v>
      </c>
    </row>
    <row r="25" spans="1:23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1141685</v>
      </c>
      <c r="H25" t="s">
        <v>79</v>
      </c>
      <c r="I25" t="s">
        <v>94</v>
      </c>
      <c r="J25" t="s">
        <v>101</v>
      </c>
      <c r="K25" t="s">
        <v>114</v>
      </c>
      <c r="L25" s="1">
        <v>46143</v>
      </c>
      <c r="M25" s="1">
        <v>46173</v>
      </c>
      <c r="N25">
        <v>0.29994035330000002</v>
      </c>
      <c r="O25" t="s">
        <v>56</v>
      </c>
      <c r="P25" t="s">
        <v>63</v>
      </c>
      <c r="Q25" t="s">
        <v>3459</v>
      </c>
      <c r="R25" t="s">
        <v>3496</v>
      </c>
      <c r="S25" t="s">
        <v>67</v>
      </c>
      <c r="T25" t="s">
        <v>3509</v>
      </c>
      <c r="U25" t="s">
        <v>3510</v>
      </c>
      <c r="V25">
        <v>16</v>
      </c>
      <c r="W25" s="2">
        <v>418.61626196790002</v>
      </c>
    </row>
    <row r="26" spans="1:23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1141685</v>
      </c>
      <c r="H26" t="s">
        <v>79</v>
      </c>
      <c r="I26" t="s">
        <v>94</v>
      </c>
      <c r="J26" t="s">
        <v>101</v>
      </c>
      <c r="K26" t="s">
        <v>114</v>
      </c>
      <c r="L26" s="1">
        <v>46143</v>
      </c>
      <c r="M26" s="1">
        <v>46173</v>
      </c>
      <c r="N26">
        <v>2.2350000000000001E-7</v>
      </c>
      <c r="O26" t="s">
        <v>56</v>
      </c>
      <c r="P26" t="s">
        <v>63</v>
      </c>
      <c r="Q26" t="s">
        <v>3459</v>
      </c>
      <c r="R26" t="s">
        <v>3460</v>
      </c>
      <c r="S26" t="s">
        <v>67</v>
      </c>
      <c r="T26" t="s">
        <v>3511</v>
      </c>
      <c r="U26" t="s">
        <v>3512</v>
      </c>
      <c r="V26">
        <v>16</v>
      </c>
      <c r="W26" s="2">
        <v>2.7452370000000001E-4</v>
      </c>
    </row>
    <row r="27" spans="1:23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1141685</v>
      </c>
      <c r="H27" t="s">
        <v>79</v>
      </c>
      <c r="I27" t="s">
        <v>94</v>
      </c>
      <c r="J27" t="s">
        <v>101</v>
      </c>
      <c r="K27" t="s">
        <v>114</v>
      </c>
      <c r="L27" s="1">
        <v>46143</v>
      </c>
      <c r="M27" s="1">
        <v>46173</v>
      </c>
      <c r="N27">
        <v>5.1054244899999997E-2</v>
      </c>
      <c r="O27" t="s">
        <v>56</v>
      </c>
      <c r="P27" t="s">
        <v>63</v>
      </c>
      <c r="Q27" t="s">
        <v>3459</v>
      </c>
      <c r="R27" t="s">
        <v>3496</v>
      </c>
      <c r="S27" t="s">
        <v>67</v>
      </c>
      <c r="T27" t="s">
        <v>3513</v>
      </c>
      <c r="U27" t="s">
        <v>3514</v>
      </c>
      <c r="V27">
        <v>16</v>
      </c>
      <c r="W27" s="2">
        <v>71.2547418499</v>
      </c>
    </row>
    <row r="28" spans="1:23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1141685</v>
      </c>
      <c r="H28" t="s">
        <v>93</v>
      </c>
      <c r="I28" t="s">
        <v>93</v>
      </c>
      <c r="J28" t="s">
        <v>93</v>
      </c>
      <c r="K28" t="s">
        <v>133</v>
      </c>
      <c r="L28" s="1">
        <v>46143</v>
      </c>
      <c r="M28" s="1">
        <v>46173</v>
      </c>
      <c r="N28">
        <v>743.97283662919995</v>
      </c>
      <c r="O28" t="s">
        <v>58</v>
      </c>
      <c r="P28" t="s">
        <v>63</v>
      </c>
      <c r="Q28" t="s">
        <v>3472</v>
      </c>
      <c r="R28" t="s">
        <v>3515</v>
      </c>
      <c r="S28" t="s">
        <v>67</v>
      </c>
      <c r="T28" t="s">
        <v>3516</v>
      </c>
      <c r="U28" t="s">
        <v>3517</v>
      </c>
      <c r="V28">
        <v>10</v>
      </c>
      <c r="W28" s="2">
        <v>1297935.009489377</v>
      </c>
    </row>
    <row r="29" spans="1:23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1141685</v>
      </c>
      <c r="H29" t="s">
        <v>77</v>
      </c>
      <c r="I29" t="s">
        <v>96</v>
      </c>
      <c r="J29" t="s">
        <v>77</v>
      </c>
      <c r="K29" t="s">
        <v>113</v>
      </c>
      <c r="L29" s="1">
        <v>46143</v>
      </c>
      <c r="M29" s="1">
        <v>46173</v>
      </c>
      <c r="N29">
        <v>8.2249680738999995</v>
      </c>
      <c r="O29" t="s">
        <v>56</v>
      </c>
      <c r="P29" t="s">
        <v>63</v>
      </c>
      <c r="Q29" t="s">
        <v>3459</v>
      </c>
      <c r="R29" t="s">
        <v>3496</v>
      </c>
      <c r="S29" t="s">
        <v>67</v>
      </c>
      <c r="T29" t="s">
        <v>3518</v>
      </c>
      <c r="U29" t="s">
        <v>3519</v>
      </c>
      <c r="V29">
        <v>16</v>
      </c>
      <c r="W29" s="2">
        <v>1434.9265785494999</v>
      </c>
    </row>
    <row r="30" spans="1:23" x14ac:dyDescent="0.25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1141685</v>
      </c>
      <c r="H30" t="s">
        <v>77</v>
      </c>
      <c r="I30" t="s">
        <v>96</v>
      </c>
      <c r="J30" t="s">
        <v>77</v>
      </c>
      <c r="K30" t="s">
        <v>113</v>
      </c>
      <c r="L30" s="1">
        <v>46143</v>
      </c>
      <c r="M30" s="1">
        <v>46173</v>
      </c>
      <c r="N30">
        <v>20.606725932100002</v>
      </c>
      <c r="O30" t="s">
        <v>56</v>
      </c>
      <c r="P30" t="s">
        <v>63</v>
      </c>
      <c r="Q30" t="s">
        <v>3459</v>
      </c>
      <c r="R30" t="s">
        <v>3460</v>
      </c>
      <c r="S30" t="s">
        <v>67</v>
      </c>
      <c r="T30" t="s">
        <v>3520</v>
      </c>
      <c r="U30" t="s">
        <v>3521</v>
      </c>
      <c r="V30">
        <v>16</v>
      </c>
      <c r="W30" s="2">
        <v>3595.0534773782001</v>
      </c>
    </row>
    <row r="31" spans="1:23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1141685</v>
      </c>
      <c r="H31" t="s">
        <v>77</v>
      </c>
      <c r="I31" t="s">
        <v>96</v>
      </c>
      <c r="J31" t="s">
        <v>77</v>
      </c>
      <c r="K31" t="s">
        <v>113</v>
      </c>
      <c r="L31" s="1">
        <v>46143</v>
      </c>
      <c r="M31" s="1">
        <v>46173</v>
      </c>
      <c r="N31">
        <v>0.76438906600000001</v>
      </c>
      <c r="O31" t="s">
        <v>56</v>
      </c>
      <c r="P31" t="s">
        <v>63</v>
      </c>
      <c r="Q31" t="s">
        <v>3459</v>
      </c>
      <c r="R31" t="s">
        <v>3496</v>
      </c>
      <c r="S31" t="s">
        <v>67</v>
      </c>
      <c r="T31" t="s">
        <v>3522</v>
      </c>
      <c r="U31" t="s">
        <v>3523</v>
      </c>
      <c r="V31">
        <v>15</v>
      </c>
      <c r="W31" s="2">
        <v>133.35267848320001</v>
      </c>
    </row>
    <row r="32" spans="1:23" x14ac:dyDescent="0.25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1141685</v>
      </c>
      <c r="H32" t="s">
        <v>82</v>
      </c>
      <c r="I32" t="s">
        <v>82</v>
      </c>
      <c r="J32" t="s">
        <v>82</v>
      </c>
      <c r="K32" t="s">
        <v>118</v>
      </c>
      <c r="L32" s="1">
        <v>46143</v>
      </c>
      <c r="M32" s="1">
        <v>46173</v>
      </c>
      <c r="N32">
        <v>0.28850300000000001</v>
      </c>
      <c r="O32" t="s">
        <v>60</v>
      </c>
      <c r="P32" t="s">
        <v>63</v>
      </c>
      <c r="Q32" t="s">
        <v>3468</v>
      </c>
      <c r="R32" t="s">
        <v>147</v>
      </c>
      <c r="S32" t="s">
        <v>68</v>
      </c>
      <c r="T32" t="s">
        <v>3524</v>
      </c>
      <c r="U32" t="s">
        <v>3525</v>
      </c>
      <c r="V32">
        <v>6</v>
      </c>
      <c r="W32" s="2">
        <v>2013.2846149760001</v>
      </c>
    </row>
    <row r="33" spans="1:23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1141685</v>
      </c>
      <c r="H33" t="s">
        <v>78</v>
      </c>
      <c r="I33" t="s">
        <v>96</v>
      </c>
      <c r="J33" t="s">
        <v>100</v>
      </c>
      <c r="K33" t="s">
        <v>112</v>
      </c>
      <c r="L33" s="1">
        <v>46143</v>
      </c>
      <c r="M33" s="1">
        <v>46173</v>
      </c>
      <c r="N33">
        <v>744</v>
      </c>
      <c r="O33" t="s">
        <v>58</v>
      </c>
      <c r="P33" t="s">
        <v>63</v>
      </c>
      <c r="Q33" t="s">
        <v>3459</v>
      </c>
      <c r="R33" t="s">
        <v>3526</v>
      </c>
      <c r="S33" t="s">
        <v>67</v>
      </c>
      <c r="T33" t="s">
        <v>3527</v>
      </c>
      <c r="U33" t="s">
        <v>3528</v>
      </c>
      <c r="V33">
        <v>13</v>
      </c>
      <c r="W33" s="2">
        <v>64899.115599999997</v>
      </c>
    </row>
    <row r="34" spans="1:23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>
        <v>1141685</v>
      </c>
      <c r="H34" t="s">
        <v>80</v>
      </c>
      <c r="I34" t="s">
        <v>96</v>
      </c>
      <c r="J34" t="s">
        <v>80</v>
      </c>
      <c r="K34" t="s">
        <v>122</v>
      </c>
      <c r="L34" s="1">
        <v>46143</v>
      </c>
      <c r="M34" s="1">
        <v>46173</v>
      </c>
      <c r="N34">
        <v>1.5814E-6</v>
      </c>
      <c r="O34" t="s">
        <v>56</v>
      </c>
      <c r="P34" t="s">
        <v>63</v>
      </c>
      <c r="Q34" t="s">
        <v>3459</v>
      </c>
      <c r="R34" t="s">
        <v>3529</v>
      </c>
      <c r="S34" t="s">
        <v>67</v>
      </c>
      <c r="T34" t="s">
        <v>3530</v>
      </c>
      <c r="U34" t="s">
        <v>3531</v>
      </c>
      <c r="V34">
        <v>17</v>
      </c>
      <c r="W34" s="2">
        <v>2.4278139999999999E-4</v>
      </c>
    </row>
    <row r="35" spans="1:23" x14ac:dyDescent="0.25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>
        <v>1141685</v>
      </c>
      <c r="H35" t="s">
        <v>80</v>
      </c>
      <c r="I35" t="s">
        <v>96</v>
      </c>
      <c r="J35" t="s">
        <v>80</v>
      </c>
      <c r="K35" t="s">
        <v>122</v>
      </c>
      <c r="L35" s="1">
        <v>46143</v>
      </c>
      <c r="M35" s="1">
        <v>46173</v>
      </c>
      <c r="N35">
        <v>0.47677016909999997</v>
      </c>
      <c r="O35" t="s">
        <v>56</v>
      </c>
      <c r="P35" t="s">
        <v>63</v>
      </c>
      <c r="Q35" t="s">
        <v>3459</v>
      </c>
      <c r="R35" t="s">
        <v>3460</v>
      </c>
      <c r="S35" t="s">
        <v>67</v>
      </c>
      <c r="T35" t="s">
        <v>3532</v>
      </c>
      <c r="U35" t="s">
        <v>3533</v>
      </c>
      <c r="V35">
        <v>16</v>
      </c>
      <c r="W35" s="2">
        <v>83.176044854899999</v>
      </c>
    </row>
    <row r="36" spans="1:23" x14ac:dyDescent="0.25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>
        <v>1141685</v>
      </c>
      <c r="H36" t="s">
        <v>79</v>
      </c>
      <c r="I36" t="s">
        <v>94</v>
      </c>
      <c r="J36" t="s">
        <v>101</v>
      </c>
      <c r="K36" t="s">
        <v>116</v>
      </c>
      <c r="L36" s="1">
        <v>46143</v>
      </c>
      <c r="M36" s="1">
        <v>46173</v>
      </c>
      <c r="N36">
        <v>1.5433236761</v>
      </c>
      <c r="O36" t="s">
        <v>56</v>
      </c>
      <c r="P36" t="s">
        <v>63</v>
      </c>
      <c r="Q36" t="s">
        <v>3459</v>
      </c>
      <c r="R36" t="s">
        <v>3460</v>
      </c>
      <c r="S36" t="s">
        <v>67</v>
      </c>
      <c r="T36" t="s">
        <v>3534</v>
      </c>
      <c r="U36" t="s">
        <v>3535</v>
      </c>
      <c r="V36">
        <v>16</v>
      </c>
      <c r="W36" s="2">
        <v>2153.9876696679999</v>
      </c>
    </row>
    <row r="37" spans="1:23" x14ac:dyDescent="0.25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>
        <v>1141685</v>
      </c>
      <c r="H37" t="s">
        <v>79</v>
      </c>
      <c r="I37" t="s">
        <v>94</v>
      </c>
      <c r="J37" t="s">
        <v>101</v>
      </c>
      <c r="K37" t="s">
        <v>116</v>
      </c>
      <c r="L37" s="1">
        <v>46143</v>
      </c>
      <c r="M37" s="1">
        <v>46173</v>
      </c>
      <c r="N37">
        <v>1.0263844682000001</v>
      </c>
      <c r="O37" t="s">
        <v>56</v>
      </c>
      <c r="P37" t="s">
        <v>63</v>
      </c>
      <c r="Q37" t="s">
        <v>3459</v>
      </c>
      <c r="R37" t="s">
        <v>3460</v>
      </c>
      <c r="S37" t="s">
        <v>67</v>
      </c>
      <c r="T37" t="s">
        <v>3536</v>
      </c>
      <c r="U37" t="s">
        <v>3537</v>
      </c>
      <c r="V37">
        <v>16</v>
      </c>
      <c r="W37" s="2">
        <v>1432.5037616142999</v>
      </c>
    </row>
    <row r="38" spans="1:23" x14ac:dyDescent="0.25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>
        <v>1141685</v>
      </c>
      <c r="H38" t="s">
        <v>79</v>
      </c>
      <c r="I38" t="s">
        <v>94</v>
      </c>
      <c r="J38" t="s">
        <v>101</v>
      </c>
      <c r="K38" t="s">
        <v>116</v>
      </c>
      <c r="L38" s="1">
        <v>46143</v>
      </c>
      <c r="M38" s="1">
        <v>46173</v>
      </c>
      <c r="N38">
        <v>2.5375700000000002E-5</v>
      </c>
      <c r="O38" t="s">
        <v>56</v>
      </c>
      <c r="P38" t="s">
        <v>63</v>
      </c>
      <c r="Q38" t="s">
        <v>3459</v>
      </c>
      <c r="R38" t="s">
        <v>3460</v>
      </c>
      <c r="S38" t="s">
        <v>67</v>
      </c>
      <c r="T38" t="s">
        <v>3538</v>
      </c>
      <c r="U38" t="s">
        <v>3539</v>
      </c>
      <c r="V38">
        <v>16</v>
      </c>
      <c r="W38" s="2">
        <v>3.11664509E-2</v>
      </c>
    </row>
    <row r="39" spans="1:23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>
        <v>1141685</v>
      </c>
      <c r="H39" t="s">
        <v>79</v>
      </c>
      <c r="I39" t="s">
        <v>94</v>
      </c>
      <c r="J39" t="s">
        <v>101</v>
      </c>
      <c r="K39" t="s">
        <v>116</v>
      </c>
      <c r="L39" s="1">
        <v>46143</v>
      </c>
      <c r="M39" s="1">
        <v>46173</v>
      </c>
      <c r="N39">
        <v>2.6073399999999999E-4</v>
      </c>
      <c r="O39" t="s">
        <v>56</v>
      </c>
      <c r="P39" t="s">
        <v>63</v>
      </c>
      <c r="Q39" t="s">
        <v>3459</v>
      </c>
      <c r="R39" t="s">
        <v>3460</v>
      </c>
      <c r="S39" t="s">
        <v>67</v>
      </c>
      <c r="T39" t="s">
        <v>3540</v>
      </c>
      <c r="U39" t="s">
        <v>3541</v>
      </c>
      <c r="V39">
        <v>16</v>
      </c>
      <c r="W39" s="2">
        <v>0.36023308069999999</v>
      </c>
    </row>
    <row r="40" spans="1:23" x14ac:dyDescent="0.25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>
        <v>1141685</v>
      </c>
      <c r="H40" t="s">
        <v>79</v>
      </c>
      <c r="I40" t="s">
        <v>94</v>
      </c>
      <c r="J40" t="s">
        <v>101</v>
      </c>
      <c r="K40" t="s">
        <v>116</v>
      </c>
      <c r="L40" s="1">
        <v>46143</v>
      </c>
      <c r="M40" s="1">
        <v>46173</v>
      </c>
      <c r="N40">
        <v>0.32860315779999999</v>
      </c>
      <c r="O40" t="s">
        <v>56</v>
      </c>
      <c r="P40" t="s">
        <v>63</v>
      </c>
      <c r="Q40" t="s">
        <v>3459</v>
      </c>
      <c r="R40" t="s">
        <v>3460</v>
      </c>
      <c r="S40" t="s">
        <v>67</v>
      </c>
      <c r="T40" t="s">
        <v>3542</v>
      </c>
      <c r="U40" t="s">
        <v>3543</v>
      </c>
      <c r="V40">
        <v>15</v>
      </c>
      <c r="W40" s="2">
        <v>377.83606060009998</v>
      </c>
    </row>
    <row r="41" spans="1:23" x14ac:dyDescent="0.25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>
        <v>1141685</v>
      </c>
      <c r="H41" t="s">
        <v>79</v>
      </c>
      <c r="I41" t="s">
        <v>94</v>
      </c>
      <c r="J41" t="s">
        <v>101</v>
      </c>
      <c r="K41" t="s">
        <v>116</v>
      </c>
      <c r="L41" s="1">
        <v>46143</v>
      </c>
      <c r="M41" s="1">
        <v>46173</v>
      </c>
      <c r="N41">
        <v>1.4301304267999999</v>
      </c>
      <c r="O41" t="s">
        <v>56</v>
      </c>
      <c r="P41" t="s">
        <v>63</v>
      </c>
      <c r="Q41" t="s">
        <v>3459</v>
      </c>
      <c r="R41" t="s">
        <v>3460</v>
      </c>
      <c r="S41" t="s">
        <v>67</v>
      </c>
      <c r="T41" t="s">
        <v>3544</v>
      </c>
      <c r="U41" t="s">
        <v>3545</v>
      </c>
      <c r="V41">
        <v>16</v>
      </c>
      <c r="W41" s="2">
        <v>1996.00390195</v>
      </c>
    </row>
    <row r="42" spans="1:23" x14ac:dyDescent="0.25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>
        <v>1141685</v>
      </c>
      <c r="H42" t="s">
        <v>79</v>
      </c>
      <c r="I42" t="s">
        <v>94</v>
      </c>
      <c r="J42" t="s">
        <v>101</v>
      </c>
      <c r="K42" t="s">
        <v>116</v>
      </c>
      <c r="L42" s="1">
        <v>46143</v>
      </c>
      <c r="M42" s="1">
        <v>46173</v>
      </c>
      <c r="N42">
        <v>1.118034E-4</v>
      </c>
      <c r="O42" t="s">
        <v>56</v>
      </c>
      <c r="P42" t="s">
        <v>63</v>
      </c>
      <c r="Q42" t="s">
        <v>3459</v>
      </c>
      <c r="R42" t="s">
        <v>3460</v>
      </c>
      <c r="S42" t="s">
        <v>67</v>
      </c>
      <c r="T42" t="s">
        <v>3546</v>
      </c>
      <c r="U42" t="s">
        <v>3547</v>
      </c>
      <c r="V42">
        <v>16</v>
      </c>
      <c r="W42" s="2">
        <v>0.15731677220000001</v>
      </c>
    </row>
    <row r="43" spans="1:23" x14ac:dyDescent="0.2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>
        <v>1141685</v>
      </c>
      <c r="H43" t="s">
        <v>75</v>
      </c>
      <c r="I43" t="s">
        <v>94</v>
      </c>
      <c r="J43" t="s">
        <v>98</v>
      </c>
      <c r="K43" t="s">
        <v>108</v>
      </c>
      <c r="L43" s="1">
        <v>46143</v>
      </c>
      <c r="M43" s="1">
        <v>46173</v>
      </c>
      <c r="N43">
        <v>1.79398274E-2</v>
      </c>
      <c r="O43" t="s">
        <v>56</v>
      </c>
      <c r="P43" t="s">
        <v>63</v>
      </c>
      <c r="Q43" t="s">
        <v>3459</v>
      </c>
      <c r="R43" t="s">
        <v>3496</v>
      </c>
      <c r="S43" t="s">
        <v>67</v>
      </c>
      <c r="T43" t="s">
        <v>3548</v>
      </c>
      <c r="U43" t="s">
        <v>3549</v>
      </c>
      <c r="V43">
        <v>16</v>
      </c>
      <c r="W43" s="2">
        <v>37.560500971899998</v>
      </c>
    </row>
    <row r="44" spans="1:23" x14ac:dyDescent="0.25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>
        <v>1141685</v>
      </c>
      <c r="H44" t="s">
        <v>75</v>
      </c>
      <c r="I44" t="s">
        <v>94</v>
      </c>
      <c r="J44" t="s">
        <v>98</v>
      </c>
      <c r="K44" t="s">
        <v>108</v>
      </c>
      <c r="L44" s="1">
        <v>46143</v>
      </c>
      <c r="M44" s="1">
        <v>46173</v>
      </c>
      <c r="N44">
        <v>2.80847745E-2</v>
      </c>
      <c r="O44" t="s">
        <v>56</v>
      </c>
      <c r="P44" t="s">
        <v>63</v>
      </c>
      <c r="Q44" t="s">
        <v>3459</v>
      </c>
      <c r="R44" t="s">
        <v>3460</v>
      </c>
      <c r="S44" t="s">
        <v>67</v>
      </c>
      <c r="T44" t="s">
        <v>3550</v>
      </c>
      <c r="U44" t="s">
        <v>3551</v>
      </c>
      <c r="V44">
        <v>15</v>
      </c>
      <c r="W44" s="2">
        <v>55.4288991333</v>
      </c>
    </row>
    <row r="45" spans="1:23" x14ac:dyDescent="0.25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>
        <v>1141685</v>
      </c>
      <c r="H45" t="s">
        <v>75</v>
      </c>
      <c r="I45" t="s">
        <v>94</v>
      </c>
      <c r="J45" t="s">
        <v>98</v>
      </c>
      <c r="K45" t="s">
        <v>108</v>
      </c>
      <c r="L45" s="1">
        <v>46143</v>
      </c>
      <c r="M45" s="1">
        <v>46173</v>
      </c>
      <c r="N45">
        <v>1.1241725000000001E-3</v>
      </c>
      <c r="O45" t="s">
        <v>56</v>
      </c>
      <c r="P45" t="s">
        <v>63</v>
      </c>
      <c r="Q45" t="s">
        <v>3459</v>
      </c>
      <c r="R45" t="s">
        <v>3460</v>
      </c>
      <c r="S45" t="s">
        <v>67</v>
      </c>
      <c r="T45" t="s">
        <v>3552</v>
      </c>
      <c r="U45" t="s">
        <v>3553</v>
      </c>
      <c r="V45">
        <v>16</v>
      </c>
      <c r="W45" s="2">
        <v>2.3510602459999999</v>
      </c>
    </row>
    <row r="46" spans="1:23" x14ac:dyDescent="0.25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>
        <v>1141685</v>
      </c>
      <c r="H46" t="s">
        <v>75</v>
      </c>
      <c r="I46" t="s">
        <v>94</v>
      </c>
      <c r="J46" t="s">
        <v>98</v>
      </c>
      <c r="K46" t="s">
        <v>108</v>
      </c>
      <c r="L46" s="1">
        <v>46143</v>
      </c>
      <c r="M46" s="1">
        <v>46173</v>
      </c>
      <c r="N46">
        <v>3.3873277700000003E-2</v>
      </c>
      <c r="O46" t="s">
        <v>56</v>
      </c>
      <c r="P46" t="s">
        <v>63</v>
      </c>
      <c r="Q46" t="s">
        <v>3459</v>
      </c>
      <c r="R46" t="s">
        <v>3460</v>
      </c>
      <c r="S46" t="s">
        <v>67</v>
      </c>
      <c r="T46" t="s">
        <v>3554</v>
      </c>
      <c r="U46" t="s">
        <v>3555</v>
      </c>
      <c r="V46">
        <v>16</v>
      </c>
      <c r="W46" s="2">
        <v>70.9146582403</v>
      </c>
    </row>
    <row r="47" spans="1:23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>
        <v>1141685</v>
      </c>
      <c r="H47" t="s">
        <v>75</v>
      </c>
      <c r="I47" t="s">
        <v>94</v>
      </c>
      <c r="J47" t="s">
        <v>98</v>
      </c>
      <c r="K47" t="s">
        <v>108</v>
      </c>
      <c r="L47" s="1">
        <v>46143</v>
      </c>
      <c r="M47" s="1">
        <v>46173</v>
      </c>
      <c r="N47">
        <v>9.8021699999999997E-5</v>
      </c>
      <c r="O47" t="s">
        <v>56</v>
      </c>
      <c r="P47" t="s">
        <v>63</v>
      </c>
      <c r="Q47" t="s">
        <v>3459</v>
      </c>
      <c r="R47" t="s">
        <v>3460</v>
      </c>
      <c r="S47" t="s">
        <v>67</v>
      </c>
      <c r="T47" t="s">
        <v>3556</v>
      </c>
      <c r="U47" t="s">
        <v>3557</v>
      </c>
      <c r="V47">
        <v>16</v>
      </c>
      <c r="W47" s="2">
        <v>0.20058514429999999</v>
      </c>
    </row>
    <row r="48" spans="1:23" x14ac:dyDescent="0.25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>
        <v>1141685</v>
      </c>
      <c r="H48" t="s">
        <v>75</v>
      </c>
      <c r="I48" t="s">
        <v>94</v>
      </c>
      <c r="J48" t="s">
        <v>98</v>
      </c>
      <c r="K48" t="s">
        <v>108</v>
      </c>
      <c r="L48" s="1">
        <v>46143</v>
      </c>
      <c r="M48" s="1">
        <v>46173</v>
      </c>
      <c r="N48">
        <v>4.9657469999999997E-4</v>
      </c>
      <c r="O48" t="s">
        <v>56</v>
      </c>
      <c r="P48" t="s">
        <v>63</v>
      </c>
      <c r="Q48" t="s">
        <v>3459</v>
      </c>
      <c r="R48" t="s">
        <v>3496</v>
      </c>
      <c r="S48" t="s">
        <v>67</v>
      </c>
      <c r="T48" t="s">
        <v>3558</v>
      </c>
      <c r="U48" t="s">
        <v>3559</v>
      </c>
      <c r="V48">
        <v>16</v>
      </c>
      <c r="W48" s="2">
        <v>1.0348383365</v>
      </c>
    </row>
    <row r="49" spans="1:23" x14ac:dyDescent="0.25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>
        <v>1141685</v>
      </c>
      <c r="H49" t="s">
        <v>75</v>
      </c>
      <c r="I49" t="s">
        <v>94</v>
      </c>
      <c r="J49" t="s">
        <v>98</v>
      </c>
      <c r="K49" t="s">
        <v>108</v>
      </c>
      <c r="L49" s="1">
        <v>46143</v>
      </c>
      <c r="M49" s="1">
        <v>46173</v>
      </c>
      <c r="N49">
        <v>8.4535999999999998E-6</v>
      </c>
      <c r="O49" t="s">
        <v>56</v>
      </c>
      <c r="P49" t="s">
        <v>63</v>
      </c>
      <c r="Q49" t="s">
        <v>3459</v>
      </c>
      <c r="R49" t="s">
        <v>3460</v>
      </c>
      <c r="S49" t="s">
        <v>67</v>
      </c>
      <c r="T49" t="s">
        <v>3560</v>
      </c>
      <c r="U49" t="s">
        <v>3561</v>
      </c>
      <c r="V49">
        <v>16</v>
      </c>
      <c r="W49" s="2">
        <v>1.55740746E-2</v>
      </c>
    </row>
    <row r="50" spans="1:23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>
        <v>1141685</v>
      </c>
      <c r="H50" t="s">
        <v>91</v>
      </c>
      <c r="I50" t="s">
        <v>95</v>
      </c>
      <c r="J50" t="s">
        <v>106</v>
      </c>
      <c r="K50" t="s">
        <v>479</v>
      </c>
      <c r="L50" s="1">
        <v>46143</v>
      </c>
      <c r="M50" s="1">
        <v>46173</v>
      </c>
      <c r="N50">
        <v>0.21667</v>
      </c>
      <c r="O50" t="s">
        <v>58</v>
      </c>
      <c r="P50" t="s">
        <v>63</v>
      </c>
      <c r="Q50" t="s">
        <v>3465</v>
      </c>
      <c r="R50" t="s">
        <v>3460</v>
      </c>
      <c r="S50" t="s">
        <v>67</v>
      </c>
      <c r="T50" t="s">
        <v>3466</v>
      </c>
      <c r="U50" t="s">
        <v>3467</v>
      </c>
      <c r="V50">
        <v>16</v>
      </c>
      <c r="W50" s="2">
        <v>945.00546039999995</v>
      </c>
    </row>
    <row r="51" spans="1:23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>
        <v>1141685</v>
      </c>
      <c r="H51" t="s">
        <v>80</v>
      </c>
      <c r="I51" t="s">
        <v>96</v>
      </c>
      <c r="J51" t="s">
        <v>80</v>
      </c>
      <c r="K51" t="s">
        <v>115</v>
      </c>
      <c r="L51" s="1">
        <v>46143</v>
      </c>
      <c r="M51" s="1">
        <v>46173</v>
      </c>
      <c r="N51">
        <v>0.5721978163</v>
      </c>
      <c r="O51" t="s">
        <v>56</v>
      </c>
      <c r="P51" t="s">
        <v>63</v>
      </c>
      <c r="Q51" t="s">
        <v>3459</v>
      </c>
      <c r="R51" t="s">
        <v>3460</v>
      </c>
      <c r="S51" t="s">
        <v>67</v>
      </c>
      <c r="T51" t="s">
        <v>3562</v>
      </c>
      <c r="U51" t="s">
        <v>3563</v>
      </c>
      <c r="V51">
        <v>16</v>
      </c>
      <c r="W51" s="2">
        <v>99.826555310400011</v>
      </c>
    </row>
    <row r="52" spans="1:23" x14ac:dyDescent="0.25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>
        <v>1141685</v>
      </c>
      <c r="H52" t="s">
        <v>91</v>
      </c>
      <c r="I52" t="s">
        <v>95</v>
      </c>
      <c r="J52" t="s">
        <v>106</v>
      </c>
      <c r="K52" t="s">
        <v>479</v>
      </c>
      <c r="L52" s="1">
        <v>46143</v>
      </c>
      <c r="M52" s="1">
        <v>46173</v>
      </c>
      <c r="N52">
        <v>0.21667</v>
      </c>
      <c r="O52" t="s">
        <v>58</v>
      </c>
      <c r="P52" t="s">
        <v>63</v>
      </c>
      <c r="Q52" t="s">
        <v>3465</v>
      </c>
      <c r="R52" t="s">
        <v>3460</v>
      </c>
      <c r="S52" t="s">
        <v>67</v>
      </c>
      <c r="T52" t="s">
        <v>3466</v>
      </c>
      <c r="U52" t="s">
        <v>3467</v>
      </c>
      <c r="V52">
        <v>16</v>
      </c>
      <c r="W52" s="2">
        <v>945.00546039999995</v>
      </c>
    </row>
    <row r="53" spans="1:23" x14ac:dyDescent="0.25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>
        <v>1141685</v>
      </c>
      <c r="H53" t="s">
        <v>91</v>
      </c>
      <c r="I53" t="s">
        <v>95</v>
      </c>
      <c r="J53" t="s">
        <v>106</v>
      </c>
      <c r="K53" t="s">
        <v>129</v>
      </c>
      <c r="L53" s="1">
        <v>46143</v>
      </c>
      <c r="M53" s="1">
        <v>46173</v>
      </c>
      <c r="N53">
        <v>0.2</v>
      </c>
      <c r="O53" t="s">
        <v>58</v>
      </c>
      <c r="P53" t="s">
        <v>63</v>
      </c>
      <c r="Q53" t="s">
        <v>3465</v>
      </c>
      <c r="R53" t="s">
        <v>3496</v>
      </c>
      <c r="S53" t="s">
        <v>67</v>
      </c>
      <c r="T53" t="s">
        <v>3564</v>
      </c>
      <c r="U53" t="s">
        <v>3565</v>
      </c>
      <c r="V53">
        <v>16</v>
      </c>
      <c r="W53" s="2">
        <v>436.15199999999999</v>
      </c>
    </row>
    <row r="54" spans="1:23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>
        <v>1141685</v>
      </c>
      <c r="H54" t="s">
        <v>91</v>
      </c>
      <c r="I54" t="s">
        <v>95</v>
      </c>
      <c r="J54" t="s">
        <v>106</v>
      </c>
      <c r="K54" t="s">
        <v>129</v>
      </c>
      <c r="L54" s="1">
        <v>46143</v>
      </c>
      <c r="M54" s="1">
        <v>46173</v>
      </c>
      <c r="N54">
        <v>3.3334000000000003E-2</v>
      </c>
      <c r="O54" t="s">
        <v>58</v>
      </c>
      <c r="P54" t="s">
        <v>63</v>
      </c>
      <c r="Q54" t="s">
        <v>3465</v>
      </c>
      <c r="R54" t="s">
        <v>3496</v>
      </c>
      <c r="S54" t="s">
        <v>67</v>
      </c>
      <c r="T54" t="s">
        <v>3566</v>
      </c>
      <c r="U54" t="s">
        <v>3567</v>
      </c>
      <c r="V54">
        <v>16</v>
      </c>
      <c r="W54" s="2">
        <v>72.689946040000009</v>
      </c>
    </row>
    <row r="55" spans="1:23" x14ac:dyDescent="0.25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>
        <v>1141685</v>
      </c>
      <c r="H55" t="s">
        <v>80</v>
      </c>
      <c r="I55" t="s">
        <v>96</v>
      </c>
      <c r="J55" t="s">
        <v>80</v>
      </c>
      <c r="K55" t="s">
        <v>122</v>
      </c>
      <c r="L55" s="1">
        <v>46143</v>
      </c>
      <c r="M55" s="1">
        <v>46173</v>
      </c>
      <c r="N55">
        <v>1.0282E-6</v>
      </c>
      <c r="O55" t="s">
        <v>56</v>
      </c>
      <c r="P55" t="s">
        <v>63</v>
      </c>
      <c r="Q55" t="s">
        <v>3459</v>
      </c>
      <c r="R55" t="s">
        <v>3529</v>
      </c>
      <c r="S55" t="s">
        <v>67</v>
      </c>
      <c r="T55" t="s">
        <v>3568</v>
      </c>
      <c r="U55" t="s">
        <v>3569</v>
      </c>
      <c r="V55">
        <v>16</v>
      </c>
      <c r="W55" s="2">
        <v>1.578509E-4</v>
      </c>
    </row>
    <row r="56" spans="1:23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>
        <v>1141685</v>
      </c>
      <c r="H56" t="s">
        <v>80</v>
      </c>
      <c r="I56" t="s">
        <v>96</v>
      </c>
      <c r="J56" t="s">
        <v>80</v>
      </c>
      <c r="K56" t="s">
        <v>122</v>
      </c>
      <c r="L56" s="1">
        <v>46143</v>
      </c>
      <c r="M56" s="1">
        <v>46173</v>
      </c>
      <c r="N56">
        <v>3.1662534899999997E-2</v>
      </c>
      <c r="O56" t="s">
        <v>56</v>
      </c>
      <c r="P56" t="s">
        <v>63</v>
      </c>
      <c r="Q56" t="s">
        <v>3459</v>
      </c>
      <c r="R56" t="s">
        <v>3496</v>
      </c>
      <c r="S56" t="s">
        <v>67</v>
      </c>
      <c r="T56" t="s">
        <v>3570</v>
      </c>
      <c r="U56" t="s">
        <v>3571</v>
      </c>
      <c r="V56">
        <v>16</v>
      </c>
      <c r="W56" s="2">
        <v>5.5209843407000001</v>
      </c>
    </row>
    <row r="57" spans="1:23" x14ac:dyDescent="0.25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>
        <v>1141685</v>
      </c>
      <c r="H57" t="s">
        <v>80</v>
      </c>
      <c r="I57" t="s">
        <v>96</v>
      </c>
      <c r="J57" t="s">
        <v>80</v>
      </c>
      <c r="K57" t="s">
        <v>122</v>
      </c>
      <c r="L57" s="1">
        <v>46143</v>
      </c>
      <c r="M57" s="1">
        <v>46173</v>
      </c>
      <c r="N57">
        <v>6.5450268000000001E-3</v>
      </c>
      <c r="O57" t="s">
        <v>56</v>
      </c>
      <c r="P57" t="s">
        <v>63</v>
      </c>
      <c r="Q57" t="s">
        <v>3459</v>
      </c>
      <c r="R57" t="s">
        <v>3496</v>
      </c>
      <c r="S57" t="s">
        <v>67</v>
      </c>
      <c r="T57" t="s">
        <v>3572</v>
      </c>
      <c r="U57" t="s">
        <v>3573</v>
      </c>
      <c r="V57">
        <v>15</v>
      </c>
      <c r="W57" s="2">
        <v>1.1448239279000001</v>
      </c>
    </row>
    <row r="58" spans="1:23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>
        <v>1141685</v>
      </c>
      <c r="H58" t="s">
        <v>38</v>
      </c>
      <c r="I58" t="s">
        <v>38</v>
      </c>
      <c r="J58" t="s">
        <v>38</v>
      </c>
      <c r="K58" t="s">
        <v>50</v>
      </c>
      <c r="L58" s="1">
        <v>46143</v>
      </c>
      <c r="M58" s="1">
        <v>46173</v>
      </c>
      <c r="N58">
        <v>420</v>
      </c>
      <c r="O58" t="s">
        <v>61</v>
      </c>
      <c r="P58" t="s">
        <v>63</v>
      </c>
      <c r="Q58" t="s">
        <v>3472</v>
      </c>
      <c r="R58" t="s">
        <v>3574</v>
      </c>
      <c r="S58" t="s">
        <v>66</v>
      </c>
      <c r="T58" t="s">
        <v>591</v>
      </c>
      <c r="U58" t="s">
        <v>776</v>
      </c>
      <c r="V58">
        <v>6</v>
      </c>
      <c r="W58" s="2">
        <v>212.49320639999999</v>
      </c>
    </row>
    <row r="59" spans="1:23" x14ac:dyDescent="0.25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>
        <v>1141685</v>
      </c>
      <c r="H59" t="s">
        <v>80</v>
      </c>
      <c r="I59" t="s">
        <v>96</v>
      </c>
      <c r="J59" t="s">
        <v>80</v>
      </c>
      <c r="K59" t="s">
        <v>122</v>
      </c>
      <c r="L59" s="1">
        <v>46143</v>
      </c>
      <c r="M59" s="1">
        <v>46173</v>
      </c>
      <c r="N59">
        <v>9.5343129700000001E-2</v>
      </c>
      <c r="O59" t="s">
        <v>56</v>
      </c>
      <c r="P59" t="s">
        <v>63</v>
      </c>
      <c r="Q59" t="s">
        <v>3459</v>
      </c>
      <c r="R59" t="s">
        <v>3460</v>
      </c>
      <c r="S59" t="s">
        <v>67</v>
      </c>
      <c r="T59" t="s">
        <v>3575</v>
      </c>
      <c r="U59" t="s">
        <v>3576</v>
      </c>
      <c r="V59">
        <v>16</v>
      </c>
      <c r="W59" s="2">
        <v>16.637534919099998</v>
      </c>
    </row>
    <row r="60" spans="1:23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>
        <v>1141685</v>
      </c>
      <c r="H60" t="s">
        <v>77</v>
      </c>
      <c r="I60" t="s">
        <v>96</v>
      </c>
      <c r="J60" t="s">
        <v>77</v>
      </c>
      <c r="K60" t="s">
        <v>110</v>
      </c>
      <c r="L60" s="1">
        <v>46143</v>
      </c>
      <c r="M60" s="1">
        <v>46173</v>
      </c>
      <c r="N60">
        <v>744</v>
      </c>
      <c r="O60" t="s">
        <v>58</v>
      </c>
      <c r="P60" t="s">
        <v>63</v>
      </c>
      <c r="Q60" t="s">
        <v>3468</v>
      </c>
      <c r="R60" t="s">
        <v>3577</v>
      </c>
      <c r="S60" t="s">
        <v>67</v>
      </c>
      <c r="T60" t="s">
        <v>3578</v>
      </c>
      <c r="U60" t="s">
        <v>3579</v>
      </c>
      <c r="V60">
        <v>8</v>
      </c>
      <c r="W60" s="2">
        <v>129798.2412</v>
      </c>
    </row>
    <row r="61" spans="1:23" x14ac:dyDescent="0.25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>
        <v>1141685</v>
      </c>
      <c r="H61" t="s">
        <v>77</v>
      </c>
      <c r="I61" t="s">
        <v>96</v>
      </c>
      <c r="J61" t="s">
        <v>77</v>
      </c>
      <c r="K61" t="s">
        <v>111</v>
      </c>
      <c r="L61" s="1">
        <v>46143</v>
      </c>
      <c r="M61" s="1">
        <v>46173</v>
      </c>
      <c r="N61">
        <v>14.1300946493</v>
      </c>
      <c r="O61" t="s">
        <v>56</v>
      </c>
      <c r="P61" t="s">
        <v>63</v>
      </c>
      <c r="Q61" t="s">
        <v>3459</v>
      </c>
      <c r="R61" t="s">
        <v>3460</v>
      </c>
      <c r="S61" t="s">
        <v>67</v>
      </c>
      <c r="T61" t="s">
        <v>3580</v>
      </c>
      <c r="U61" t="s">
        <v>3581</v>
      </c>
      <c r="V61">
        <v>16</v>
      </c>
      <c r="W61" s="2">
        <v>2465.1399550074002</v>
      </c>
    </row>
    <row r="62" spans="1:23" x14ac:dyDescent="0.25">
      <c r="A62" t="s">
        <v>31</v>
      </c>
      <c r="B62" t="s">
        <v>32</v>
      </c>
      <c r="C62" t="s">
        <v>33</v>
      </c>
      <c r="D62" t="s">
        <v>34</v>
      </c>
      <c r="E62" t="s">
        <v>35</v>
      </c>
      <c r="F62" t="s">
        <v>36</v>
      </c>
      <c r="G62">
        <v>1141685</v>
      </c>
      <c r="H62" t="s">
        <v>79</v>
      </c>
      <c r="I62" t="s">
        <v>94</v>
      </c>
      <c r="J62" t="s">
        <v>101</v>
      </c>
      <c r="K62" t="s">
        <v>116</v>
      </c>
      <c r="L62" s="1">
        <v>46143</v>
      </c>
      <c r="M62" s="1">
        <v>46173</v>
      </c>
      <c r="N62">
        <v>3.3211800000000001E-4</v>
      </c>
      <c r="O62" t="s">
        <v>56</v>
      </c>
      <c r="P62" t="s">
        <v>63</v>
      </c>
      <c r="Q62" t="s">
        <v>3459</v>
      </c>
      <c r="R62" t="s">
        <v>3460</v>
      </c>
      <c r="S62" t="s">
        <v>67</v>
      </c>
      <c r="T62" t="s">
        <v>3582</v>
      </c>
      <c r="U62" t="s">
        <v>3583</v>
      </c>
      <c r="V62">
        <v>15</v>
      </c>
      <c r="W62" s="2">
        <v>0.46790681080000002</v>
      </c>
    </row>
    <row r="63" spans="1:23" x14ac:dyDescent="0.25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>
        <v>1141685</v>
      </c>
      <c r="H63" t="s">
        <v>90</v>
      </c>
      <c r="I63" t="s">
        <v>43</v>
      </c>
      <c r="J63" t="s">
        <v>105</v>
      </c>
      <c r="K63" t="s">
        <v>128</v>
      </c>
      <c r="L63" s="1">
        <v>46143</v>
      </c>
      <c r="M63" s="1">
        <v>46173</v>
      </c>
      <c r="N63">
        <v>0.99731182799999996</v>
      </c>
      <c r="O63" t="s">
        <v>135</v>
      </c>
      <c r="P63" t="s">
        <v>63</v>
      </c>
      <c r="Q63" t="s">
        <v>3472</v>
      </c>
      <c r="R63" t="s">
        <v>3584</v>
      </c>
      <c r="S63" t="s">
        <v>67</v>
      </c>
      <c r="T63" t="s">
        <v>616</v>
      </c>
      <c r="U63" t="s">
        <v>801</v>
      </c>
      <c r="V63">
        <v>7</v>
      </c>
      <c r="W63" s="2">
        <v>260986.5283870938</v>
      </c>
    </row>
    <row r="64" spans="1:23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36</v>
      </c>
      <c r="G64">
        <v>1141685</v>
      </c>
      <c r="H64" t="s">
        <v>77</v>
      </c>
      <c r="I64" t="s">
        <v>96</v>
      </c>
      <c r="J64" t="s">
        <v>77</v>
      </c>
      <c r="K64" t="s">
        <v>111</v>
      </c>
      <c r="L64" s="1">
        <v>46143</v>
      </c>
      <c r="M64" s="1">
        <v>46173</v>
      </c>
      <c r="N64">
        <v>2.0103166085000002</v>
      </c>
      <c r="O64" t="s">
        <v>56</v>
      </c>
      <c r="P64" t="s">
        <v>63</v>
      </c>
      <c r="Q64" t="s">
        <v>3459</v>
      </c>
      <c r="R64" t="s">
        <v>3460</v>
      </c>
      <c r="S64" t="s">
        <v>67</v>
      </c>
      <c r="T64" t="s">
        <v>3585</v>
      </c>
      <c r="U64" t="s">
        <v>3586</v>
      </c>
      <c r="V64">
        <v>15</v>
      </c>
      <c r="W64" s="2">
        <v>350.72345525200001</v>
      </c>
    </row>
    <row r="65" spans="1:23" x14ac:dyDescent="0.25">
      <c r="A65" t="s">
        <v>31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>
        <v>1141685</v>
      </c>
      <c r="H65" t="s">
        <v>77</v>
      </c>
      <c r="I65" t="s">
        <v>96</v>
      </c>
      <c r="J65" t="s">
        <v>77</v>
      </c>
      <c r="K65" t="s">
        <v>111</v>
      </c>
      <c r="L65" s="1">
        <v>46143</v>
      </c>
      <c r="M65" s="1">
        <v>46173</v>
      </c>
      <c r="N65">
        <v>1.006E-7</v>
      </c>
      <c r="O65" t="s">
        <v>56</v>
      </c>
      <c r="P65" t="s">
        <v>63</v>
      </c>
      <c r="Q65" t="s">
        <v>3459</v>
      </c>
      <c r="R65" t="s">
        <v>3496</v>
      </c>
      <c r="S65" t="s">
        <v>67</v>
      </c>
      <c r="T65" t="s">
        <v>3587</v>
      </c>
      <c r="U65" t="s">
        <v>3588</v>
      </c>
      <c r="V65">
        <v>16</v>
      </c>
      <c r="W65" s="2">
        <v>1.5441899999999999E-5</v>
      </c>
    </row>
    <row r="66" spans="1:23" x14ac:dyDescent="0.25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s">
        <v>36</v>
      </c>
      <c r="G66">
        <v>1141685</v>
      </c>
      <c r="H66" t="s">
        <v>77</v>
      </c>
      <c r="I66" t="s">
        <v>96</v>
      </c>
      <c r="J66" t="s">
        <v>77</v>
      </c>
      <c r="K66" t="s">
        <v>111</v>
      </c>
      <c r="L66" s="1">
        <v>46143</v>
      </c>
      <c r="M66" s="1">
        <v>46173</v>
      </c>
      <c r="N66">
        <v>14.6150156939</v>
      </c>
      <c r="O66" t="s">
        <v>56</v>
      </c>
      <c r="P66" t="s">
        <v>63</v>
      </c>
      <c r="Q66" t="s">
        <v>3459</v>
      </c>
      <c r="R66" t="s">
        <v>3460</v>
      </c>
      <c r="S66" t="s">
        <v>67</v>
      </c>
      <c r="T66" t="s">
        <v>3589</v>
      </c>
      <c r="U66" t="s">
        <v>3590</v>
      </c>
      <c r="V66">
        <v>16</v>
      </c>
      <c r="W66" s="2">
        <v>2549.7373614076</v>
      </c>
    </row>
    <row r="67" spans="1:23" x14ac:dyDescent="0.25">
      <c r="A67" t="s">
        <v>31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>
        <v>1141685</v>
      </c>
      <c r="H67" t="s">
        <v>77</v>
      </c>
      <c r="I67" t="s">
        <v>96</v>
      </c>
      <c r="J67" t="s">
        <v>77</v>
      </c>
      <c r="K67" t="s">
        <v>111</v>
      </c>
      <c r="L67" s="1">
        <v>46143</v>
      </c>
      <c r="M67" s="1">
        <v>46173</v>
      </c>
      <c r="N67">
        <v>1.1916476999999999E-3</v>
      </c>
      <c r="O67" t="s">
        <v>56</v>
      </c>
      <c r="P67" t="s">
        <v>63</v>
      </c>
      <c r="Q67" t="s">
        <v>3459</v>
      </c>
      <c r="R67" t="s">
        <v>3460</v>
      </c>
      <c r="S67" t="s">
        <v>67</v>
      </c>
      <c r="T67" t="s">
        <v>3591</v>
      </c>
      <c r="U67" t="s">
        <v>3592</v>
      </c>
      <c r="V67">
        <v>16</v>
      </c>
      <c r="W67" s="2">
        <v>0.2029474782</v>
      </c>
    </row>
    <row r="68" spans="1:23" x14ac:dyDescent="0.25">
      <c r="A68" t="s">
        <v>31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>
        <v>1141685</v>
      </c>
      <c r="H68" t="s">
        <v>77</v>
      </c>
      <c r="I68" t="s">
        <v>96</v>
      </c>
      <c r="J68" t="s">
        <v>77</v>
      </c>
      <c r="K68" t="s">
        <v>110</v>
      </c>
      <c r="L68" s="1">
        <v>46143</v>
      </c>
      <c r="M68" s="1">
        <v>46173</v>
      </c>
      <c r="N68">
        <v>744</v>
      </c>
      <c r="O68" t="s">
        <v>58</v>
      </c>
      <c r="P68" t="s">
        <v>63</v>
      </c>
      <c r="Q68" t="s">
        <v>3468</v>
      </c>
      <c r="R68" t="s">
        <v>3593</v>
      </c>
      <c r="S68" t="s">
        <v>67</v>
      </c>
      <c r="T68" t="s">
        <v>3578</v>
      </c>
      <c r="U68" t="s">
        <v>3579</v>
      </c>
      <c r="V68">
        <v>8</v>
      </c>
      <c r="W68" s="2">
        <v>129798.2412</v>
      </c>
    </row>
    <row r="69" spans="1:23" x14ac:dyDescent="0.25">
      <c r="A69" t="s">
        <v>31</v>
      </c>
      <c r="B69" t="s">
        <v>32</v>
      </c>
      <c r="C69" t="s">
        <v>33</v>
      </c>
      <c r="D69" t="s">
        <v>34</v>
      </c>
      <c r="E69" t="s">
        <v>35</v>
      </c>
      <c r="F69" t="s">
        <v>36</v>
      </c>
      <c r="G69">
        <v>1141685</v>
      </c>
      <c r="H69" t="s">
        <v>77</v>
      </c>
      <c r="I69" t="s">
        <v>96</v>
      </c>
      <c r="J69" t="s">
        <v>77</v>
      </c>
      <c r="K69" t="s">
        <v>110</v>
      </c>
      <c r="L69" s="1">
        <v>46143</v>
      </c>
      <c r="M69" s="1">
        <v>46173</v>
      </c>
      <c r="N69">
        <v>744</v>
      </c>
      <c r="O69" t="s">
        <v>58</v>
      </c>
      <c r="P69" t="s">
        <v>63</v>
      </c>
      <c r="Q69" t="s">
        <v>3468</v>
      </c>
      <c r="R69" t="s">
        <v>3594</v>
      </c>
      <c r="S69" t="s">
        <v>67</v>
      </c>
      <c r="T69" t="s">
        <v>3470</v>
      </c>
      <c r="U69" t="s">
        <v>3471</v>
      </c>
      <c r="V69">
        <v>7</v>
      </c>
      <c r="W69" s="2">
        <v>129798.2412</v>
      </c>
    </row>
    <row r="70" spans="1:23" x14ac:dyDescent="0.25">
      <c r="A70" t="s">
        <v>31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>
        <v>1141685</v>
      </c>
      <c r="H70" t="s">
        <v>80</v>
      </c>
      <c r="I70" t="s">
        <v>96</v>
      </c>
      <c r="J70" t="s">
        <v>80</v>
      </c>
      <c r="K70" t="s">
        <v>122</v>
      </c>
      <c r="L70" s="1">
        <v>46143</v>
      </c>
      <c r="M70" s="1">
        <v>46173</v>
      </c>
      <c r="N70">
        <v>5.8647848699999998E-2</v>
      </c>
      <c r="O70" t="s">
        <v>56</v>
      </c>
      <c r="P70" t="s">
        <v>63</v>
      </c>
      <c r="Q70" t="s">
        <v>3459</v>
      </c>
      <c r="R70" t="s">
        <v>3460</v>
      </c>
      <c r="S70" t="s">
        <v>67</v>
      </c>
      <c r="T70" t="s">
        <v>3595</v>
      </c>
      <c r="U70" t="s">
        <v>3596</v>
      </c>
      <c r="V70">
        <v>15</v>
      </c>
      <c r="W70" s="2">
        <v>10.233899236099999</v>
      </c>
    </row>
    <row r="71" spans="1:23" x14ac:dyDescent="0.25">
      <c r="A71" t="s">
        <v>31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>
        <v>1141685</v>
      </c>
      <c r="H71" t="s">
        <v>80</v>
      </c>
      <c r="I71" t="s">
        <v>96</v>
      </c>
      <c r="J71" t="s">
        <v>80</v>
      </c>
      <c r="K71" t="s">
        <v>115</v>
      </c>
      <c r="L71" s="1">
        <v>46143</v>
      </c>
      <c r="M71" s="1">
        <v>46173</v>
      </c>
      <c r="N71">
        <v>0.1092106085</v>
      </c>
      <c r="O71" t="s">
        <v>56</v>
      </c>
      <c r="P71" t="s">
        <v>63</v>
      </c>
      <c r="Q71" t="s">
        <v>3459</v>
      </c>
      <c r="R71" t="s">
        <v>3460</v>
      </c>
      <c r="S71" t="s">
        <v>67</v>
      </c>
      <c r="T71" t="s">
        <v>3597</v>
      </c>
      <c r="U71" t="s">
        <v>3598</v>
      </c>
      <c r="V71">
        <v>15</v>
      </c>
      <c r="W71" s="2">
        <v>19.056536831399999</v>
      </c>
    </row>
    <row r="72" spans="1:23" x14ac:dyDescent="0.2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>
        <v>1141685</v>
      </c>
      <c r="H72" t="s">
        <v>80</v>
      </c>
      <c r="I72" t="s">
        <v>96</v>
      </c>
      <c r="J72" t="s">
        <v>80</v>
      </c>
      <c r="K72" t="s">
        <v>115</v>
      </c>
      <c r="L72" s="1">
        <v>46143</v>
      </c>
      <c r="M72" s="1">
        <v>46173</v>
      </c>
      <c r="N72">
        <v>0.62978457290000001</v>
      </c>
      <c r="O72" t="s">
        <v>56</v>
      </c>
      <c r="P72" t="s">
        <v>63</v>
      </c>
      <c r="Q72" t="s">
        <v>3459</v>
      </c>
      <c r="R72" t="s">
        <v>3460</v>
      </c>
      <c r="S72" t="s">
        <v>67</v>
      </c>
      <c r="T72" t="s">
        <v>3599</v>
      </c>
      <c r="U72" t="s">
        <v>3600</v>
      </c>
      <c r="V72">
        <v>16</v>
      </c>
      <c r="W72" s="2">
        <v>109.8675505911</v>
      </c>
    </row>
    <row r="73" spans="1:23" x14ac:dyDescent="0.25">
      <c r="A73" t="s">
        <v>31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>
        <v>1141685</v>
      </c>
      <c r="H73" t="s">
        <v>80</v>
      </c>
      <c r="I73" t="s">
        <v>96</v>
      </c>
      <c r="J73" t="s">
        <v>80</v>
      </c>
      <c r="K73" t="s">
        <v>115</v>
      </c>
      <c r="L73" s="1">
        <v>46143</v>
      </c>
      <c r="M73" s="1">
        <v>46173</v>
      </c>
      <c r="N73">
        <v>0.16628206240000001</v>
      </c>
      <c r="O73" t="s">
        <v>56</v>
      </c>
      <c r="P73" t="s">
        <v>63</v>
      </c>
      <c r="Q73" t="s">
        <v>3459</v>
      </c>
      <c r="R73" t="s">
        <v>3460</v>
      </c>
      <c r="S73" t="s">
        <v>67</v>
      </c>
      <c r="T73" t="s">
        <v>3601</v>
      </c>
      <c r="U73" t="s">
        <v>3602</v>
      </c>
      <c r="V73">
        <v>15</v>
      </c>
      <c r="W73" s="2">
        <v>29.008420375699998</v>
      </c>
    </row>
    <row r="74" spans="1:23" x14ac:dyDescent="0.25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>
        <v>1141685</v>
      </c>
      <c r="H74" t="s">
        <v>80</v>
      </c>
      <c r="I74" t="s">
        <v>96</v>
      </c>
      <c r="J74" t="s">
        <v>80</v>
      </c>
      <c r="K74" t="s">
        <v>115</v>
      </c>
      <c r="L74" s="1">
        <v>46143</v>
      </c>
      <c r="M74" s="1">
        <v>46173</v>
      </c>
      <c r="N74">
        <v>8.9410000000000005E-7</v>
      </c>
      <c r="O74" t="s">
        <v>56</v>
      </c>
      <c r="P74" t="s">
        <v>63</v>
      </c>
      <c r="Q74" t="s">
        <v>3459</v>
      </c>
      <c r="R74" t="s">
        <v>3460</v>
      </c>
      <c r="S74" t="s">
        <v>67</v>
      </c>
      <c r="T74" t="s">
        <v>3603</v>
      </c>
      <c r="U74" t="s">
        <v>3604</v>
      </c>
      <c r="V74">
        <v>16</v>
      </c>
      <c r="W74" s="2">
        <v>1.3726179999999999E-4</v>
      </c>
    </row>
    <row r="75" spans="1:23" x14ac:dyDescent="0.25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>
        <v>1141685</v>
      </c>
      <c r="H75" t="s">
        <v>80</v>
      </c>
      <c r="I75" t="s">
        <v>96</v>
      </c>
      <c r="J75" t="s">
        <v>80</v>
      </c>
      <c r="K75" t="s">
        <v>115</v>
      </c>
      <c r="L75" s="1">
        <v>46143</v>
      </c>
      <c r="M75" s="1">
        <v>46173</v>
      </c>
      <c r="N75">
        <v>5.7092969299999997E-2</v>
      </c>
      <c r="O75" t="s">
        <v>56</v>
      </c>
      <c r="P75" t="s">
        <v>63</v>
      </c>
      <c r="Q75" t="s">
        <v>3459</v>
      </c>
      <c r="R75" t="s">
        <v>3496</v>
      </c>
      <c r="S75" t="s">
        <v>67</v>
      </c>
      <c r="T75" t="s">
        <v>3605</v>
      </c>
      <c r="U75" t="s">
        <v>3606</v>
      </c>
      <c r="V75">
        <v>16</v>
      </c>
      <c r="W75" s="2">
        <v>9.9651866935999998</v>
      </c>
    </row>
    <row r="76" spans="1:23" x14ac:dyDescent="0.25">
      <c r="A76" t="s">
        <v>31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>
        <v>1141685</v>
      </c>
      <c r="H76" t="s">
        <v>80</v>
      </c>
      <c r="I76" t="s">
        <v>96</v>
      </c>
      <c r="J76" t="s">
        <v>80</v>
      </c>
      <c r="K76" t="s">
        <v>115</v>
      </c>
      <c r="L76" s="1">
        <v>46143</v>
      </c>
      <c r="M76" s="1">
        <v>46173</v>
      </c>
      <c r="N76">
        <v>0.14993732239999999</v>
      </c>
      <c r="O76" t="s">
        <v>56</v>
      </c>
      <c r="P76" t="s">
        <v>63</v>
      </c>
      <c r="Q76" t="s">
        <v>3459</v>
      </c>
      <c r="R76" t="s">
        <v>3460</v>
      </c>
      <c r="S76" t="s">
        <v>67</v>
      </c>
      <c r="T76" t="s">
        <v>3607</v>
      </c>
      <c r="U76" t="s">
        <v>3608</v>
      </c>
      <c r="V76">
        <v>15</v>
      </c>
      <c r="W76" s="2">
        <v>26.159097427700001</v>
      </c>
    </row>
    <row r="77" spans="1:23" x14ac:dyDescent="0.25">
      <c r="A77" t="s">
        <v>31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>
        <v>1141685</v>
      </c>
      <c r="H77" t="s">
        <v>80</v>
      </c>
      <c r="I77" t="s">
        <v>96</v>
      </c>
      <c r="J77" t="s">
        <v>80</v>
      </c>
      <c r="K77" t="s">
        <v>115</v>
      </c>
      <c r="L77" s="1">
        <v>46143</v>
      </c>
      <c r="M77" s="1">
        <v>46173</v>
      </c>
      <c r="N77">
        <v>2.8447200000000001E-5</v>
      </c>
      <c r="O77" t="s">
        <v>56</v>
      </c>
      <c r="P77" t="s">
        <v>63</v>
      </c>
      <c r="Q77" t="s">
        <v>3459</v>
      </c>
      <c r="R77" t="s">
        <v>3460</v>
      </c>
      <c r="S77" t="s">
        <v>67</v>
      </c>
      <c r="T77" t="s">
        <v>3609</v>
      </c>
      <c r="U77" t="s">
        <v>3610</v>
      </c>
      <c r="V77">
        <v>16</v>
      </c>
      <c r="W77" s="2">
        <v>4.3673579000000004E-3</v>
      </c>
    </row>
    <row r="78" spans="1:23" x14ac:dyDescent="0.25">
      <c r="A78" t="s">
        <v>31</v>
      </c>
      <c r="B78" t="s">
        <v>32</v>
      </c>
      <c r="C78" t="s">
        <v>33</v>
      </c>
      <c r="D78" t="s">
        <v>34</v>
      </c>
      <c r="E78" t="s">
        <v>35</v>
      </c>
      <c r="F78" t="s">
        <v>36</v>
      </c>
      <c r="G78">
        <v>1141685</v>
      </c>
      <c r="H78" t="s">
        <v>77</v>
      </c>
      <c r="I78" t="s">
        <v>96</v>
      </c>
      <c r="J78" t="s">
        <v>77</v>
      </c>
      <c r="K78" t="s">
        <v>113</v>
      </c>
      <c r="L78" s="1">
        <v>46143</v>
      </c>
      <c r="M78" s="1">
        <v>46173</v>
      </c>
      <c r="N78">
        <v>17.539704284599999</v>
      </c>
      <c r="O78" t="s">
        <v>56</v>
      </c>
      <c r="P78" t="s">
        <v>63</v>
      </c>
      <c r="Q78" t="s">
        <v>3459</v>
      </c>
      <c r="R78" t="s">
        <v>3496</v>
      </c>
      <c r="S78" t="s">
        <v>67</v>
      </c>
      <c r="T78" t="s">
        <v>3611</v>
      </c>
      <c r="U78" t="s">
        <v>3612</v>
      </c>
      <c r="V78">
        <v>16</v>
      </c>
      <c r="W78" s="2">
        <v>3059.9795923571</v>
      </c>
    </row>
    <row r="79" spans="1:23" x14ac:dyDescent="0.25">
      <c r="A79" t="s">
        <v>31</v>
      </c>
      <c r="B79" t="s">
        <v>32</v>
      </c>
      <c r="C79" t="s">
        <v>33</v>
      </c>
      <c r="D79" t="s">
        <v>34</v>
      </c>
      <c r="E79" t="s">
        <v>35</v>
      </c>
      <c r="F79" t="s">
        <v>36</v>
      </c>
      <c r="G79">
        <v>1141685</v>
      </c>
      <c r="H79" t="s">
        <v>77</v>
      </c>
      <c r="I79" t="s">
        <v>96</v>
      </c>
      <c r="J79" t="s">
        <v>77</v>
      </c>
      <c r="K79" t="s">
        <v>113</v>
      </c>
      <c r="L79" s="1">
        <v>46143</v>
      </c>
      <c r="M79" s="1">
        <v>46173</v>
      </c>
      <c r="N79">
        <v>4.9248588999999997E-3</v>
      </c>
      <c r="O79" t="s">
        <v>56</v>
      </c>
      <c r="P79" t="s">
        <v>63</v>
      </c>
      <c r="Q79" t="s">
        <v>3459</v>
      </c>
      <c r="R79" t="s">
        <v>3460</v>
      </c>
      <c r="S79" t="s">
        <v>67</v>
      </c>
      <c r="T79" t="s">
        <v>3613</v>
      </c>
      <c r="U79" t="s">
        <v>3614</v>
      </c>
      <c r="V79">
        <v>16</v>
      </c>
      <c r="W79" s="2">
        <v>0.85608798070000003</v>
      </c>
    </row>
    <row r="80" spans="1:23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>
        <v>1141685</v>
      </c>
      <c r="H80" t="s">
        <v>76</v>
      </c>
      <c r="I80" t="s">
        <v>95</v>
      </c>
      <c r="J80" t="s">
        <v>99</v>
      </c>
      <c r="K80" t="s">
        <v>109</v>
      </c>
      <c r="L80" s="1">
        <v>46143</v>
      </c>
      <c r="M80" s="1">
        <v>46173</v>
      </c>
      <c r="N80">
        <v>361</v>
      </c>
      <c r="O80" t="s">
        <v>58</v>
      </c>
      <c r="P80" t="s">
        <v>63</v>
      </c>
      <c r="Q80" t="s">
        <v>3465</v>
      </c>
      <c r="R80" t="s">
        <v>3529</v>
      </c>
      <c r="S80" t="s">
        <v>67</v>
      </c>
      <c r="T80" t="s">
        <v>3615</v>
      </c>
      <c r="U80" t="s">
        <v>3616</v>
      </c>
      <c r="V80">
        <v>17</v>
      </c>
      <c r="W80" s="2">
        <v>0</v>
      </c>
    </row>
    <row r="81" spans="1:23" x14ac:dyDescent="0.25">
      <c r="A81" t="s">
        <v>31</v>
      </c>
      <c r="B81" t="s">
        <v>32</v>
      </c>
      <c r="C81" t="s">
        <v>33</v>
      </c>
      <c r="D81" t="s">
        <v>34</v>
      </c>
      <c r="E81" t="s">
        <v>35</v>
      </c>
      <c r="F81" t="s">
        <v>36</v>
      </c>
      <c r="G81">
        <v>1141685</v>
      </c>
      <c r="H81" t="s">
        <v>79</v>
      </c>
      <c r="I81" t="s">
        <v>94</v>
      </c>
      <c r="J81" t="s">
        <v>101</v>
      </c>
      <c r="K81" t="s">
        <v>114</v>
      </c>
      <c r="L81" s="1">
        <v>46143</v>
      </c>
      <c r="M81" s="1">
        <v>46173</v>
      </c>
      <c r="N81">
        <v>1.118E-7</v>
      </c>
      <c r="O81" t="s">
        <v>56</v>
      </c>
      <c r="P81" t="s">
        <v>63</v>
      </c>
      <c r="Q81" t="s">
        <v>3459</v>
      </c>
      <c r="R81" t="s">
        <v>3496</v>
      </c>
      <c r="S81" t="s">
        <v>67</v>
      </c>
      <c r="T81" t="s">
        <v>3617</v>
      </c>
      <c r="U81" t="s">
        <v>3618</v>
      </c>
      <c r="V81">
        <v>16</v>
      </c>
      <c r="W81" s="2">
        <v>1.3726179999999999E-4</v>
      </c>
    </row>
    <row r="82" spans="1:23" x14ac:dyDescent="0.25">
      <c r="A82" t="s">
        <v>31</v>
      </c>
      <c r="B82" t="s">
        <v>32</v>
      </c>
      <c r="C82" t="s">
        <v>33</v>
      </c>
      <c r="D82" t="s">
        <v>34</v>
      </c>
      <c r="E82" t="s">
        <v>35</v>
      </c>
      <c r="F82" t="s">
        <v>36</v>
      </c>
      <c r="G82">
        <v>1141685</v>
      </c>
      <c r="H82" t="s">
        <v>79</v>
      </c>
      <c r="I82" t="s">
        <v>94</v>
      </c>
      <c r="J82" t="s">
        <v>101</v>
      </c>
      <c r="K82" t="s">
        <v>114</v>
      </c>
      <c r="L82" s="1">
        <v>46143</v>
      </c>
      <c r="M82" s="1">
        <v>46173</v>
      </c>
      <c r="N82">
        <v>0.11065228470000001</v>
      </c>
      <c r="O82" t="s">
        <v>56</v>
      </c>
      <c r="P82" t="s">
        <v>63</v>
      </c>
      <c r="Q82" t="s">
        <v>3459</v>
      </c>
      <c r="R82" t="s">
        <v>3460</v>
      </c>
      <c r="S82" t="s">
        <v>67</v>
      </c>
      <c r="T82" t="s">
        <v>3619</v>
      </c>
      <c r="U82" t="s">
        <v>3620</v>
      </c>
      <c r="V82">
        <v>15</v>
      </c>
      <c r="W82" s="2">
        <v>154.43295902040001</v>
      </c>
    </row>
    <row r="83" spans="1:23" x14ac:dyDescent="0.25">
      <c r="A83" t="s">
        <v>31</v>
      </c>
      <c r="B83" t="s">
        <v>32</v>
      </c>
      <c r="C83" t="s">
        <v>33</v>
      </c>
      <c r="D83" t="s">
        <v>34</v>
      </c>
      <c r="E83" t="s">
        <v>35</v>
      </c>
      <c r="F83" t="s">
        <v>36</v>
      </c>
      <c r="G83">
        <v>1141685</v>
      </c>
      <c r="H83" t="s">
        <v>76</v>
      </c>
      <c r="I83" t="s">
        <v>95</v>
      </c>
      <c r="J83" t="s">
        <v>99</v>
      </c>
      <c r="K83" t="s">
        <v>109</v>
      </c>
      <c r="L83" s="1">
        <v>46143</v>
      </c>
      <c r="M83" s="1">
        <v>46173</v>
      </c>
      <c r="N83">
        <v>8.8501770000000004</v>
      </c>
      <c r="O83" t="s">
        <v>58</v>
      </c>
      <c r="P83" t="s">
        <v>63</v>
      </c>
      <c r="Q83" t="s">
        <v>3465</v>
      </c>
      <c r="R83" t="s">
        <v>3460</v>
      </c>
      <c r="S83" t="s">
        <v>67</v>
      </c>
      <c r="T83" t="s">
        <v>3492</v>
      </c>
      <c r="U83" t="s">
        <v>3493</v>
      </c>
      <c r="V83">
        <v>16</v>
      </c>
      <c r="W83" s="2">
        <v>0</v>
      </c>
    </row>
    <row r="84" spans="1:23" x14ac:dyDescent="0.25">
      <c r="A84" t="s">
        <v>31</v>
      </c>
      <c r="B84" t="s">
        <v>32</v>
      </c>
      <c r="C84" t="s">
        <v>33</v>
      </c>
      <c r="D84" t="s">
        <v>34</v>
      </c>
      <c r="E84" t="s">
        <v>35</v>
      </c>
      <c r="F84" t="s">
        <v>36</v>
      </c>
      <c r="G84">
        <v>1141685</v>
      </c>
      <c r="H84" t="s">
        <v>76</v>
      </c>
      <c r="I84" t="s">
        <v>95</v>
      </c>
      <c r="J84" t="s">
        <v>99</v>
      </c>
      <c r="K84" t="s">
        <v>109</v>
      </c>
      <c r="L84" s="1">
        <v>46143</v>
      </c>
      <c r="M84" s="1">
        <v>46173</v>
      </c>
      <c r="N84">
        <v>0.983352</v>
      </c>
      <c r="O84" t="s">
        <v>58</v>
      </c>
      <c r="P84" t="s">
        <v>63</v>
      </c>
      <c r="Q84" t="s">
        <v>3465</v>
      </c>
      <c r="R84" t="s">
        <v>3496</v>
      </c>
      <c r="S84" t="s">
        <v>67</v>
      </c>
      <c r="T84" t="s">
        <v>3621</v>
      </c>
      <c r="U84" t="s">
        <v>3622</v>
      </c>
      <c r="V84">
        <v>16</v>
      </c>
      <c r="W84" s="2">
        <v>0</v>
      </c>
    </row>
    <row r="85" spans="1:23" x14ac:dyDescent="0.25">
      <c r="A85" t="s">
        <v>31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>
        <v>1141685</v>
      </c>
      <c r="H85" t="s">
        <v>79</v>
      </c>
      <c r="I85" t="s">
        <v>94</v>
      </c>
      <c r="J85" t="s">
        <v>101</v>
      </c>
      <c r="K85" t="s">
        <v>114</v>
      </c>
      <c r="L85" s="1">
        <v>46143</v>
      </c>
      <c r="M85" s="1">
        <v>46173</v>
      </c>
      <c r="N85">
        <v>1.3703130977</v>
      </c>
      <c r="O85" t="s">
        <v>56</v>
      </c>
      <c r="P85" t="s">
        <v>63</v>
      </c>
      <c r="Q85" t="s">
        <v>3459</v>
      </c>
      <c r="R85" t="s">
        <v>3460</v>
      </c>
      <c r="S85" t="s">
        <v>67</v>
      </c>
      <c r="T85" t="s">
        <v>3623</v>
      </c>
      <c r="U85" t="s">
        <v>3624</v>
      </c>
      <c r="V85">
        <v>16</v>
      </c>
      <c r="W85" s="2">
        <v>1912.5163541206</v>
      </c>
    </row>
    <row r="86" spans="1:23" x14ac:dyDescent="0.25">
      <c r="A86" t="s">
        <v>31</v>
      </c>
      <c r="B86" t="s">
        <v>32</v>
      </c>
      <c r="C86" t="s">
        <v>33</v>
      </c>
      <c r="D86" t="s">
        <v>34</v>
      </c>
      <c r="E86" t="s">
        <v>35</v>
      </c>
      <c r="F86" t="s">
        <v>36</v>
      </c>
      <c r="G86">
        <v>1141685</v>
      </c>
      <c r="H86" t="s">
        <v>79</v>
      </c>
      <c r="I86" t="s">
        <v>94</v>
      </c>
      <c r="J86" t="s">
        <v>101</v>
      </c>
      <c r="K86" t="s">
        <v>114</v>
      </c>
      <c r="L86" s="1">
        <v>46143</v>
      </c>
      <c r="M86" s="1">
        <v>46173</v>
      </c>
      <c r="N86">
        <v>4.4700000000000002E-7</v>
      </c>
      <c r="O86" t="s">
        <v>56</v>
      </c>
      <c r="P86" t="s">
        <v>63</v>
      </c>
      <c r="Q86" t="s">
        <v>3459</v>
      </c>
      <c r="R86" t="s">
        <v>3460</v>
      </c>
      <c r="S86" t="s">
        <v>67</v>
      </c>
      <c r="T86" t="s">
        <v>3625</v>
      </c>
      <c r="U86" t="s">
        <v>3626</v>
      </c>
      <c r="V86">
        <v>16</v>
      </c>
      <c r="W86" s="2">
        <v>5.4904729999999998E-4</v>
      </c>
    </row>
    <row r="87" spans="1:23" x14ac:dyDescent="0.25">
      <c r="A87" t="s">
        <v>31</v>
      </c>
      <c r="B87" t="s">
        <v>32</v>
      </c>
      <c r="C87" t="s">
        <v>33</v>
      </c>
      <c r="D87" t="s">
        <v>34</v>
      </c>
      <c r="E87" t="s">
        <v>35</v>
      </c>
      <c r="F87" t="s">
        <v>36</v>
      </c>
      <c r="G87">
        <v>1141685</v>
      </c>
      <c r="H87" t="s">
        <v>86</v>
      </c>
      <c r="I87" t="s">
        <v>42</v>
      </c>
      <c r="J87" t="s">
        <v>86</v>
      </c>
      <c r="K87" t="s">
        <v>124</v>
      </c>
      <c r="L87" s="1">
        <v>46143</v>
      </c>
      <c r="M87" s="1">
        <v>46173</v>
      </c>
      <c r="N87">
        <v>1.0740000000000001E-3</v>
      </c>
      <c r="O87" t="s">
        <v>135</v>
      </c>
      <c r="P87" t="s">
        <v>63</v>
      </c>
      <c r="Q87" t="s">
        <v>3465</v>
      </c>
      <c r="R87" t="s">
        <v>3627</v>
      </c>
      <c r="S87" t="s">
        <v>67</v>
      </c>
      <c r="T87" t="s">
        <v>3628</v>
      </c>
      <c r="U87" t="s">
        <v>3629</v>
      </c>
      <c r="V87">
        <v>17</v>
      </c>
      <c r="W87" s="2">
        <v>369.30958697919999</v>
      </c>
    </row>
    <row r="88" spans="1:23" x14ac:dyDescent="0.25">
      <c r="A88" t="s">
        <v>31</v>
      </c>
      <c r="B88" t="s">
        <v>32</v>
      </c>
      <c r="C88" t="s">
        <v>33</v>
      </c>
      <c r="D88" t="s">
        <v>34</v>
      </c>
      <c r="E88" t="s">
        <v>35</v>
      </c>
      <c r="F88" t="s">
        <v>36</v>
      </c>
      <c r="G88">
        <v>1141685</v>
      </c>
      <c r="H88" t="s">
        <v>79</v>
      </c>
      <c r="I88" t="s">
        <v>94</v>
      </c>
      <c r="J88" t="s">
        <v>101</v>
      </c>
      <c r="K88" t="s">
        <v>114</v>
      </c>
      <c r="L88" s="1">
        <v>46143</v>
      </c>
      <c r="M88" s="1">
        <v>46173</v>
      </c>
      <c r="N88">
        <v>5.5899999999999998E-8</v>
      </c>
      <c r="O88" t="s">
        <v>56</v>
      </c>
      <c r="P88" t="s">
        <v>63</v>
      </c>
      <c r="Q88" t="s">
        <v>3459</v>
      </c>
      <c r="R88" t="s">
        <v>3496</v>
      </c>
      <c r="S88" t="s">
        <v>67</v>
      </c>
      <c r="T88" t="s">
        <v>3630</v>
      </c>
      <c r="U88" t="s">
        <v>3631</v>
      </c>
      <c r="V88">
        <v>16</v>
      </c>
      <c r="W88" s="2">
        <v>6.86308E-5</v>
      </c>
    </row>
    <row r="89" spans="1:23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36</v>
      </c>
      <c r="G89">
        <v>1141685</v>
      </c>
      <c r="H89" t="s">
        <v>77</v>
      </c>
      <c r="I89" t="s">
        <v>96</v>
      </c>
      <c r="J89" t="s">
        <v>77</v>
      </c>
      <c r="K89" t="s">
        <v>111</v>
      </c>
      <c r="L89" s="1">
        <v>46143</v>
      </c>
      <c r="M89" s="1">
        <v>46173</v>
      </c>
      <c r="N89">
        <v>2.2305055E-3</v>
      </c>
      <c r="O89" t="s">
        <v>56</v>
      </c>
      <c r="P89" t="s">
        <v>63</v>
      </c>
      <c r="Q89" t="s">
        <v>3468</v>
      </c>
      <c r="R89" t="s">
        <v>3483</v>
      </c>
      <c r="S89" t="s">
        <v>67</v>
      </c>
      <c r="T89" t="s">
        <v>3632</v>
      </c>
      <c r="U89" t="s">
        <v>3633</v>
      </c>
      <c r="V89">
        <v>7</v>
      </c>
      <c r="W89" s="2">
        <v>0.3924379039</v>
      </c>
    </row>
    <row r="90" spans="1:23" x14ac:dyDescent="0.25">
      <c r="A90" t="s">
        <v>31</v>
      </c>
      <c r="B90" t="s">
        <v>32</v>
      </c>
      <c r="C90" t="s">
        <v>33</v>
      </c>
      <c r="D90" t="s">
        <v>34</v>
      </c>
      <c r="E90" t="s">
        <v>35</v>
      </c>
      <c r="F90" t="s">
        <v>36</v>
      </c>
      <c r="G90">
        <v>1141685</v>
      </c>
      <c r="H90" t="s">
        <v>79</v>
      </c>
      <c r="I90" t="s">
        <v>94</v>
      </c>
      <c r="J90" t="s">
        <v>101</v>
      </c>
      <c r="K90" t="s">
        <v>114</v>
      </c>
      <c r="L90" s="1">
        <v>46143</v>
      </c>
      <c r="M90" s="1">
        <v>46173</v>
      </c>
      <c r="N90">
        <v>1.6759999999999999E-7</v>
      </c>
      <c r="O90" t="s">
        <v>56</v>
      </c>
      <c r="P90" t="s">
        <v>63</v>
      </c>
      <c r="Q90" t="s">
        <v>3459</v>
      </c>
      <c r="R90" t="s">
        <v>3460</v>
      </c>
      <c r="S90" t="s">
        <v>67</v>
      </c>
      <c r="T90" t="s">
        <v>3494</v>
      </c>
      <c r="U90" t="s">
        <v>3495</v>
      </c>
      <c r="V90">
        <v>16</v>
      </c>
      <c r="W90" s="2">
        <v>2.0589269999999999E-4</v>
      </c>
    </row>
    <row r="91" spans="1:23" x14ac:dyDescent="0.25">
      <c r="A91" t="s">
        <v>31</v>
      </c>
      <c r="B91" t="s">
        <v>32</v>
      </c>
      <c r="C91" t="s">
        <v>33</v>
      </c>
      <c r="D91" t="s">
        <v>34</v>
      </c>
      <c r="E91" t="s">
        <v>35</v>
      </c>
      <c r="F91" t="s">
        <v>36</v>
      </c>
      <c r="G91">
        <v>1141685</v>
      </c>
      <c r="H91" t="s">
        <v>79</v>
      </c>
      <c r="I91" t="s">
        <v>94</v>
      </c>
      <c r="J91" t="s">
        <v>101</v>
      </c>
      <c r="K91" t="s">
        <v>114</v>
      </c>
      <c r="L91" s="1">
        <v>46143</v>
      </c>
      <c r="M91" s="1">
        <v>46173</v>
      </c>
      <c r="N91">
        <v>3.3529999999999999E-7</v>
      </c>
      <c r="O91" t="s">
        <v>56</v>
      </c>
      <c r="P91" t="s">
        <v>63</v>
      </c>
      <c r="Q91" t="s">
        <v>3459</v>
      </c>
      <c r="R91" t="s">
        <v>3460</v>
      </c>
      <c r="S91" t="s">
        <v>67</v>
      </c>
      <c r="T91" t="s">
        <v>3634</v>
      </c>
      <c r="U91" t="s">
        <v>3635</v>
      </c>
      <c r="V91">
        <v>16</v>
      </c>
      <c r="W91" s="2">
        <v>4.1178550000000002E-4</v>
      </c>
    </row>
    <row r="92" spans="1:23" x14ac:dyDescent="0.25">
      <c r="A92" t="s">
        <v>31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>
        <v>1141685</v>
      </c>
      <c r="H92" t="s">
        <v>79</v>
      </c>
      <c r="I92" t="s">
        <v>94</v>
      </c>
      <c r="J92" t="s">
        <v>101</v>
      </c>
      <c r="K92" t="s">
        <v>114</v>
      </c>
      <c r="L92" s="1">
        <v>46143</v>
      </c>
      <c r="M92" s="1">
        <v>46173</v>
      </c>
      <c r="N92">
        <v>1.4485659627</v>
      </c>
      <c r="O92" t="s">
        <v>56</v>
      </c>
      <c r="P92" t="s">
        <v>63</v>
      </c>
      <c r="Q92" t="s">
        <v>3459</v>
      </c>
      <c r="R92" t="s">
        <v>3460</v>
      </c>
      <c r="S92" t="s">
        <v>67</v>
      </c>
      <c r="T92" t="s">
        <v>3636</v>
      </c>
      <c r="U92" t="s">
        <v>3637</v>
      </c>
      <c r="V92">
        <v>16</v>
      </c>
      <c r="W92" s="2">
        <v>2021.7363977104001</v>
      </c>
    </row>
    <row r="93" spans="1:23" x14ac:dyDescent="0.25">
      <c r="A93" t="s">
        <v>31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>
        <v>1141685</v>
      </c>
      <c r="H93" t="s">
        <v>79</v>
      </c>
      <c r="I93" t="s">
        <v>94</v>
      </c>
      <c r="J93" t="s">
        <v>101</v>
      </c>
      <c r="K93" t="s">
        <v>114</v>
      </c>
      <c r="L93" s="1">
        <v>46143</v>
      </c>
      <c r="M93" s="1">
        <v>46173</v>
      </c>
      <c r="N93">
        <v>2.2350000000000001E-7</v>
      </c>
      <c r="O93" t="s">
        <v>56</v>
      </c>
      <c r="P93" t="s">
        <v>63</v>
      </c>
      <c r="Q93" t="s">
        <v>3459</v>
      </c>
      <c r="R93" t="s">
        <v>3496</v>
      </c>
      <c r="S93" t="s">
        <v>67</v>
      </c>
      <c r="T93" t="s">
        <v>3638</v>
      </c>
      <c r="U93" t="s">
        <v>3639</v>
      </c>
      <c r="V93">
        <v>16</v>
      </c>
      <c r="W93" s="2">
        <v>2.7452370000000001E-4</v>
      </c>
    </row>
    <row r="94" spans="1:23" x14ac:dyDescent="0.25">
      <c r="A94" t="s">
        <v>31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>
        <v>1141685</v>
      </c>
      <c r="H94" t="s">
        <v>79</v>
      </c>
      <c r="I94" t="s">
        <v>94</v>
      </c>
      <c r="J94" t="s">
        <v>101</v>
      </c>
      <c r="K94" t="s">
        <v>114</v>
      </c>
      <c r="L94" s="1">
        <v>46143</v>
      </c>
      <c r="M94" s="1">
        <v>46173</v>
      </c>
      <c r="N94">
        <v>1.1263829377000001</v>
      </c>
      <c r="O94" t="s">
        <v>56</v>
      </c>
      <c r="P94" t="s">
        <v>63</v>
      </c>
      <c r="Q94" t="s">
        <v>3459</v>
      </c>
      <c r="R94" t="s">
        <v>3460</v>
      </c>
      <c r="S94" t="s">
        <v>67</v>
      </c>
      <c r="T94" t="s">
        <v>3640</v>
      </c>
      <c r="U94" t="s">
        <v>3641</v>
      </c>
      <c r="V94">
        <v>16</v>
      </c>
      <c r="W94" s="2">
        <v>1572.0717218125001</v>
      </c>
    </row>
    <row r="95" spans="1:23" x14ac:dyDescent="0.25">
      <c r="A95" t="s">
        <v>31</v>
      </c>
      <c r="B95" t="s">
        <v>32</v>
      </c>
      <c r="C95" t="s">
        <v>33</v>
      </c>
      <c r="D95" t="s">
        <v>34</v>
      </c>
      <c r="E95" t="s">
        <v>35</v>
      </c>
      <c r="F95" t="s">
        <v>36</v>
      </c>
      <c r="G95">
        <v>1141685</v>
      </c>
      <c r="H95" t="s">
        <v>79</v>
      </c>
      <c r="I95" t="s">
        <v>94</v>
      </c>
      <c r="J95" t="s">
        <v>101</v>
      </c>
      <c r="K95" t="s">
        <v>114</v>
      </c>
      <c r="L95" s="1">
        <v>46143</v>
      </c>
      <c r="M95" s="1">
        <v>46173</v>
      </c>
      <c r="N95">
        <v>2.7939999999999997E-7</v>
      </c>
      <c r="O95" t="s">
        <v>56</v>
      </c>
      <c r="P95" t="s">
        <v>63</v>
      </c>
      <c r="Q95" t="s">
        <v>3459</v>
      </c>
      <c r="R95" t="s">
        <v>3460</v>
      </c>
      <c r="S95" t="s">
        <v>67</v>
      </c>
      <c r="T95" t="s">
        <v>3642</v>
      </c>
      <c r="U95" t="s">
        <v>3643</v>
      </c>
      <c r="V95">
        <v>16</v>
      </c>
      <c r="W95" s="2">
        <v>3.431547E-4</v>
      </c>
    </row>
    <row r="96" spans="1:23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>
        <v>1141685</v>
      </c>
      <c r="H96" t="s">
        <v>79</v>
      </c>
      <c r="I96" t="s">
        <v>94</v>
      </c>
      <c r="J96" t="s">
        <v>101</v>
      </c>
      <c r="K96" t="s">
        <v>114</v>
      </c>
      <c r="L96" s="1">
        <v>46143</v>
      </c>
      <c r="M96" s="1">
        <v>46173</v>
      </c>
      <c r="N96">
        <v>5.49252899E-2</v>
      </c>
      <c r="O96" t="s">
        <v>56</v>
      </c>
      <c r="P96" t="s">
        <v>63</v>
      </c>
      <c r="Q96" t="s">
        <v>3459</v>
      </c>
      <c r="R96" t="s">
        <v>3460</v>
      </c>
      <c r="S96" t="s">
        <v>67</v>
      </c>
      <c r="T96" t="s">
        <v>3644</v>
      </c>
      <c r="U96" t="s">
        <v>3645</v>
      </c>
      <c r="V96">
        <v>15</v>
      </c>
      <c r="W96" s="2">
        <v>76.659153219000004</v>
      </c>
    </row>
    <row r="97" spans="1:23" x14ac:dyDescent="0.25">
      <c r="A97" t="s">
        <v>31</v>
      </c>
      <c r="B97" t="s">
        <v>32</v>
      </c>
      <c r="C97" t="s">
        <v>33</v>
      </c>
      <c r="D97" t="s">
        <v>34</v>
      </c>
      <c r="E97" t="s">
        <v>35</v>
      </c>
      <c r="F97" t="s">
        <v>36</v>
      </c>
      <c r="G97">
        <v>1141685</v>
      </c>
      <c r="H97" t="s">
        <v>79</v>
      </c>
      <c r="I97" t="s">
        <v>94</v>
      </c>
      <c r="J97" t="s">
        <v>101</v>
      </c>
      <c r="K97" t="s">
        <v>114</v>
      </c>
      <c r="L97" s="1">
        <v>46143</v>
      </c>
      <c r="M97" s="1">
        <v>46173</v>
      </c>
      <c r="N97">
        <v>6.0783050000000002E-4</v>
      </c>
      <c r="O97" t="s">
        <v>56</v>
      </c>
      <c r="P97" t="s">
        <v>63</v>
      </c>
      <c r="Q97" t="s">
        <v>3459</v>
      </c>
      <c r="R97" t="s">
        <v>3496</v>
      </c>
      <c r="S97" t="s">
        <v>67</v>
      </c>
      <c r="T97" t="s">
        <v>3646</v>
      </c>
      <c r="U97" t="s">
        <v>3647</v>
      </c>
      <c r="V97">
        <v>15</v>
      </c>
      <c r="W97" s="2">
        <v>0.84653641289999992</v>
      </c>
    </row>
    <row r="98" spans="1:23" x14ac:dyDescent="0.25">
      <c r="A98" t="s">
        <v>31</v>
      </c>
      <c r="B98" t="s">
        <v>32</v>
      </c>
      <c r="C98" t="s">
        <v>33</v>
      </c>
      <c r="D98" t="s">
        <v>34</v>
      </c>
      <c r="E98" t="s">
        <v>35</v>
      </c>
      <c r="F98" t="s">
        <v>36</v>
      </c>
      <c r="G98">
        <v>1141685</v>
      </c>
      <c r="H98" t="s">
        <v>79</v>
      </c>
      <c r="I98" t="s">
        <v>94</v>
      </c>
      <c r="J98" t="s">
        <v>101</v>
      </c>
      <c r="K98" t="s">
        <v>114</v>
      </c>
      <c r="L98" s="1">
        <v>46143</v>
      </c>
      <c r="M98" s="1">
        <v>46173</v>
      </c>
      <c r="N98">
        <v>2.5593638000000001E-3</v>
      </c>
      <c r="O98" t="s">
        <v>56</v>
      </c>
      <c r="P98" t="s">
        <v>63</v>
      </c>
      <c r="Q98" t="s">
        <v>3459</v>
      </c>
      <c r="R98" t="s">
        <v>3529</v>
      </c>
      <c r="S98" t="s">
        <v>67</v>
      </c>
      <c r="T98" t="s">
        <v>3648</v>
      </c>
      <c r="U98" t="s">
        <v>3649</v>
      </c>
      <c r="V98">
        <v>17</v>
      </c>
      <c r="W98" s="2">
        <v>3.5734065733000002</v>
      </c>
    </row>
    <row r="99" spans="1:23" x14ac:dyDescent="0.25">
      <c r="A99" t="s">
        <v>31</v>
      </c>
      <c r="B99" t="s">
        <v>32</v>
      </c>
      <c r="C99" t="s">
        <v>33</v>
      </c>
      <c r="D99" t="s">
        <v>34</v>
      </c>
      <c r="E99" t="s">
        <v>35</v>
      </c>
      <c r="F99" t="s">
        <v>36</v>
      </c>
      <c r="G99">
        <v>1141685</v>
      </c>
      <c r="H99" t="s">
        <v>79</v>
      </c>
      <c r="I99" t="s">
        <v>94</v>
      </c>
      <c r="J99" t="s">
        <v>101</v>
      </c>
      <c r="K99" t="s">
        <v>114</v>
      </c>
      <c r="L99" s="1">
        <v>46143</v>
      </c>
      <c r="M99" s="1">
        <v>46173</v>
      </c>
      <c r="N99">
        <v>5.1196297600000003E-2</v>
      </c>
      <c r="O99" t="s">
        <v>56</v>
      </c>
      <c r="P99" t="s">
        <v>63</v>
      </c>
      <c r="Q99" t="s">
        <v>3459</v>
      </c>
      <c r="R99" t="s">
        <v>3496</v>
      </c>
      <c r="S99" t="s">
        <v>67</v>
      </c>
      <c r="T99" t="s">
        <v>3650</v>
      </c>
      <c r="U99" t="s">
        <v>3651</v>
      </c>
      <c r="V99">
        <v>16</v>
      </c>
      <c r="W99" s="2">
        <v>71.449210834900001</v>
      </c>
    </row>
    <row r="100" spans="1:23" x14ac:dyDescent="0.25">
      <c r="A100" t="s">
        <v>31</v>
      </c>
      <c r="B100" t="s">
        <v>32</v>
      </c>
      <c r="C100" t="s">
        <v>33</v>
      </c>
      <c r="D100" t="s">
        <v>34</v>
      </c>
      <c r="E100" t="s">
        <v>35</v>
      </c>
      <c r="F100" t="s">
        <v>36</v>
      </c>
      <c r="G100">
        <v>1141685</v>
      </c>
      <c r="H100" t="s">
        <v>77</v>
      </c>
      <c r="I100" t="s">
        <v>96</v>
      </c>
      <c r="J100" t="s">
        <v>77</v>
      </c>
      <c r="K100" t="s">
        <v>111</v>
      </c>
      <c r="L100" s="1">
        <v>46143</v>
      </c>
      <c r="M100" s="1">
        <v>46173</v>
      </c>
      <c r="N100">
        <v>5.5585405146999998</v>
      </c>
      <c r="O100" t="s">
        <v>56</v>
      </c>
      <c r="P100" t="s">
        <v>63</v>
      </c>
      <c r="Q100" t="s">
        <v>3459</v>
      </c>
      <c r="R100" t="s">
        <v>3460</v>
      </c>
      <c r="S100" t="s">
        <v>67</v>
      </c>
      <c r="T100" t="s">
        <v>3652</v>
      </c>
      <c r="U100" t="s">
        <v>3653</v>
      </c>
      <c r="V100">
        <v>16</v>
      </c>
      <c r="W100" s="2">
        <v>969.74382080550004</v>
      </c>
    </row>
    <row r="101" spans="1:23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>
        <v>1141685</v>
      </c>
      <c r="H101" t="s">
        <v>77</v>
      </c>
      <c r="I101" t="s">
        <v>96</v>
      </c>
      <c r="J101" t="s">
        <v>77</v>
      </c>
      <c r="K101" t="s">
        <v>111</v>
      </c>
      <c r="L101" s="1">
        <v>46143</v>
      </c>
      <c r="M101" s="1">
        <v>46173</v>
      </c>
      <c r="N101">
        <v>5.03E-8</v>
      </c>
      <c r="O101" t="s">
        <v>56</v>
      </c>
      <c r="P101" t="s">
        <v>63</v>
      </c>
      <c r="Q101" t="s">
        <v>3459</v>
      </c>
      <c r="R101" t="s">
        <v>3460</v>
      </c>
      <c r="S101" t="s">
        <v>67</v>
      </c>
      <c r="T101" t="s">
        <v>3654</v>
      </c>
      <c r="U101" t="s">
        <v>3655</v>
      </c>
      <c r="V101">
        <v>16</v>
      </c>
      <c r="W101" s="2">
        <v>7.7208999999999992E-6</v>
      </c>
    </row>
    <row r="102" spans="1:23" x14ac:dyDescent="0.25">
      <c r="A102" t="s">
        <v>31</v>
      </c>
      <c r="B102" t="s">
        <v>32</v>
      </c>
      <c r="C102" t="s">
        <v>33</v>
      </c>
      <c r="D102" t="s">
        <v>34</v>
      </c>
      <c r="E102" t="s">
        <v>35</v>
      </c>
      <c r="F102" t="s">
        <v>36</v>
      </c>
      <c r="G102">
        <v>1141685</v>
      </c>
      <c r="H102" t="s">
        <v>77</v>
      </c>
      <c r="I102" t="s">
        <v>96</v>
      </c>
      <c r="J102" t="s">
        <v>77</v>
      </c>
      <c r="K102" t="s">
        <v>111</v>
      </c>
      <c r="L102" s="1">
        <v>46143</v>
      </c>
      <c r="M102" s="1">
        <v>46173</v>
      </c>
      <c r="N102">
        <v>2.17389E-5</v>
      </c>
      <c r="O102" t="s">
        <v>56</v>
      </c>
      <c r="P102" t="s">
        <v>63</v>
      </c>
      <c r="Q102" t="s">
        <v>3459</v>
      </c>
      <c r="R102" t="s">
        <v>3460</v>
      </c>
      <c r="S102" t="s">
        <v>67</v>
      </c>
      <c r="T102" t="s">
        <v>3656</v>
      </c>
      <c r="U102" t="s">
        <v>3657</v>
      </c>
      <c r="V102">
        <v>16</v>
      </c>
      <c r="W102" s="2">
        <v>3.337465E-3</v>
      </c>
    </row>
    <row r="103" spans="1:23" x14ac:dyDescent="0.25">
      <c r="A103" t="s">
        <v>31</v>
      </c>
      <c r="B103" t="s">
        <v>32</v>
      </c>
      <c r="C103" t="s">
        <v>33</v>
      </c>
      <c r="D103" t="s">
        <v>34</v>
      </c>
      <c r="E103" t="s">
        <v>35</v>
      </c>
      <c r="F103" t="s">
        <v>36</v>
      </c>
      <c r="G103">
        <v>1141685</v>
      </c>
      <c r="H103" t="s">
        <v>77</v>
      </c>
      <c r="I103" t="s">
        <v>96</v>
      </c>
      <c r="J103" t="s">
        <v>77</v>
      </c>
      <c r="K103" t="s">
        <v>113</v>
      </c>
      <c r="L103" s="1">
        <v>46143</v>
      </c>
      <c r="M103" s="1">
        <v>46173</v>
      </c>
      <c r="N103">
        <v>66.017372553200005</v>
      </c>
      <c r="O103" t="s">
        <v>56</v>
      </c>
      <c r="P103" t="s">
        <v>63</v>
      </c>
      <c r="Q103" t="s">
        <v>3459</v>
      </c>
      <c r="R103" t="s">
        <v>3460</v>
      </c>
      <c r="S103" t="s">
        <v>67</v>
      </c>
      <c r="T103" t="s">
        <v>3658</v>
      </c>
      <c r="U103" t="s">
        <v>3659</v>
      </c>
      <c r="V103">
        <v>16</v>
      </c>
      <c r="W103" s="2">
        <v>11517.393917761199</v>
      </c>
    </row>
    <row r="104" spans="1:23" x14ac:dyDescent="0.25">
      <c r="A104" t="s">
        <v>31</v>
      </c>
      <c r="B104" t="s">
        <v>32</v>
      </c>
      <c r="C104" t="s">
        <v>33</v>
      </c>
      <c r="D104" t="s">
        <v>34</v>
      </c>
      <c r="E104" t="s">
        <v>35</v>
      </c>
      <c r="F104" t="s">
        <v>36</v>
      </c>
      <c r="G104">
        <v>1141685</v>
      </c>
      <c r="H104" t="s">
        <v>77</v>
      </c>
      <c r="I104" t="s">
        <v>96</v>
      </c>
      <c r="J104" t="s">
        <v>77</v>
      </c>
      <c r="K104" t="s">
        <v>113</v>
      </c>
      <c r="L104" s="1">
        <v>46143</v>
      </c>
      <c r="M104" s="1">
        <v>46173</v>
      </c>
      <c r="N104">
        <v>37.569843331400001</v>
      </c>
      <c r="O104" t="s">
        <v>56</v>
      </c>
      <c r="P104" t="s">
        <v>63</v>
      </c>
      <c r="Q104" t="s">
        <v>3459</v>
      </c>
      <c r="R104" t="s">
        <v>3460</v>
      </c>
      <c r="S104" t="s">
        <v>67</v>
      </c>
      <c r="T104" t="s">
        <v>3660</v>
      </c>
      <c r="U104" t="s">
        <v>3661</v>
      </c>
      <c r="V104">
        <v>15</v>
      </c>
      <c r="W104" s="2">
        <v>6554.4326834771</v>
      </c>
    </row>
    <row r="105" spans="1:23" x14ac:dyDescent="0.25">
      <c r="A105" t="s">
        <v>31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>
        <v>1141685</v>
      </c>
      <c r="H105" t="s">
        <v>87</v>
      </c>
      <c r="I105" t="s">
        <v>87</v>
      </c>
      <c r="J105" t="s">
        <v>87</v>
      </c>
      <c r="K105" t="s">
        <v>131</v>
      </c>
      <c r="L105" s="1">
        <v>46143</v>
      </c>
      <c r="M105" s="1">
        <v>46173</v>
      </c>
      <c r="N105">
        <v>2524.2579256481999</v>
      </c>
      <c r="O105" t="s">
        <v>56</v>
      </c>
      <c r="P105" t="s">
        <v>63</v>
      </c>
      <c r="Q105" t="s">
        <v>3459</v>
      </c>
      <c r="R105" t="s">
        <v>164</v>
      </c>
      <c r="S105" t="s">
        <v>67</v>
      </c>
      <c r="T105" t="s">
        <v>3662</v>
      </c>
      <c r="U105" t="s">
        <v>3663</v>
      </c>
      <c r="V105">
        <v>12</v>
      </c>
      <c r="W105" s="2">
        <v>220191.01659178059</v>
      </c>
    </row>
    <row r="106" spans="1:23" x14ac:dyDescent="0.25">
      <c r="A106" t="s">
        <v>31</v>
      </c>
      <c r="B106" t="s">
        <v>32</v>
      </c>
      <c r="C106" t="s">
        <v>33</v>
      </c>
      <c r="D106" t="s">
        <v>34</v>
      </c>
      <c r="E106" t="s">
        <v>35</v>
      </c>
      <c r="F106" t="s">
        <v>36</v>
      </c>
      <c r="G106">
        <v>1141685</v>
      </c>
      <c r="H106" t="s">
        <v>87</v>
      </c>
      <c r="I106" t="s">
        <v>87</v>
      </c>
      <c r="J106" t="s">
        <v>87</v>
      </c>
      <c r="K106" t="s">
        <v>131</v>
      </c>
      <c r="L106" s="1">
        <v>46143</v>
      </c>
      <c r="M106" s="1">
        <v>46173</v>
      </c>
      <c r="N106">
        <v>17.9897719081</v>
      </c>
      <c r="O106" t="s">
        <v>56</v>
      </c>
      <c r="P106" t="s">
        <v>63</v>
      </c>
      <c r="Q106" t="s">
        <v>3459</v>
      </c>
      <c r="R106" t="s">
        <v>158</v>
      </c>
      <c r="S106" t="s">
        <v>67</v>
      </c>
      <c r="T106" t="s">
        <v>3664</v>
      </c>
      <c r="U106" t="s">
        <v>3665</v>
      </c>
      <c r="V106">
        <v>12</v>
      </c>
      <c r="W106" s="2">
        <v>1569.2480671185001</v>
      </c>
    </row>
    <row r="107" spans="1:23" x14ac:dyDescent="0.25">
      <c r="A107" t="s">
        <v>31</v>
      </c>
      <c r="B107" t="s">
        <v>32</v>
      </c>
      <c r="C107" t="s">
        <v>33</v>
      </c>
      <c r="D107" t="s">
        <v>34</v>
      </c>
      <c r="E107" t="s">
        <v>35</v>
      </c>
      <c r="F107" t="s">
        <v>36</v>
      </c>
      <c r="G107">
        <v>1141685</v>
      </c>
      <c r="H107" t="s">
        <v>91</v>
      </c>
      <c r="I107" t="s">
        <v>95</v>
      </c>
      <c r="J107" t="s">
        <v>106</v>
      </c>
      <c r="K107" t="s">
        <v>479</v>
      </c>
      <c r="L107" s="1">
        <v>46143</v>
      </c>
      <c r="M107" s="1">
        <v>46173</v>
      </c>
      <c r="N107">
        <v>0.20000299999999999</v>
      </c>
      <c r="O107" t="s">
        <v>58</v>
      </c>
      <c r="P107" t="s">
        <v>63</v>
      </c>
      <c r="Q107" t="s">
        <v>3465</v>
      </c>
      <c r="R107" t="s">
        <v>3460</v>
      </c>
      <c r="S107" t="s">
        <v>67</v>
      </c>
      <c r="T107" t="s">
        <v>3666</v>
      </c>
      <c r="U107" t="s">
        <v>3667</v>
      </c>
      <c r="V107">
        <v>16</v>
      </c>
      <c r="W107" s="2">
        <v>872.31551435999995</v>
      </c>
    </row>
    <row r="108" spans="1:23" x14ac:dyDescent="0.25">
      <c r="A108" t="s">
        <v>31</v>
      </c>
      <c r="B108" t="s">
        <v>32</v>
      </c>
      <c r="C108" t="s">
        <v>33</v>
      </c>
      <c r="D108" t="s">
        <v>34</v>
      </c>
      <c r="E108" t="s">
        <v>35</v>
      </c>
      <c r="F108" t="s">
        <v>36</v>
      </c>
      <c r="G108">
        <v>1141685</v>
      </c>
      <c r="H108" t="s">
        <v>91</v>
      </c>
      <c r="I108" t="s">
        <v>95</v>
      </c>
      <c r="J108" t="s">
        <v>106</v>
      </c>
      <c r="K108" t="s">
        <v>479</v>
      </c>
      <c r="L108" s="1">
        <v>46143</v>
      </c>
      <c r="M108" s="1">
        <v>46173</v>
      </c>
      <c r="N108">
        <v>0.250004</v>
      </c>
      <c r="O108" t="s">
        <v>58</v>
      </c>
      <c r="P108" t="s">
        <v>63</v>
      </c>
      <c r="Q108" t="s">
        <v>3465</v>
      </c>
      <c r="R108" t="s">
        <v>3460</v>
      </c>
      <c r="S108" t="s">
        <v>67</v>
      </c>
      <c r="T108" t="s">
        <v>3668</v>
      </c>
      <c r="U108" t="s">
        <v>3669</v>
      </c>
      <c r="V108">
        <v>16</v>
      </c>
      <c r="W108" s="2">
        <v>1090.3953524799999</v>
      </c>
    </row>
    <row r="109" spans="1:23" x14ac:dyDescent="0.25">
      <c r="A109" t="s">
        <v>31</v>
      </c>
      <c r="B109" t="s">
        <v>32</v>
      </c>
      <c r="C109" t="s">
        <v>33</v>
      </c>
      <c r="D109" t="s">
        <v>34</v>
      </c>
      <c r="E109" t="s">
        <v>35</v>
      </c>
      <c r="F109" t="s">
        <v>36</v>
      </c>
      <c r="G109">
        <v>1141685</v>
      </c>
      <c r="H109" t="s">
        <v>91</v>
      </c>
      <c r="I109" t="s">
        <v>95</v>
      </c>
      <c r="J109" t="s">
        <v>106</v>
      </c>
      <c r="K109" t="s">
        <v>479</v>
      </c>
      <c r="L109" s="1">
        <v>46143</v>
      </c>
      <c r="M109" s="1">
        <v>46173</v>
      </c>
      <c r="N109">
        <v>0.23333699999999999</v>
      </c>
      <c r="O109" t="s">
        <v>58</v>
      </c>
      <c r="P109" t="s">
        <v>63</v>
      </c>
      <c r="Q109" t="s">
        <v>3465</v>
      </c>
      <c r="R109" t="s">
        <v>3460</v>
      </c>
      <c r="S109" t="s">
        <v>67</v>
      </c>
      <c r="T109" t="s">
        <v>3670</v>
      </c>
      <c r="U109" t="s">
        <v>3671</v>
      </c>
      <c r="V109">
        <v>16</v>
      </c>
      <c r="W109" s="2">
        <v>1017.6954064400001</v>
      </c>
    </row>
    <row r="110" spans="1:23" x14ac:dyDescent="0.25">
      <c r="A110" t="s">
        <v>31</v>
      </c>
      <c r="B110" t="s">
        <v>32</v>
      </c>
      <c r="C110" t="s">
        <v>33</v>
      </c>
      <c r="D110" t="s">
        <v>34</v>
      </c>
      <c r="E110" t="s">
        <v>35</v>
      </c>
      <c r="F110" t="s">
        <v>36</v>
      </c>
      <c r="G110">
        <v>1141685</v>
      </c>
      <c r="H110" t="s">
        <v>91</v>
      </c>
      <c r="I110" t="s">
        <v>95</v>
      </c>
      <c r="J110" t="s">
        <v>106</v>
      </c>
      <c r="K110" t="s">
        <v>129</v>
      </c>
      <c r="L110" s="1">
        <v>46143</v>
      </c>
      <c r="M110" s="1">
        <v>46173</v>
      </c>
      <c r="N110">
        <v>0.73334699999999997</v>
      </c>
      <c r="O110" t="s">
        <v>58</v>
      </c>
      <c r="P110" t="s">
        <v>63</v>
      </c>
      <c r="Q110" t="s">
        <v>3465</v>
      </c>
      <c r="R110" t="s">
        <v>3496</v>
      </c>
      <c r="S110" t="s">
        <v>67</v>
      </c>
      <c r="T110" t="s">
        <v>3672</v>
      </c>
      <c r="U110" t="s">
        <v>3673</v>
      </c>
      <c r="V110">
        <v>16</v>
      </c>
      <c r="W110" s="2">
        <v>1599.24689382</v>
      </c>
    </row>
    <row r="111" spans="1:23" x14ac:dyDescent="0.25">
      <c r="A111" t="s">
        <v>31</v>
      </c>
      <c r="B111" t="s">
        <v>32</v>
      </c>
      <c r="C111" t="s">
        <v>33</v>
      </c>
      <c r="D111" t="s">
        <v>34</v>
      </c>
      <c r="E111" t="s">
        <v>35</v>
      </c>
      <c r="F111" t="s">
        <v>36</v>
      </c>
      <c r="G111">
        <v>1141685</v>
      </c>
      <c r="H111" t="s">
        <v>91</v>
      </c>
      <c r="I111" t="s">
        <v>95</v>
      </c>
      <c r="J111" t="s">
        <v>106</v>
      </c>
      <c r="K111" t="s">
        <v>129</v>
      </c>
      <c r="L111" s="1">
        <v>46143</v>
      </c>
      <c r="M111" s="1">
        <v>46173</v>
      </c>
      <c r="N111">
        <v>138.83336</v>
      </c>
      <c r="O111" t="s">
        <v>58</v>
      </c>
      <c r="P111" t="s">
        <v>63</v>
      </c>
      <c r="Q111" t="s">
        <v>3465</v>
      </c>
      <c r="R111" t="s">
        <v>3496</v>
      </c>
      <c r="S111" t="s">
        <v>67</v>
      </c>
      <c r="T111" t="s">
        <v>3674</v>
      </c>
      <c r="U111" t="s">
        <v>3675</v>
      </c>
      <c r="V111">
        <v>16</v>
      </c>
      <c r="W111" s="2">
        <v>302760.84784160001</v>
      </c>
    </row>
    <row r="112" spans="1:23" x14ac:dyDescent="0.25">
      <c r="A112" t="s">
        <v>31</v>
      </c>
      <c r="B112" t="s">
        <v>32</v>
      </c>
      <c r="C112" t="s">
        <v>33</v>
      </c>
      <c r="D112" t="s">
        <v>34</v>
      </c>
      <c r="E112" t="s">
        <v>35</v>
      </c>
      <c r="F112" t="s">
        <v>36</v>
      </c>
      <c r="G112">
        <v>1141685</v>
      </c>
      <c r="H112" t="s">
        <v>91</v>
      </c>
      <c r="I112" t="s">
        <v>95</v>
      </c>
      <c r="J112" t="s">
        <v>106</v>
      </c>
      <c r="K112" t="s">
        <v>129</v>
      </c>
      <c r="L112" s="1">
        <v>46143</v>
      </c>
      <c r="M112" s="1">
        <v>46173</v>
      </c>
      <c r="N112">
        <v>0.20002</v>
      </c>
      <c r="O112" t="s">
        <v>58</v>
      </c>
      <c r="P112" t="s">
        <v>63</v>
      </c>
      <c r="Q112" t="s">
        <v>3465</v>
      </c>
      <c r="R112" t="s">
        <v>3496</v>
      </c>
      <c r="S112" t="s">
        <v>67</v>
      </c>
      <c r="T112" t="s">
        <v>3676</v>
      </c>
      <c r="U112" t="s">
        <v>3677</v>
      </c>
      <c r="V112">
        <v>16</v>
      </c>
      <c r="W112" s="2">
        <v>436.19038119999999</v>
      </c>
    </row>
    <row r="113" spans="1:23" x14ac:dyDescent="0.25">
      <c r="A113" t="s">
        <v>31</v>
      </c>
      <c r="B113" t="s">
        <v>32</v>
      </c>
      <c r="C113" t="s">
        <v>33</v>
      </c>
      <c r="D113" t="s">
        <v>34</v>
      </c>
      <c r="E113" t="s">
        <v>35</v>
      </c>
      <c r="F113" t="s">
        <v>36</v>
      </c>
      <c r="G113">
        <v>1141685</v>
      </c>
      <c r="H113" t="s">
        <v>88</v>
      </c>
      <c r="I113" t="s">
        <v>88</v>
      </c>
      <c r="J113" t="s">
        <v>88</v>
      </c>
      <c r="K113" t="s">
        <v>126</v>
      </c>
      <c r="L113" s="1">
        <v>46143</v>
      </c>
      <c r="M113" s="1">
        <v>46173</v>
      </c>
      <c r="N113">
        <v>744</v>
      </c>
      <c r="O113" t="s">
        <v>58</v>
      </c>
      <c r="P113" t="s">
        <v>63</v>
      </c>
      <c r="Q113" t="s">
        <v>3472</v>
      </c>
      <c r="R113" t="s">
        <v>3678</v>
      </c>
      <c r="S113" t="s">
        <v>67</v>
      </c>
      <c r="T113" t="s">
        <v>1528</v>
      </c>
      <c r="U113" t="s">
        <v>1668</v>
      </c>
      <c r="V113">
        <v>6</v>
      </c>
      <c r="W113" s="2">
        <v>389394.72360000003</v>
      </c>
    </row>
    <row r="114" spans="1:23" x14ac:dyDescent="0.25">
      <c r="A114" t="s">
        <v>31</v>
      </c>
      <c r="B114" t="s">
        <v>32</v>
      </c>
      <c r="C114" t="s">
        <v>33</v>
      </c>
      <c r="D114" t="s">
        <v>34</v>
      </c>
      <c r="E114" t="s">
        <v>35</v>
      </c>
      <c r="F114" t="s">
        <v>36</v>
      </c>
      <c r="G114">
        <v>1141685</v>
      </c>
      <c r="H114" t="s">
        <v>76</v>
      </c>
      <c r="I114" t="s">
        <v>95</v>
      </c>
      <c r="J114" t="s">
        <v>99</v>
      </c>
      <c r="K114" t="s">
        <v>109</v>
      </c>
      <c r="L114" s="1">
        <v>46143</v>
      </c>
      <c r="M114" s="1">
        <v>46173</v>
      </c>
      <c r="N114">
        <v>0.20000399999999999</v>
      </c>
      <c r="O114" t="s">
        <v>58</v>
      </c>
      <c r="P114" t="s">
        <v>63</v>
      </c>
      <c r="Q114" t="s">
        <v>3465</v>
      </c>
      <c r="R114" t="s">
        <v>3529</v>
      </c>
      <c r="S114" t="s">
        <v>67</v>
      </c>
      <c r="T114" t="s">
        <v>3615</v>
      </c>
      <c r="U114" t="s">
        <v>3616</v>
      </c>
      <c r="V114">
        <v>17</v>
      </c>
      <c r="W114" s="2">
        <v>0</v>
      </c>
    </row>
    <row r="115" spans="1:23" x14ac:dyDescent="0.25">
      <c r="A115" t="s">
        <v>31</v>
      </c>
      <c r="B115" t="s">
        <v>32</v>
      </c>
      <c r="C115" t="s">
        <v>33</v>
      </c>
      <c r="D115" t="s">
        <v>34</v>
      </c>
      <c r="E115" t="s">
        <v>35</v>
      </c>
      <c r="F115" t="s">
        <v>36</v>
      </c>
      <c r="G115">
        <v>1141685</v>
      </c>
      <c r="H115" t="s">
        <v>76</v>
      </c>
      <c r="I115" t="s">
        <v>95</v>
      </c>
      <c r="J115" t="s">
        <v>99</v>
      </c>
      <c r="K115" t="s">
        <v>109</v>
      </c>
      <c r="L115" s="1">
        <v>46143</v>
      </c>
      <c r="M115" s="1">
        <v>46173</v>
      </c>
      <c r="N115">
        <v>0.166632</v>
      </c>
      <c r="O115" t="s">
        <v>58</v>
      </c>
      <c r="P115" t="s">
        <v>63</v>
      </c>
      <c r="Q115" t="s">
        <v>3465</v>
      </c>
      <c r="R115" t="s">
        <v>3496</v>
      </c>
      <c r="S115" t="s">
        <v>67</v>
      </c>
      <c r="T115" t="s">
        <v>3621</v>
      </c>
      <c r="U115" t="s">
        <v>3622</v>
      </c>
      <c r="V115">
        <v>16</v>
      </c>
      <c r="W115" s="2">
        <v>0</v>
      </c>
    </row>
    <row r="116" spans="1:23" x14ac:dyDescent="0.25">
      <c r="A116" t="s">
        <v>31</v>
      </c>
      <c r="B116" t="s">
        <v>32</v>
      </c>
      <c r="C116" t="s">
        <v>33</v>
      </c>
      <c r="D116" t="s">
        <v>34</v>
      </c>
      <c r="E116" t="s">
        <v>35</v>
      </c>
      <c r="F116" t="s">
        <v>36</v>
      </c>
      <c r="G116">
        <v>1141685</v>
      </c>
      <c r="H116" t="s">
        <v>76</v>
      </c>
      <c r="I116" t="s">
        <v>95</v>
      </c>
      <c r="J116" t="s">
        <v>99</v>
      </c>
      <c r="K116" t="s">
        <v>109</v>
      </c>
      <c r="L116" s="1">
        <v>46143</v>
      </c>
      <c r="M116" s="1">
        <v>46173</v>
      </c>
      <c r="N116">
        <v>0.39998899999999998</v>
      </c>
      <c r="O116" t="s">
        <v>58</v>
      </c>
      <c r="P116" t="s">
        <v>63</v>
      </c>
      <c r="Q116" t="s">
        <v>3465</v>
      </c>
      <c r="R116" t="s">
        <v>3496</v>
      </c>
      <c r="S116" t="s">
        <v>67</v>
      </c>
      <c r="T116" t="s">
        <v>3621</v>
      </c>
      <c r="U116" t="s">
        <v>3622</v>
      </c>
      <c r="V116">
        <v>16</v>
      </c>
      <c r="W116" s="2">
        <v>0</v>
      </c>
    </row>
    <row r="117" spans="1:23" x14ac:dyDescent="0.25">
      <c r="A117" t="s">
        <v>31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>
        <v>1141685</v>
      </c>
      <c r="H117" t="s">
        <v>76</v>
      </c>
      <c r="I117" t="s">
        <v>95</v>
      </c>
      <c r="J117" t="s">
        <v>99</v>
      </c>
      <c r="K117" t="s">
        <v>109</v>
      </c>
      <c r="L117" s="1">
        <v>46143</v>
      </c>
      <c r="M117" s="1">
        <v>46173</v>
      </c>
      <c r="N117">
        <v>12.783588999999999</v>
      </c>
      <c r="O117" t="s">
        <v>58</v>
      </c>
      <c r="P117" t="s">
        <v>63</v>
      </c>
      <c r="Q117" t="s">
        <v>3465</v>
      </c>
      <c r="R117" t="s">
        <v>3460</v>
      </c>
      <c r="S117" t="s">
        <v>67</v>
      </c>
      <c r="T117" t="s">
        <v>3679</v>
      </c>
      <c r="U117" t="s">
        <v>3680</v>
      </c>
      <c r="V117">
        <v>15</v>
      </c>
      <c r="W117" s="2">
        <v>0</v>
      </c>
    </row>
    <row r="118" spans="1:23" x14ac:dyDescent="0.25">
      <c r="A118" t="s">
        <v>31</v>
      </c>
      <c r="B118" t="s">
        <v>32</v>
      </c>
      <c r="C118" t="s">
        <v>33</v>
      </c>
      <c r="D118" t="s">
        <v>34</v>
      </c>
      <c r="E118" t="s">
        <v>35</v>
      </c>
      <c r="F118" t="s">
        <v>36</v>
      </c>
      <c r="G118">
        <v>1141685</v>
      </c>
      <c r="H118" t="s">
        <v>76</v>
      </c>
      <c r="I118" t="s">
        <v>95</v>
      </c>
      <c r="J118" t="s">
        <v>99</v>
      </c>
      <c r="K118" t="s">
        <v>109</v>
      </c>
      <c r="L118" s="1">
        <v>46143</v>
      </c>
      <c r="M118" s="1">
        <v>46173</v>
      </c>
      <c r="N118">
        <v>168</v>
      </c>
      <c r="O118" t="s">
        <v>58</v>
      </c>
      <c r="P118" t="s">
        <v>63</v>
      </c>
      <c r="Q118" t="s">
        <v>3465</v>
      </c>
      <c r="R118" t="s">
        <v>3460</v>
      </c>
      <c r="S118" t="s">
        <v>67</v>
      </c>
      <c r="T118" t="s">
        <v>3492</v>
      </c>
      <c r="U118" t="s">
        <v>3493</v>
      </c>
      <c r="V118">
        <v>16</v>
      </c>
      <c r="W118" s="2">
        <v>0</v>
      </c>
    </row>
    <row r="119" spans="1:23" x14ac:dyDescent="0.25">
      <c r="A119" t="s">
        <v>31</v>
      </c>
      <c r="B119" t="s">
        <v>32</v>
      </c>
      <c r="C119" t="s">
        <v>33</v>
      </c>
      <c r="D119" t="s">
        <v>34</v>
      </c>
      <c r="E119" t="s">
        <v>35</v>
      </c>
      <c r="F119" t="s">
        <v>36</v>
      </c>
      <c r="G119">
        <v>1141685</v>
      </c>
      <c r="H119" t="s">
        <v>76</v>
      </c>
      <c r="I119" t="s">
        <v>95</v>
      </c>
      <c r="J119" t="s">
        <v>99</v>
      </c>
      <c r="K119" t="s">
        <v>109</v>
      </c>
      <c r="L119" s="1">
        <v>46143</v>
      </c>
      <c r="M119" s="1">
        <v>46173</v>
      </c>
      <c r="N119">
        <v>0.91668400000000005</v>
      </c>
      <c r="O119" t="s">
        <v>58</v>
      </c>
      <c r="P119" t="s">
        <v>63</v>
      </c>
      <c r="Q119" t="s">
        <v>3465</v>
      </c>
      <c r="R119" t="s">
        <v>3460</v>
      </c>
      <c r="S119" t="s">
        <v>67</v>
      </c>
      <c r="T119" t="s">
        <v>3492</v>
      </c>
      <c r="U119" t="s">
        <v>3493</v>
      </c>
      <c r="V119">
        <v>16</v>
      </c>
      <c r="W119" s="2">
        <v>0</v>
      </c>
    </row>
    <row r="120" spans="1:23" x14ac:dyDescent="0.25">
      <c r="A120" t="s">
        <v>31</v>
      </c>
      <c r="B120" t="s">
        <v>32</v>
      </c>
      <c r="C120" t="s">
        <v>33</v>
      </c>
      <c r="D120" t="s">
        <v>34</v>
      </c>
      <c r="E120" t="s">
        <v>35</v>
      </c>
      <c r="F120" t="s">
        <v>36</v>
      </c>
      <c r="G120">
        <v>1141685</v>
      </c>
      <c r="H120" t="s">
        <v>80</v>
      </c>
      <c r="I120" t="s">
        <v>96</v>
      </c>
      <c r="J120" t="s">
        <v>80</v>
      </c>
      <c r="K120" t="s">
        <v>115</v>
      </c>
      <c r="L120" s="1">
        <v>46143</v>
      </c>
      <c r="M120" s="1">
        <v>46173</v>
      </c>
      <c r="N120">
        <v>0.1494889855</v>
      </c>
      <c r="O120" t="s">
        <v>56</v>
      </c>
      <c r="P120" t="s">
        <v>63</v>
      </c>
      <c r="Q120" t="s">
        <v>3459</v>
      </c>
      <c r="R120" t="s">
        <v>3460</v>
      </c>
      <c r="S120" t="s">
        <v>67</v>
      </c>
      <c r="T120" t="s">
        <v>3681</v>
      </c>
      <c r="U120" t="s">
        <v>3682</v>
      </c>
      <c r="V120">
        <v>16</v>
      </c>
      <c r="W120" s="2">
        <v>26.0802666061</v>
      </c>
    </row>
    <row r="121" spans="1:23" x14ac:dyDescent="0.25">
      <c r="A121" t="s">
        <v>31</v>
      </c>
      <c r="B121" t="s">
        <v>32</v>
      </c>
      <c r="C121" t="s">
        <v>33</v>
      </c>
      <c r="D121" t="s">
        <v>34</v>
      </c>
      <c r="E121" t="s">
        <v>35</v>
      </c>
      <c r="F121" t="s">
        <v>36</v>
      </c>
      <c r="G121">
        <v>1141685</v>
      </c>
      <c r="H121" t="s">
        <v>38</v>
      </c>
      <c r="I121" t="s">
        <v>38</v>
      </c>
      <c r="J121" t="s">
        <v>38</v>
      </c>
      <c r="K121" t="s">
        <v>55</v>
      </c>
      <c r="L121" s="1">
        <v>46143</v>
      </c>
      <c r="M121" s="1">
        <v>46173</v>
      </c>
      <c r="N121">
        <v>2527</v>
      </c>
      <c r="O121" t="s">
        <v>61</v>
      </c>
      <c r="P121" t="s">
        <v>63</v>
      </c>
      <c r="Q121" t="s">
        <v>3472</v>
      </c>
      <c r="R121" t="s">
        <v>3574</v>
      </c>
      <c r="S121" t="s">
        <v>66</v>
      </c>
      <c r="T121" t="s">
        <v>3683</v>
      </c>
      <c r="U121" t="s">
        <v>3684</v>
      </c>
      <c r="V121">
        <v>6</v>
      </c>
      <c r="W121" s="2">
        <v>6436.5646761600001</v>
      </c>
    </row>
    <row r="122" spans="1:23" x14ac:dyDescent="0.25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36</v>
      </c>
      <c r="G122">
        <v>1141685</v>
      </c>
      <c r="H122" t="s">
        <v>77</v>
      </c>
      <c r="I122" t="s">
        <v>96</v>
      </c>
      <c r="J122" t="s">
        <v>77</v>
      </c>
      <c r="K122" t="s">
        <v>110</v>
      </c>
      <c r="L122" s="1">
        <v>46143</v>
      </c>
      <c r="M122" s="1">
        <v>46173</v>
      </c>
      <c r="N122">
        <v>744</v>
      </c>
      <c r="O122" t="s">
        <v>58</v>
      </c>
      <c r="P122" t="s">
        <v>63</v>
      </c>
      <c r="Q122" t="s">
        <v>3468</v>
      </c>
      <c r="R122" t="s">
        <v>3685</v>
      </c>
      <c r="S122" t="s">
        <v>67</v>
      </c>
      <c r="T122" t="s">
        <v>172</v>
      </c>
      <c r="U122" t="s">
        <v>327</v>
      </c>
      <c r="V122">
        <v>7</v>
      </c>
      <c r="W122" s="2">
        <v>129798.2412</v>
      </c>
    </row>
    <row r="123" spans="1:23" x14ac:dyDescent="0.25">
      <c r="A123" t="s">
        <v>31</v>
      </c>
      <c r="B123" t="s">
        <v>32</v>
      </c>
      <c r="C123" t="s">
        <v>33</v>
      </c>
      <c r="D123" t="s">
        <v>34</v>
      </c>
      <c r="E123" t="s">
        <v>35</v>
      </c>
      <c r="F123" t="s">
        <v>36</v>
      </c>
      <c r="G123">
        <v>1141685</v>
      </c>
      <c r="H123" t="s">
        <v>76</v>
      </c>
      <c r="I123" t="s">
        <v>95</v>
      </c>
      <c r="J123" t="s">
        <v>99</v>
      </c>
      <c r="K123" t="s">
        <v>109</v>
      </c>
      <c r="L123" s="1">
        <v>46143</v>
      </c>
      <c r="M123" s="1">
        <v>46173</v>
      </c>
      <c r="N123">
        <v>138</v>
      </c>
      <c r="O123" t="s">
        <v>58</v>
      </c>
      <c r="P123" t="s">
        <v>63</v>
      </c>
      <c r="Q123" t="s">
        <v>3465</v>
      </c>
      <c r="R123" t="s">
        <v>3529</v>
      </c>
      <c r="S123" t="s">
        <v>67</v>
      </c>
      <c r="T123" t="s">
        <v>3686</v>
      </c>
      <c r="U123" t="s">
        <v>3687</v>
      </c>
      <c r="V123">
        <v>16</v>
      </c>
      <c r="W123" s="2">
        <v>0</v>
      </c>
    </row>
    <row r="124" spans="1:23" x14ac:dyDescent="0.25">
      <c r="A124" t="s">
        <v>31</v>
      </c>
      <c r="B124" t="s">
        <v>32</v>
      </c>
      <c r="C124" t="s">
        <v>33</v>
      </c>
      <c r="D124" t="s">
        <v>34</v>
      </c>
      <c r="E124" t="s">
        <v>35</v>
      </c>
      <c r="F124" t="s">
        <v>36</v>
      </c>
      <c r="G124">
        <v>1141685</v>
      </c>
      <c r="H124" t="s">
        <v>76</v>
      </c>
      <c r="I124" t="s">
        <v>95</v>
      </c>
      <c r="J124" t="s">
        <v>99</v>
      </c>
      <c r="K124" t="s">
        <v>109</v>
      </c>
      <c r="L124" s="1">
        <v>46143</v>
      </c>
      <c r="M124" s="1">
        <v>46173</v>
      </c>
      <c r="N124">
        <v>76</v>
      </c>
      <c r="O124" t="s">
        <v>58</v>
      </c>
      <c r="P124" t="s">
        <v>63</v>
      </c>
      <c r="Q124" t="s">
        <v>3465</v>
      </c>
      <c r="R124" t="s">
        <v>3529</v>
      </c>
      <c r="S124" t="s">
        <v>67</v>
      </c>
      <c r="T124" t="s">
        <v>3615</v>
      </c>
      <c r="U124" t="s">
        <v>3616</v>
      </c>
      <c r="V124">
        <v>17</v>
      </c>
      <c r="W124" s="2">
        <v>0</v>
      </c>
    </row>
    <row r="125" spans="1:23" x14ac:dyDescent="0.25">
      <c r="A125" t="s">
        <v>31</v>
      </c>
      <c r="B125" t="s">
        <v>32</v>
      </c>
      <c r="C125" t="s">
        <v>33</v>
      </c>
      <c r="D125" t="s">
        <v>34</v>
      </c>
      <c r="E125" t="s">
        <v>35</v>
      </c>
      <c r="F125" t="s">
        <v>36</v>
      </c>
      <c r="G125">
        <v>1141685</v>
      </c>
      <c r="H125" t="s">
        <v>76</v>
      </c>
      <c r="I125" t="s">
        <v>95</v>
      </c>
      <c r="J125" t="s">
        <v>99</v>
      </c>
      <c r="K125" t="s">
        <v>109</v>
      </c>
      <c r="L125" s="1">
        <v>46143</v>
      </c>
      <c r="M125" s="1">
        <v>46173</v>
      </c>
      <c r="N125">
        <v>276</v>
      </c>
      <c r="O125" t="s">
        <v>58</v>
      </c>
      <c r="P125" t="s">
        <v>63</v>
      </c>
      <c r="Q125" t="s">
        <v>3465</v>
      </c>
      <c r="R125" t="s">
        <v>3496</v>
      </c>
      <c r="S125" t="s">
        <v>67</v>
      </c>
      <c r="T125" t="s">
        <v>3621</v>
      </c>
      <c r="U125" t="s">
        <v>3622</v>
      </c>
      <c r="V125">
        <v>16</v>
      </c>
      <c r="W125" s="2">
        <v>0</v>
      </c>
    </row>
    <row r="126" spans="1:23" x14ac:dyDescent="0.25">
      <c r="A126" t="s">
        <v>31</v>
      </c>
      <c r="B126" t="s">
        <v>32</v>
      </c>
      <c r="C126" t="s">
        <v>33</v>
      </c>
      <c r="D126" t="s">
        <v>34</v>
      </c>
      <c r="E126" t="s">
        <v>35</v>
      </c>
      <c r="F126" t="s">
        <v>36</v>
      </c>
      <c r="G126">
        <v>1141685</v>
      </c>
      <c r="H126" t="s">
        <v>76</v>
      </c>
      <c r="I126" t="s">
        <v>95</v>
      </c>
      <c r="J126" t="s">
        <v>99</v>
      </c>
      <c r="K126" t="s">
        <v>109</v>
      </c>
      <c r="L126" s="1">
        <v>46143</v>
      </c>
      <c r="M126" s="1">
        <v>46173</v>
      </c>
      <c r="N126">
        <v>138</v>
      </c>
      <c r="O126" t="s">
        <v>58</v>
      </c>
      <c r="P126" t="s">
        <v>63</v>
      </c>
      <c r="Q126" t="s">
        <v>3465</v>
      </c>
      <c r="R126" t="s">
        <v>3496</v>
      </c>
      <c r="S126" t="s">
        <v>67</v>
      </c>
      <c r="T126" t="s">
        <v>3688</v>
      </c>
      <c r="U126" t="s">
        <v>3689</v>
      </c>
      <c r="V126">
        <v>15</v>
      </c>
      <c r="W126" s="2">
        <v>0</v>
      </c>
    </row>
    <row r="127" spans="1:23" x14ac:dyDescent="0.25">
      <c r="A127" t="s">
        <v>31</v>
      </c>
      <c r="B127" t="s">
        <v>32</v>
      </c>
      <c r="C127" t="s">
        <v>33</v>
      </c>
      <c r="D127" t="s">
        <v>34</v>
      </c>
      <c r="E127" t="s">
        <v>35</v>
      </c>
      <c r="F127" t="s">
        <v>36</v>
      </c>
      <c r="G127">
        <v>1141685</v>
      </c>
      <c r="H127" t="s">
        <v>76</v>
      </c>
      <c r="I127" t="s">
        <v>95</v>
      </c>
      <c r="J127" t="s">
        <v>99</v>
      </c>
      <c r="K127" t="s">
        <v>109</v>
      </c>
      <c r="L127" s="1">
        <v>46143</v>
      </c>
      <c r="M127" s="1">
        <v>46173</v>
      </c>
      <c r="N127">
        <v>84</v>
      </c>
      <c r="O127" t="s">
        <v>58</v>
      </c>
      <c r="P127" t="s">
        <v>63</v>
      </c>
      <c r="Q127" t="s">
        <v>3465</v>
      </c>
      <c r="R127" t="s">
        <v>3496</v>
      </c>
      <c r="S127" t="s">
        <v>67</v>
      </c>
      <c r="T127" t="s">
        <v>3621</v>
      </c>
      <c r="U127" t="s">
        <v>3622</v>
      </c>
      <c r="V127">
        <v>16</v>
      </c>
      <c r="W127" s="2">
        <v>0</v>
      </c>
    </row>
    <row r="128" spans="1:23" x14ac:dyDescent="0.25">
      <c r="A128" t="s">
        <v>31</v>
      </c>
      <c r="B128" t="s">
        <v>32</v>
      </c>
      <c r="C128" t="s">
        <v>33</v>
      </c>
      <c r="D128" t="s">
        <v>34</v>
      </c>
      <c r="E128" t="s">
        <v>35</v>
      </c>
      <c r="F128" t="s">
        <v>36</v>
      </c>
      <c r="G128">
        <v>1141685</v>
      </c>
      <c r="H128" t="s">
        <v>76</v>
      </c>
      <c r="I128" t="s">
        <v>95</v>
      </c>
      <c r="J128" t="s">
        <v>99</v>
      </c>
      <c r="K128" t="s">
        <v>109</v>
      </c>
      <c r="L128" s="1">
        <v>46143</v>
      </c>
      <c r="M128" s="1">
        <v>46173</v>
      </c>
      <c r="N128">
        <v>125</v>
      </c>
      <c r="O128" t="s">
        <v>58</v>
      </c>
      <c r="P128" t="s">
        <v>63</v>
      </c>
      <c r="Q128" t="s">
        <v>3465</v>
      </c>
      <c r="R128" t="s">
        <v>3460</v>
      </c>
      <c r="S128" t="s">
        <v>67</v>
      </c>
      <c r="T128" t="s">
        <v>3679</v>
      </c>
      <c r="U128" t="s">
        <v>3680</v>
      </c>
      <c r="V128">
        <v>15</v>
      </c>
      <c r="W128" s="2">
        <v>0</v>
      </c>
    </row>
    <row r="129" spans="1:23" x14ac:dyDescent="0.25">
      <c r="A129" t="s">
        <v>31</v>
      </c>
      <c r="B129" t="s">
        <v>32</v>
      </c>
      <c r="C129" t="s">
        <v>33</v>
      </c>
      <c r="D129" t="s">
        <v>34</v>
      </c>
      <c r="E129" t="s">
        <v>35</v>
      </c>
      <c r="F129" t="s">
        <v>36</v>
      </c>
      <c r="G129">
        <v>1141685</v>
      </c>
      <c r="H129" t="s">
        <v>76</v>
      </c>
      <c r="I129" t="s">
        <v>95</v>
      </c>
      <c r="J129" t="s">
        <v>99</v>
      </c>
      <c r="K129" t="s">
        <v>109</v>
      </c>
      <c r="L129" s="1">
        <v>46143</v>
      </c>
      <c r="M129" s="1">
        <v>46173</v>
      </c>
      <c r="N129">
        <v>0.250004</v>
      </c>
      <c r="O129" t="s">
        <v>58</v>
      </c>
      <c r="P129" t="s">
        <v>63</v>
      </c>
      <c r="Q129" t="s">
        <v>3465</v>
      </c>
      <c r="R129" t="s">
        <v>3460</v>
      </c>
      <c r="S129" t="s">
        <v>67</v>
      </c>
      <c r="T129" t="s">
        <v>3679</v>
      </c>
      <c r="U129" t="s">
        <v>3680</v>
      </c>
      <c r="V129">
        <v>15</v>
      </c>
      <c r="W129" s="2">
        <v>0</v>
      </c>
    </row>
    <row r="130" spans="1:23" x14ac:dyDescent="0.25">
      <c r="A130" t="s">
        <v>31</v>
      </c>
      <c r="B130" t="s">
        <v>32</v>
      </c>
      <c r="C130" t="s">
        <v>33</v>
      </c>
      <c r="D130" t="s">
        <v>34</v>
      </c>
      <c r="E130" t="s">
        <v>35</v>
      </c>
      <c r="F130" t="s">
        <v>36</v>
      </c>
      <c r="G130">
        <v>1141685</v>
      </c>
      <c r="H130" t="s">
        <v>76</v>
      </c>
      <c r="I130" t="s">
        <v>95</v>
      </c>
      <c r="J130" t="s">
        <v>99</v>
      </c>
      <c r="K130" t="s">
        <v>109</v>
      </c>
      <c r="L130" s="1">
        <v>46143</v>
      </c>
      <c r="M130" s="1">
        <v>46173</v>
      </c>
      <c r="N130">
        <v>0.75001399999999996</v>
      </c>
      <c r="O130" t="s">
        <v>58</v>
      </c>
      <c r="P130" t="s">
        <v>63</v>
      </c>
      <c r="Q130" t="s">
        <v>3465</v>
      </c>
      <c r="R130" t="s">
        <v>3460</v>
      </c>
      <c r="S130" t="s">
        <v>67</v>
      </c>
      <c r="T130" t="s">
        <v>3492</v>
      </c>
      <c r="U130" t="s">
        <v>3493</v>
      </c>
      <c r="V130">
        <v>16</v>
      </c>
      <c r="W130" s="2">
        <v>0</v>
      </c>
    </row>
    <row r="131" spans="1:23" x14ac:dyDescent="0.25">
      <c r="A131" t="s">
        <v>31</v>
      </c>
      <c r="B131" t="s">
        <v>32</v>
      </c>
      <c r="C131" t="s">
        <v>33</v>
      </c>
      <c r="D131" t="s">
        <v>34</v>
      </c>
      <c r="E131" t="s">
        <v>35</v>
      </c>
      <c r="F131" t="s">
        <v>36</v>
      </c>
      <c r="G131">
        <v>1141685</v>
      </c>
      <c r="H131" t="s">
        <v>76</v>
      </c>
      <c r="I131" t="s">
        <v>95</v>
      </c>
      <c r="J131" t="s">
        <v>99</v>
      </c>
      <c r="K131" t="s">
        <v>109</v>
      </c>
      <c r="L131" s="1">
        <v>46143</v>
      </c>
      <c r="M131" s="1">
        <v>46173</v>
      </c>
      <c r="N131">
        <v>360</v>
      </c>
      <c r="O131" t="s">
        <v>58</v>
      </c>
      <c r="P131" t="s">
        <v>63</v>
      </c>
      <c r="Q131" t="s">
        <v>3465</v>
      </c>
      <c r="R131" t="s">
        <v>3460</v>
      </c>
      <c r="S131" t="s">
        <v>67</v>
      </c>
      <c r="T131" t="s">
        <v>3492</v>
      </c>
      <c r="U131" t="s">
        <v>3493</v>
      </c>
      <c r="V131">
        <v>16</v>
      </c>
      <c r="W131" s="2">
        <v>0</v>
      </c>
    </row>
    <row r="132" spans="1:23" x14ac:dyDescent="0.25">
      <c r="A132" t="s">
        <v>31</v>
      </c>
      <c r="B132" t="s">
        <v>32</v>
      </c>
      <c r="C132" t="s">
        <v>33</v>
      </c>
      <c r="D132" t="s">
        <v>34</v>
      </c>
      <c r="E132" t="s">
        <v>35</v>
      </c>
      <c r="F132" t="s">
        <v>36</v>
      </c>
      <c r="G132">
        <v>1141685</v>
      </c>
      <c r="H132" t="s">
        <v>76</v>
      </c>
      <c r="I132" t="s">
        <v>95</v>
      </c>
      <c r="J132" t="s">
        <v>99</v>
      </c>
      <c r="K132" t="s">
        <v>109</v>
      </c>
      <c r="L132" s="1">
        <v>46143</v>
      </c>
      <c r="M132" s="1">
        <v>46173</v>
      </c>
      <c r="N132">
        <v>0.35000700000000001</v>
      </c>
      <c r="O132" t="s">
        <v>58</v>
      </c>
      <c r="P132" t="s">
        <v>63</v>
      </c>
      <c r="Q132" t="s">
        <v>3465</v>
      </c>
      <c r="R132" t="s">
        <v>3460</v>
      </c>
      <c r="S132" t="s">
        <v>67</v>
      </c>
      <c r="T132" t="s">
        <v>3492</v>
      </c>
      <c r="U132" t="s">
        <v>3493</v>
      </c>
      <c r="V132">
        <v>16</v>
      </c>
      <c r="W132" s="2">
        <v>0</v>
      </c>
    </row>
    <row r="133" spans="1:23" x14ac:dyDescent="0.25">
      <c r="A133" t="s">
        <v>31</v>
      </c>
      <c r="B133" t="s">
        <v>32</v>
      </c>
      <c r="C133" t="s">
        <v>33</v>
      </c>
      <c r="D133" t="s">
        <v>34</v>
      </c>
      <c r="E133" t="s">
        <v>35</v>
      </c>
      <c r="F133" t="s">
        <v>36</v>
      </c>
      <c r="G133">
        <v>1141685</v>
      </c>
      <c r="H133" t="s">
        <v>86</v>
      </c>
      <c r="I133" t="s">
        <v>42</v>
      </c>
      <c r="J133" t="s">
        <v>86</v>
      </c>
      <c r="K133" t="s">
        <v>124</v>
      </c>
      <c r="L133" s="1">
        <v>46143</v>
      </c>
      <c r="M133" s="1">
        <v>46173</v>
      </c>
      <c r="N133">
        <v>0.81211599999999995</v>
      </c>
      <c r="O133" t="s">
        <v>135</v>
      </c>
      <c r="P133" t="s">
        <v>63</v>
      </c>
      <c r="Q133" t="s">
        <v>3465</v>
      </c>
      <c r="R133" t="s">
        <v>3690</v>
      </c>
      <c r="S133" t="s">
        <v>67</v>
      </c>
      <c r="T133" t="s">
        <v>3691</v>
      </c>
      <c r="U133" t="s">
        <v>3692</v>
      </c>
      <c r="V133">
        <v>17</v>
      </c>
      <c r="W133" s="2">
        <v>279254.74450577277</v>
      </c>
    </row>
    <row r="134" spans="1:23" x14ac:dyDescent="0.25">
      <c r="A134" t="s">
        <v>31</v>
      </c>
      <c r="B134" t="s">
        <v>32</v>
      </c>
      <c r="C134" t="s">
        <v>33</v>
      </c>
      <c r="D134" t="s">
        <v>34</v>
      </c>
      <c r="E134" t="s">
        <v>35</v>
      </c>
      <c r="F134" t="s">
        <v>36</v>
      </c>
      <c r="G134">
        <v>1141685</v>
      </c>
      <c r="H134" t="s">
        <v>79</v>
      </c>
      <c r="I134" t="s">
        <v>94</v>
      </c>
      <c r="J134" t="s">
        <v>101</v>
      </c>
      <c r="K134" t="s">
        <v>116</v>
      </c>
      <c r="L134" s="1">
        <v>46143</v>
      </c>
      <c r="M134" s="1">
        <v>46173</v>
      </c>
      <c r="N134">
        <v>6.2801900000000006E-5</v>
      </c>
      <c r="O134" t="s">
        <v>56</v>
      </c>
      <c r="P134" t="s">
        <v>63</v>
      </c>
      <c r="Q134" t="s">
        <v>3459</v>
      </c>
      <c r="R134" t="s">
        <v>3496</v>
      </c>
      <c r="S134" t="s">
        <v>67</v>
      </c>
      <c r="T134" t="s">
        <v>3693</v>
      </c>
      <c r="U134" t="s">
        <v>3694</v>
      </c>
      <c r="V134">
        <v>16</v>
      </c>
      <c r="W134" s="2">
        <v>8.7133162599999994E-2</v>
      </c>
    </row>
    <row r="135" spans="1:23" x14ac:dyDescent="0.25">
      <c r="A135" t="s">
        <v>31</v>
      </c>
      <c r="B135" t="s">
        <v>32</v>
      </c>
      <c r="C135" t="s">
        <v>33</v>
      </c>
      <c r="D135" t="s">
        <v>34</v>
      </c>
      <c r="E135" t="s">
        <v>35</v>
      </c>
      <c r="F135" t="s">
        <v>36</v>
      </c>
      <c r="G135">
        <v>1141685</v>
      </c>
      <c r="H135" t="s">
        <v>79</v>
      </c>
      <c r="I135" t="s">
        <v>94</v>
      </c>
      <c r="J135" t="s">
        <v>101</v>
      </c>
      <c r="K135" t="s">
        <v>116</v>
      </c>
      <c r="L135" s="1">
        <v>46143</v>
      </c>
      <c r="M135" s="1">
        <v>46173</v>
      </c>
      <c r="N135">
        <v>0.1148800338</v>
      </c>
      <c r="O135" t="s">
        <v>56</v>
      </c>
      <c r="P135" t="s">
        <v>63</v>
      </c>
      <c r="Q135" t="s">
        <v>3459</v>
      </c>
      <c r="R135" t="s">
        <v>3496</v>
      </c>
      <c r="S135" t="s">
        <v>67</v>
      </c>
      <c r="T135" t="s">
        <v>3695</v>
      </c>
      <c r="U135" t="s">
        <v>3696</v>
      </c>
      <c r="V135">
        <v>16</v>
      </c>
      <c r="W135" s="2">
        <v>160.3354736659</v>
      </c>
    </row>
    <row r="136" spans="1:23" x14ac:dyDescent="0.25">
      <c r="A136" t="s">
        <v>31</v>
      </c>
      <c r="B136" t="s">
        <v>32</v>
      </c>
      <c r="C136" t="s">
        <v>33</v>
      </c>
      <c r="D136" t="s">
        <v>34</v>
      </c>
      <c r="E136" t="s">
        <v>35</v>
      </c>
      <c r="F136" t="s">
        <v>36</v>
      </c>
      <c r="G136">
        <v>1141685</v>
      </c>
      <c r="H136" t="s">
        <v>79</v>
      </c>
      <c r="I136" t="s">
        <v>94</v>
      </c>
      <c r="J136" t="s">
        <v>101</v>
      </c>
      <c r="K136" t="s">
        <v>116</v>
      </c>
      <c r="L136" s="1">
        <v>46143</v>
      </c>
      <c r="M136" s="1">
        <v>46173</v>
      </c>
      <c r="N136">
        <v>0.3257461451</v>
      </c>
      <c r="O136" t="s">
        <v>56</v>
      </c>
      <c r="P136" t="s">
        <v>63</v>
      </c>
      <c r="Q136" t="s">
        <v>3459</v>
      </c>
      <c r="R136" t="s">
        <v>3460</v>
      </c>
      <c r="S136" t="s">
        <v>67</v>
      </c>
      <c r="T136" t="s">
        <v>3697</v>
      </c>
      <c r="U136" t="s">
        <v>3698</v>
      </c>
      <c r="V136">
        <v>15</v>
      </c>
      <c r="W136" s="2">
        <v>375.19801649670001</v>
      </c>
    </row>
    <row r="137" spans="1:23" x14ac:dyDescent="0.25">
      <c r="A137" t="s">
        <v>31</v>
      </c>
      <c r="B137" t="s">
        <v>32</v>
      </c>
      <c r="C137" t="s">
        <v>33</v>
      </c>
      <c r="D137" t="s">
        <v>34</v>
      </c>
      <c r="E137" t="s">
        <v>35</v>
      </c>
      <c r="F137" t="s">
        <v>36</v>
      </c>
      <c r="G137">
        <v>1141685</v>
      </c>
      <c r="H137" t="s">
        <v>79</v>
      </c>
      <c r="I137" t="s">
        <v>94</v>
      </c>
      <c r="J137" t="s">
        <v>101</v>
      </c>
      <c r="K137" t="s">
        <v>116</v>
      </c>
      <c r="L137" s="1">
        <v>46143</v>
      </c>
      <c r="M137" s="1">
        <v>46173</v>
      </c>
      <c r="N137">
        <v>2.5568500000000001E-5</v>
      </c>
      <c r="O137" t="s">
        <v>56</v>
      </c>
      <c r="P137" t="s">
        <v>63</v>
      </c>
      <c r="Q137" t="s">
        <v>3459</v>
      </c>
      <c r="R137" t="s">
        <v>3460</v>
      </c>
      <c r="S137" t="s">
        <v>67</v>
      </c>
      <c r="T137" t="s">
        <v>3699</v>
      </c>
      <c r="U137" t="s">
        <v>3700</v>
      </c>
      <c r="V137">
        <v>16</v>
      </c>
      <c r="W137" s="2">
        <v>3.1403227499999999E-2</v>
      </c>
    </row>
    <row r="138" spans="1:23" x14ac:dyDescent="0.25">
      <c r="A138" t="s">
        <v>31</v>
      </c>
      <c r="B138" t="s">
        <v>32</v>
      </c>
      <c r="C138" t="s">
        <v>33</v>
      </c>
      <c r="D138" t="s">
        <v>34</v>
      </c>
      <c r="E138" t="s">
        <v>35</v>
      </c>
      <c r="F138" t="s">
        <v>36</v>
      </c>
      <c r="G138">
        <v>1141685</v>
      </c>
      <c r="H138" t="s">
        <v>79</v>
      </c>
      <c r="I138" t="s">
        <v>94</v>
      </c>
      <c r="J138" t="s">
        <v>101</v>
      </c>
      <c r="K138" t="s">
        <v>116</v>
      </c>
      <c r="L138" s="1">
        <v>46143</v>
      </c>
      <c r="M138" s="1">
        <v>46173</v>
      </c>
      <c r="N138">
        <v>1.25729E-5</v>
      </c>
      <c r="O138" t="s">
        <v>56</v>
      </c>
      <c r="P138" t="s">
        <v>63</v>
      </c>
      <c r="Q138" t="s">
        <v>3459</v>
      </c>
      <c r="R138" t="s">
        <v>3460</v>
      </c>
      <c r="S138" t="s">
        <v>67</v>
      </c>
      <c r="T138" t="s">
        <v>3701</v>
      </c>
      <c r="U138" t="s">
        <v>3702</v>
      </c>
      <c r="V138">
        <v>16</v>
      </c>
      <c r="W138" s="2">
        <v>1.5441959999999999E-2</v>
      </c>
    </row>
    <row r="139" spans="1:23" x14ac:dyDescent="0.25">
      <c r="A139" t="s">
        <v>31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>
        <v>1141685</v>
      </c>
      <c r="H139" t="s">
        <v>80</v>
      </c>
      <c r="I139" t="s">
        <v>96</v>
      </c>
      <c r="J139" t="s">
        <v>80</v>
      </c>
      <c r="K139" t="s">
        <v>115</v>
      </c>
      <c r="L139" s="1">
        <v>46143</v>
      </c>
      <c r="M139" s="1">
        <v>46173</v>
      </c>
      <c r="N139">
        <v>1.6661E-6</v>
      </c>
      <c r="O139" t="s">
        <v>56</v>
      </c>
      <c r="P139" t="s">
        <v>63</v>
      </c>
      <c r="Q139" t="s">
        <v>3459</v>
      </c>
      <c r="R139" t="s">
        <v>3529</v>
      </c>
      <c r="S139" t="s">
        <v>67</v>
      </c>
      <c r="T139" t="s">
        <v>3703</v>
      </c>
      <c r="U139" t="s">
        <v>3704</v>
      </c>
      <c r="V139">
        <v>16</v>
      </c>
      <c r="W139" s="2">
        <v>2.5579310000000002E-4</v>
      </c>
    </row>
    <row r="140" spans="1:23" x14ac:dyDescent="0.25">
      <c r="A140" t="s">
        <v>31</v>
      </c>
      <c r="B140" t="s">
        <v>32</v>
      </c>
      <c r="C140" t="s">
        <v>33</v>
      </c>
      <c r="D140" t="s">
        <v>34</v>
      </c>
      <c r="E140" t="s">
        <v>35</v>
      </c>
      <c r="F140" t="s">
        <v>36</v>
      </c>
      <c r="G140">
        <v>1141685</v>
      </c>
      <c r="H140" t="s">
        <v>80</v>
      </c>
      <c r="I140" t="s">
        <v>96</v>
      </c>
      <c r="J140" t="s">
        <v>80</v>
      </c>
      <c r="K140" t="s">
        <v>115</v>
      </c>
      <c r="L140" s="1">
        <v>46143</v>
      </c>
      <c r="M140" s="1">
        <v>46173</v>
      </c>
      <c r="N140">
        <v>1.13420477E-2</v>
      </c>
      <c r="O140" t="s">
        <v>56</v>
      </c>
      <c r="P140" t="s">
        <v>63</v>
      </c>
      <c r="Q140" t="s">
        <v>3459</v>
      </c>
      <c r="R140" t="s">
        <v>3496</v>
      </c>
      <c r="S140" t="s">
        <v>67</v>
      </c>
      <c r="T140" t="s">
        <v>3705</v>
      </c>
      <c r="U140" t="s">
        <v>3706</v>
      </c>
      <c r="V140">
        <v>15</v>
      </c>
      <c r="W140" s="2">
        <v>1.9812856059999999</v>
      </c>
    </row>
    <row r="141" spans="1:23" x14ac:dyDescent="0.25">
      <c r="A141" t="s">
        <v>31</v>
      </c>
      <c r="B141" t="s">
        <v>32</v>
      </c>
      <c r="C141" t="s">
        <v>33</v>
      </c>
      <c r="D141" t="s">
        <v>34</v>
      </c>
      <c r="E141" t="s">
        <v>35</v>
      </c>
      <c r="F141" t="s">
        <v>36</v>
      </c>
      <c r="G141">
        <v>1141685</v>
      </c>
      <c r="H141" t="s">
        <v>80</v>
      </c>
      <c r="I141" t="s">
        <v>96</v>
      </c>
      <c r="J141" t="s">
        <v>80</v>
      </c>
      <c r="K141" t="s">
        <v>115</v>
      </c>
      <c r="L141" s="1">
        <v>46143</v>
      </c>
      <c r="M141" s="1">
        <v>46173</v>
      </c>
      <c r="N141">
        <v>5.2920281E-2</v>
      </c>
      <c r="O141" t="s">
        <v>56</v>
      </c>
      <c r="P141" t="s">
        <v>63</v>
      </c>
      <c r="Q141" t="s">
        <v>3459</v>
      </c>
      <c r="R141" t="s">
        <v>3496</v>
      </c>
      <c r="S141" t="s">
        <v>67</v>
      </c>
      <c r="T141" t="s">
        <v>3707</v>
      </c>
      <c r="U141" t="s">
        <v>3708</v>
      </c>
      <c r="V141">
        <v>16</v>
      </c>
      <c r="W141" s="2">
        <v>9.2345755490999988</v>
      </c>
    </row>
    <row r="142" spans="1:23" x14ac:dyDescent="0.25">
      <c r="A142" t="s">
        <v>31</v>
      </c>
      <c r="B142" t="s">
        <v>32</v>
      </c>
      <c r="C142" t="s">
        <v>33</v>
      </c>
      <c r="D142" t="s">
        <v>34</v>
      </c>
      <c r="E142" t="s">
        <v>35</v>
      </c>
      <c r="F142" t="s">
        <v>36</v>
      </c>
      <c r="G142">
        <v>1141685</v>
      </c>
      <c r="H142" t="s">
        <v>80</v>
      </c>
      <c r="I142" t="s">
        <v>96</v>
      </c>
      <c r="J142" t="s">
        <v>80</v>
      </c>
      <c r="K142" t="s">
        <v>115</v>
      </c>
      <c r="L142" s="1">
        <v>46143</v>
      </c>
      <c r="M142" s="1">
        <v>46173</v>
      </c>
      <c r="N142">
        <v>9.6900000000000001E-8</v>
      </c>
      <c r="O142" t="s">
        <v>56</v>
      </c>
      <c r="P142" t="s">
        <v>63</v>
      </c>
      <c r="Q142" t="s">
        <v>3459</v>
      </c>
      <c r="R142" t="s">
        <v>3460</v>
      </c>
      <c r="S142" t="s">
        <v>67</v>
      </c>
      <c r="T142" t="s">
        <v>3709</v>
      </c>
      <c r="U142" t="s">
        <v>3710</v>
      </c>
      <c r="V142">
        <v>16</v>
      </c>
      <c r="W142" s="2">
        <v>1.48699E-5</v>
      </c>
    </row>
    <row r="143" spans="1:23" x14ac:dyDescent="0.25">
      <c r="A143" t="s">
        <v>31</v>
      </c>
      <c r="B143" t="s">
        <v>32</v>
      </c>
      <c r="C143" t="s">
        <v>33</v>
      </c>
      <c r="D143" t="s">
        <v>34</v>
      </c>
      <c r="E143" t="s">
        <v>35</v>
      </c>
      <c r="F143" t="s">
        <v>36</v>
      </c>
      <c r="G143">
        <v>1141685</v>
      </c>
      <c r="H143" t="s">
        <v>80</v>
      </c>
      <c r="I143" t="s">
        <v>96</v>
      </c>
      <c r="J143" t="s">
        <v>80</v>
      </c>
      <c r="K143" t="s">
        <v>115</v>
      </c>
      <c r="L143" s="1">
        <v>46143</v>
      </c>
      <c r="M143" s="1">
        <v>46173</v>
      </c>
      <c r="N143">
        <v>2.6384E-6</v>
      </c>
      <c r="O143" t="s">
        <v>56</v>
      </c>
      <c r="P143" t="s">
        <v>63</v>
      </c>
      <c r="Q143" t="s">
        <v>3459</v>
      </c>
      <c r="R143" t="s">
        <v>3529</v>
      </c>
      <c r="S143" t="s">
        <v>67</v>
      </c>
      <c r="T143" t="s">
        <v>3711</v>
      </c>
      <c r="U143" t="s">
        <v>3712</v>
      </c>
      <c r="V143">
        <v>17</v>
      </c>
      <c r="W143" s="2">
        <v>4.0506530000000002E-4</v>
      </c>
    </row>
    <row r="144" spans="1:23" x14ac:dyDescent="0.25">
      <c r="A144" t="s">
        <v>31</v>
      </c>
      <c r="B144" t="s">
        <v>32</v>
      </c>
      <c r="C144" t="s">
        <v>33</v>
      </c>
      <c r="D144" t="s">
        <v>34</v>
      </c>
      <c r="E144" t="s">
        <v>35</v>
      </c>
      <c r="F144" t="s">
        <v>36</v>
      </c>
      <c r="G144">
        <v>1141685</v>
      </c>
      <c r="H144" t="s">
        <v>80</v>
      </c>
      <c r="I144" t="s">
        <v>96</v>
      </c>
      <c r="J144" t="s">
        <v>80</v>
      </c>
      <c r="K144" t="s">
        <v>115</v>
      </c>
      <c r="L144" s="1">
        <v>46143</v>
      </c>
      <c r="M144" s="1">
        <v>46173</v>
      </c>
      <c r="N144">
        <v>7.6642245999999997E-2</v>
      </c>
      <c r="O144" t="s">
        <v>56</v>
      </c>
      <c r="P144" t="s">
        <v>63</v>
      </c>
      <c r="Q144" t="s">
        <v>3459</v>
      </c>
      <c r="R144" t="s">
        <v>3496</v>
      </c>
      <c r="S144" t="s">
        <v>67</v>
      </c>
      <c r="T144" t="s">
        <v>3713</v>
      </c>
      <c r="U144" t="s">
        <v>3714</v>
      </c>
      <c r="V144">
        <v>16</v>
      </c>
      <c r="W144" s="2">
        <v>13.3664854847</v>
      </c>
    </row>
    <row r="145" spans="1:23" x14ac:dyDescent="0.25">
      <c r="A145" t="s">
        <v>31</v>
      </c>
      <c r="B145" t="s">
        <v>32</v>
      </c>
      <c r="C145" t="s">
        <v>33</v>
      </c>
      <c r="D145" t="s">
        <v>34</v>
      </c>
      <c r="E145" t="s">
        <v>35</v>
      </c>
      <c r="F145" t="s">
        <v>36</v>
      </c>
      <c r="G145">
        <v>1141685</v>
      </c>
      <c r="H145" t="s">
        <v>80</v>
      </c>
      <c r="I145" t="s">
        <v>96</v>
      </c>
      <c r="J145" t="s">
        <v>80</v>
      </c>
      <c r="K145" t="s">
        <v>115</v>
      </c>
      <c r="L145" s="1">
        <v>46143</v>
      </c>
      <c r="M145" s="1">
        <v>46173</v>
      </c>
      <c r="N145">
        <v>0.79244098439999999</v>
      </c>
      <c r="O145" t="s">
        <v>56</v>
      </c>
      <c r="P145" t="s">
        <v>63</v>
      </c>
      <c r="Q145" t="s">
        <v>3459</v>
      </c>
      <c r="R145" t="s">
        <v>3460</v>
      </c>
      <c r="S145" t="s">
        <v>67</v>
      </c>
      <c r="T145" t="s">
        <v>3715</v>
      </c>
      <c r="U145" t="s">
        <v>3716</v>
      </c>
      <c r="V145">
        <v>16</v>
      </c>
      <c r="W145" s="2">
        <v>138.24934363930001</v>
      </c>
    </row>
    <row r="146" spans="1:23" x14ac:dyDescent="0.25">
      <c r="A146" t="s">
        <v>31</v>
      </c>
      <c r="B146" t="s">
        <v>32</v>
      </c>
      <c r="C146" t="s">
        <v>33</v>
      </c>
      <c r="D146" t="s">
        <v>34</v>
      </c>
      <c r="E146" t="s">
        <v>35</v>
      </c>
      <c r="F146" t="s">
        <v>36</v>
      </c>
      <c r="G146">
        <v>1141685</v>
      </c>
      <c r="H146" t="s">
        <v>79</v>
      </c>
      <c r="I146" t="s">
        <v>94</v>
      </c>
      <c r="J146" t="s">
        <v>101</v>
      </c>
      <c r="K146" t="s">
        <v>114</v>
      </c>
      <c r="L146" s="1">
        <v>46143</v>
      </c>
      <c r="M146" s="1">
        <v>46173</v>
      </c>
      <c r="N146">
        <v>3.9120000000000001E-7</v>
      </c>
      <c r="O146" t="s">
        <v>56</v>
      </c>
      <c r="P146" t="s">
        <v>63</v>
      </c>
      <c r="Q146" t="s">
        <v>3459</v>
      </c>
      <c r="R146" t="s">
        <v>3460</v>
      </c>
      <c r="S146" t="s">
        <v>67</v>
      </c>
      <c r="T146" t="s">
        <v>3717</v>
      </c>
      <c r="U146" t="s">
        <v>3718</v>
      </c>
      <c r="V146">
        <v>16</v>
      </c>
      <c r="W146" s="2">
        <v>4.8041650000000001E-4</v>
      </c>
    </row>
    <row r="147" spans="1:23" x14ac:dyDescent="0.25">
      <c r="A147" t="s">
        <v>31</v>
      </c>
      <c r="B147" t="s">
        <v>32</v>
      </c>
      <c r="C147" t="s">
        <v>33</v>
      </c>
      <c r="D147" t="s">
        <v>34</v>
      </c>
      <c r="E147" t="s">
        <v>35</v>
      </c>
      <c r="F147" t="s">
        <v>36</v>
      </c>
      <c r="G147">
        <v>1141685</v>
      </c>
      <c r="H147" t="s">
        <v>79</v>
      </c>
      <c r="I147" t="s">
        <v>94</v>
      </c>
      <c r="J147" t="s">
        <v>101</v>
      </c>
      <c r="K147" t="s">
        <v>114</v>
      </c>
      <c r="L147" s="1">
        <v>46143</v>
      </c>
      <c r="M147" s="1">
        <v>46173</v>
      </c>
      <c r="N147">
        <v>1.118E-7</v>
      </c>
      <c r="O147" t="s">
        <v>56</v>
      </c>
      <c r="P147" t="s">
        <v>63</v>
      </c>
      <c r="Q147" t="s">
        <v>3459</v>
      </c>
      <c r="R147" t="s">
        <v>3460</v>
      </c>
      <c r="S147" t="s">
        <v>67</v>
      </c>
      <c r="T147" t="s">
        <v>3719</v>
      </c>
      <c r="U147" t="s">
        <v>3720</v>
      </c>
      <c r="V147">
        <v>15</v>
      </c>
      <c r="W147" s="2">
        <v>1.3726179999999999E-4</v>
      </c>
    </row>
    <row r="148" spans="1:23" x14ac:dyDescent="0.25">
      <c r="A148" t="s">
        <v>31</v>
      </c>
      <c r="B148" t="s">
        <v>32</v>
      </c>
      <c r="C148" t="s">
        <v>33</v>
      </c>
      <c r="D148" t="s">
        <v>34</v>
      </c>
      <c r="E148" t="s">
        <v>35</v>
      </c>
      <c r="F148" t="s">
        <v>36</v>
      </c>
      <c r="G148">
        <v>1141685</v>
      </c>
      <c r="H148" t="s">
        <v>77</v>
      </c>
      <c r="I148" t="s">
        <v>96</v>
      </c>
      <c r="J148" t="s">
        <v>77</v>
      </c>
      <c r="K148" t="s">
        <v>113</v>
      </c>
      <c r="L148" s="1">
        <v>46143</v>
      </c>
      <c r="M148" s="1">
        <v>46173</v>
      </c>
      <c r="N148">
        <v>2.1413010499999999E-2</v>
      </c>
      <c r="O148" t="s">
        <v>56</v>
      </c>
      <c r="P148" t="s">
        <v>63</v>
      </c>
      <c r="Q148" t="s">
        <v>3468</v>
      </c>
      <c r="R148" t="s">
        <v>3483</v>
      </c>
      <c r="S148" t="s">
        <v>67</v>
      </c>
      <c r="T148" t="s">
        <v>3721</v>
      </c>
      <c r="U148" t="s">
        <v>3722</v>
      </c>
      <c r="V148">
        <v>7</v>
      </c>
      <c r="W148" s="2">
        <v>3.7374281605999999</v>
      </c>
    </row>
    <row r="149" spans="1:23" x14ac:dyDescent="0.25">
      <c r="A149" t="s">
        <v>31</v>
      </c>
      <c r="B149" t="s">
        <v>32</v>
      </c>
      <c r="C149" t="s">
        <v>33</v>
      </c>
      <c r="D149" t="s">
        <v>34</v>
      </c>
      <c r="E149" t="s">
        <v>35</v>
      </c>
      <c r="F149" t="s">
        <v>36</v>
      </c>
      <c r="G149">
        <v>1141685</v>
      </c>
      <c r="H149" t="s">
        <v>75</v>
      </c>
      <c r="I149" t="s">
        <v>94</v>
      </c>
      <c r="J149" t="s">
        <v>98</v>
      </c>
      <c r="K149" t="s">
        <v>108</v>
      </c>
      <c r="L149" s="1">
        <v>46143</v>
      </c>
      <c r="M149" s="1">
        <v>46173</v>
      </c>
      <c r="N149">
        <v>1.06241107E-2</v>
      </c>
      <c r="O149" t="s">
        <v>56</v>
      </c>
      <c r="P149" t="s">
        <v>63</v>
      </c>
      <c r="Q149" t="s">
        <v>3459</v>
      </c>
      <c r="R149" t="s">
        <v>3496</v>
      </c>
      <c r="S149" t="s">
        <v>67</v>
      </c>
      <c r="T149" t="s">
        <v>3723</v>
      </c>
      <c r="U149" t="s">
        <v>3724</v>
      </c>
      <c r="V149">
        <v>16</v>
      </c>
      <c r="W149" s="2">
        <v>22.242773641700001</v>
      </c>
    </row>
    <row r="150" spans="1:23" x14ac:dyDescent="0.25">
      <c r="A150" t="s">
        <v>31</v>
      </c>
      <c r="B150" t="s">
        <v>32</v>
      </c>
      <c r="C150" t="s">
        <v>33</v>
      </c>
      <c r="D150" t="s">
        <v>34</v>
      </c>
      <c r="E150" t="s">
        <v>35</v>
      </c>
      <c r="F150" t="s">
        <v>36</v>
      </c>
      <c r="G150">
        <v>1141685</v>
      </c>
      <c r="H150" t="s">
        <v>75</v>
      </c>
      <c r="I150" t="s">
        <v>94</v>
      </c>
      <c r="J150" t="s">
        <v>98</v>
      </c>
      <c r="K150" t="s">
        <v>108</v>
      </c>
      <c r="L150" s="1">
        <v>46143</v>
      </c>
      <c r="M150" s="1">
        <v>46173</v>
      </c>
      <c r="N150">
        <v>1.4664865999999999E-3</v>
      </c>
      <c r="O150" t="s">
        <v>56</v>
      </c>
      <c r="P150" t="s">
        <v>63</v>
      </c>
      <c r="Q150" t="s">
        <v>3459</v>
      </c>
      <c r="R150" t="s">
        <v>3460</v>
      </c>
      <c r="S150" t="s">
        <v>67</v>
      </c>
      <c r="T150" t="s">
        <v>3725</v>
      </c>
      <c r="U150" t="s">
        <v>3726</v>
      </c>
      <c r="V150">
        <v>16</v>
      </c>
      <c r="W150" s="2">
        <v>3.0717047489999998</v>
      </c>
    </row>
    <row r="151" spans="1:23" x14ac:dyDescent="0.25">
      <c r="A151" t="s">
        <v>31</v>
      </c>
      <c r="B151" t="s">
        <v>32</v>
      </c>
      <c r="C151" t="s">
        <v>33</v>
      </c>
      <c r="D151" t="s">
        <v>34</v>
      </c>
      <c r="E151" t="s">
        <v>35</v>
      </c>
      <c r="F151" t="s">
        <v>36</v>
      </c>
      <c r="G151">
        <v>1141685</v>
      </c>
      <c r="H151" t="s">
        <v>75</v>
      </c>
      <c r="I151" t="s">
        <v>94</v>
      </c>
      <c r="J151" t="s">
        <v>98</v>
      </c>
      <c r="K151" t="s">
        <v>108</v>
      </c>
      <c r="L151" s="1">
        <v>46143</v>
      </c>
      <c r="M151" s="1">
        <v>46173</v>
      </c>
      <c r="N151">
        <v>1.13454E-5</v>
      </c>
      <c r="O151" t="s">
        <v>56</v>
      </c>
      <c r="P151" t="s">
        <v>63</v>
      </c>
      <c r="Q151" t="s">
        <v>3459</v>
      </c>
      <c r="R151" t="s">
        <v>3460</v>
      </c>
      <c r="S151" t="s">
        <v>67</v>
      </c>
      <c r="T151" t="s">
        <v>3727</v>
      </c>
      <c r="U151" t="s">
        <v>3728</v>
      </c>
      <c r="V151">
        <v>16</v>
      </c>
      <c r="W151" s="2">
        <v>2.0901550800000002E-2</v>
      </c>
    </row>
    <row r="152" spans="1:23" x14ac:dyDescent="0.25">
      <c r="A152" t="s">
        <v>31</v>
      </c>
      <c r="B152" t="s">
        <v>32</v>
      </c>
      <c r="C152" t="s">
        <v>33</v>
      </c>
      <c r="D152" t="s">
        <v>34</v>
      </c>
      <c r="E152" t="s">
        <v>35</v>
      </c>
      <c r="F152" t="s">
        <v>36</v>
      </c>
      <c r="G152">
        <v>1141685</v>
      </c>
      <c r="H152" t="s">
        <v>75</v>
      </c>
      <c r="I152" t="s">
        <v>94</v>
      </c>
      <c r="J152" t="s">
        <v>98</v>
      </c>
      <c r="K152" t="s">
        <v>108</v>
      </c>
      <c r="L152" s="1">
        <v>46143</v>
      </c>
      <c r="M152" s="1">
        <v>46173</v>
      </c>
      <c r="N152">
        <v>1.2530900000000001E-5</v>
      </c>
      <c r="O152" t="s">
        <v>56</v>
      </c>
      <c r="P152" t="s">
        <v>63</v>
      </c>
      <c r="Q152" t="s">
        <v>3459</v>
      </c>
      <c r="R152" t="s">
        <v>3496</v>
      </c>
      <c r="S152" t="s">
        <v>67</v>
      </c>
      <c r="T152" t="s">
        <v>3729</v>
      </c>
      <c r="U152" t="s">
        <v>3730</v>
      </c>
      <c r="V152">
        <v>16</v>
      </c>
      <c r="W152" s="2">
        <v>2.3085730299999999E-2</v>
      </c>
    </row>
    <row r="153" spans="1:23" x14ac:dyDescent="0.25">
      <c r="A153" t="s">
        <v>31</v>
      </c>
      <c r="B153" t="s">
        <v>32</v>
      </c>
      <c r="C153" t="s">
        <v>33</v>
      </c>
      <c r="D153" t="s">
        <v>34</v>
      </c>
      <c r="E153" t="s">
        <v>35</v>
      </c>
      <c r="F153" t="s">
        <v>36</v>
      </c>
      <c r="G153">
        <v>1141685</v>
      </c>
      <c r="H153" t="s">
        <v>79</v>
      </c>
      <c r="I153" t="s">
        <v>94</v>
      </c>
      <c r="J153" t="s">
        <v>101</v>
      </c>
      <c r="K153" t="s">
        <v>116</v>
      </c>
      <c r="L153" s="1">
        <v>46143</v>
      </c>
      <c r="M153" s="1">
        <v>46173</v>
      </c>
      <c r="N153">
        <v>9.7191848799999994E-2</v>
      </c>
      <c r="O153" t="s">
        <v>56</v>
      </c>
      <c r="P153" t="s">
        <v>63</v>
      </c>
      <c r="Q153" t="s">
        <v>3459</v>
      </c>
      <c r="R153" t="s">
        <v>3496</v>
      </c>
      <c r="S153" t="s">
        <v>67</v>
      </c>
      <c r="T153" t="s">
        <v>3731</v>
      </c>
      <c r="U153" t="s">
        <v>3732</v>
      </c>
      <c r="V153">
        <v>15</v>
      </c>
      <c r="W153" s="2">
        <v>111.97186338429999</v>
      </c>
    </row>
    <row r="154" spans="1:23" x14ac:dyDescent="0.25">
      <c r="A154" t="s">
        <v>31</v>
      </c>
      <c r="B154" t="s">
        <v>32</v>
      </c>
      <c r="C154" t="s">
        <v>33</v>
      </c>
      <c r="D154" t="s">
        <v>34</v>
      </c>
      <c r="E154" t="s">
        <v>35</v>
      </c>
      <c r="F154" t="s">
        <v>36</v>
      </c>
      <c r="G154">
        <v>1141685</v>
      </c>
      <c r="H154" t="s">
        <v>79</v>
      </c>
      <c r="I154" t="s">
        <v>94</v>
      </c>
      <c r="J154" t="s">
        <v>101</v>
      </c>
      <c r="K154" t="s">
        <v>116</v>
      </c>
      <c r="L154" s="1">
        <v>46143</v>
      </c>
      <c r="M154" s="1">
        <v>46173</v>
      </c>
      <c r="N154">
        <v>2.1353787700000001E-2</v>
      </c>
      <c r="O154" t="s">
        <v>56</v>
      </c>
      <c r="P154" t="s">
        <v>63</v>
      </c>
      <c r="Q154" t="s">
        <v>3459</v>
      </c>
      <c r="R154" t="s">
        <v>3529</v>
      </c>
      <c r="S154" t="s">
        <v>67</v>
      </c>
      <c r="T154" t="s">
        <v>3733</v>
      </c>
      <c r="U154" t="s">
        <v>3734</v>
      </c>
      <c r="V154">
        <v>16</v>
      </c>
      <c r="W154" s="2">
        <v>24.650734552500001</v>
      </c>
    </row>
    <row r="155" spans="1:23" x14ac:dyDescent="0.25">
      <c r="A155" t="s">
        <v>31</v>
      </c>
      <c r="B155" t="s">
        <v>32</v>
      </c>
      <c r="C155" t="s">
        <v>33</v>
      </c>
      <c r="D155" t="s">
        <v>34</v>
      </c>
      <c r="E155" t="s">
        <v>35</v>
      </c>
      <c r="F155" t="s">
        <v>36</v>
      </c>
      <c r="G155">
        <v>1141685</v>
      </c>
      <c r="H155" t="s">
        <v>79</v>
      </c>
      <c r="I155" t="s">
        <v>94</v>
      </c>
      <c r="J155" t="s">
        <v>101</v>
      </c>
      <c r="K155" t="s">
        <v>116</v>
      </c>
      <c r="L155" s="1">
        <v>46143</v>
      </c>
      <c r="M155" s="1">
        <v>46173</v>
      </c>
      <c r="N155">
        <v>3.9681692599999999E-2</v>
      </c>
      <c r="O155" t="s">
        <v>56</v>
      </c>
      <c r="P155" t="s">
        <v>63</v>
      </c>
      <c r="Q155" t="s">
        <v>3459</v>
      </c>
      <c r="R155" t="s">
        <v>3496</v>
      </c>
      <c r="S155" t="s">
        <v>67</v>
      </c>
      <c r="T155" t="s">
        <v>3735</v>
      </c>
      <c r="U155" t="s">
        <v>3736</v>
      </c>
      <c r="V155">
        <v>16</v>
      </c>
      <c r="W155" s="2">
        <v>55.386991369500002</v>
      </c>
    </row>
    <row r="156" spans="1:23" x14ac:dyDescent="0.25">
      <c r="A156" t="s">
        <v>31</v>
      </c>
      <c r="B156" t="s">
        <v>32</v>
      </c>
      <c r="C156" t="s">
        <v>33</v>
      </c>
      <c r="D156" t="s">
        <v>34</v>
      </c>
      <c r="E156" t="s">
        <v>35</v>
      </c>
      <c r="F156" t="s">
        <v>36</v>
      </c>
      <c r="G156">
        <v>1141685</v>
      </c>
      <c r="H156" t="s">
        <v>79</v>
      </c>
      <c r="I156" t="s">
        <v>94</v>
      </c>
      <c r="J156" t="s">
        <v>101</v>
      </c>
      <c r="K156" t="s">
        <v>116</v>
      </c>
      <c r="L156" s="1">
        <v>46143</v>
      </c>
      <c r="M156" s="1">
        <v>46173</v>
      </c>
      <c r="N156">
        <v>8.1139599999999998E-5</v>
      </c>
      <c r="O156" t="s">
        <v>56</v>
      </c>
      <c r="P156" t="s">
        <v>63</v>
      </c>
      <c r="Q156" t="s">
        <v>3459</v>
      </c>
      <c r="R156" t="s">
        <v>3460</v>
      </c>
      <c r="S156" t="s">
        <v>67</v>
      </c>
      <c r="T156" t="s">
        <v>3737</v>
      </c>
      <c r="U156" t="s">
        <v>3738</v>
      </c>
      <c r="V156">
        <v>16</v>
      </c>
      <c r="W156" s="2">
        <v>0.1096555473</v>
      </c>
    </row>
    <row r="157" spans="1:23" x14ac:dyDescent="0.25">
      <c r="A157" t="s">
        <v>31</v>
      </c>
      <c r="B157" t="s">
        <v>32</v>
      </c>
      <c r="C157" t="s">
        <v>33</v>
      </c>
      <c r="D157" t="s">
        <v>34</v>
      </c>
      <c r="E157" t="s">
        <v>35</v>
      </c>
      <c r="F157" t="s">
        <v>36</v>
      </c>
      <c r="G157">
        <v>1141685</v>
      </c>
      <c r="H157" t="s">
        <v>91</v>
      </c>
      <c r="I157" t="s">
        <v>95</v>
      </c>
      <c r="J157" t="s">
        <v>106</v>
      </c>
      <c r="K157" t="s">
        <v>479</v>
      </c>
      <c r="L157" s="1">
        <v>46143</v>
      </c>
      <c r="M157" s="1">
        <v>46173</v>
      </c>
      <c r="N157">
        <v>1.0000000000000001E-5</v>
      </c>
      <c r="O157" t="s">
        <v>58</v>
      </c>
      <c r="P157" t="s">
        <v>63</v>
      </c>
      <c r="Q157" t="s">
        <v>3465</v>
      </c>
      <c r="R157" t="s">
        <v>3460</v>
      </c>
      <c r="S157" t="s">
        <v>67</v>
      </c>
      <c r="T157" t="s">
        <v>3739</v>
      </c>
      <c r="U157" t="s">
        <v>3740</v>
      </c>
      <c r="V157">
        <v>16</v>
      </c>
      <c r="W157" s="2">
        <v>4.8381199999999999E-2</v>
      </c>
    </row>
    <row r="158" spans="1:23" x14ac:dyDescent="0.25">
      <c r="A158" t="s">
        <v>31</v>
      </c>
      <c r="B158" t="s">
        <v>32</v>
      </c>
      <c r="C158" t="s">
        <v>33</v>
      </c>
      <c r="D158" t="s">
        <v>34</v>
      </c>
      <c r="E158" t="s">
        <v>35</v>
      </c>
      <c r="F158" t="s">
        <v>36</v>
      </c>
      <c r="G158">
        <v>1141685</v>
      </c>
      <c r="H158" t="s">
        <v>75</v>
      </c>
      <c r="I158" t="s">
        <v>94</v>
      </c>
      <c r="J158" t="s">
        <v>98</v>
      </c>
      <c r="K158" t="s">
        <v>108</v>
      </c>
      <c r="L158" s="1">
        <v>46143</v>
      </c>
      <c r="M158" s="1">
        <v>46173</v>
      </c>
      <c r="N158">
        <v>3.4526747699999999E-2</v>
      </c>
      <c r="O158" t="s">
        <v>56</v>
      </c>
      <c r="P158" t="s">
        <v>63</v>
      </c>
      <c r="Q158" t="s">
        <v>3459</v>
      </c>
      <c r="R158" t="s">
        <v>3496</v>
      </c>
      <c r="S158" t="s">
        <v>67</v>
      </c>
      <c r="T158" t="s">
        <v>3741</v>
      </c>
      <c r="U158" t="s">
        <v>3742</v>
      </c>
      <c r="V158">
        <v>16</v>
      </c>
      <c r="W158" s="2">
        <v>72.278544332300001</v>
      </c>
    </row>
    <row r="159" spans="1:23" x14ac:dyDescent="0.25">
      <c r="A159" t="s">
        <v>31</v>
      </c>
      <c r="B159" t="s">
        <v>32</v>
      </c>
      <c r="C159" t="s">
        <v>33</v>
      </c>
      <c r="D159" t="s">
        <v>34</v>
      </c>
      <c r="E159" t="s">
        <v>35</v>
      </c>
      <c r="F159" t="s">
        <v>36</v>
      </c>
      <c r="G159">
        <v>1141685</v>
      </c>
      <c r="H159" t="s">
        <v>75</v>
      </c>
      <c r="I159" t="s">
        <v>94</v>
      </c>
      <c r="J159" t="s">
        <v>98</v>
      </c>
      <c r="K159" t="s">
        <v>108</v>
      </c>
      <c r="L159" s="1">
        <v>46143</v>
      </c>
      <c r="M159" s="1">
        <v>46173</v>
      </c>
      <c r="N159">
        <v>0.1320414161</v>
      </c>
      <c r="O159" t="s">
        <v>56</v>
      </c>
      <c r="P159" t="s">
        <v>63</v>
      </c>
      <c r="Q159" t="s">
        <v>3459</v>
      </c>
      <c r="R159" t="s">
        <v>3460</v>
      </c>
      <c r="S159" t="s">
        <v>67</v>
      </c>
      <c r="T159" t="s">
        <v>3743</v>
      </c>
      <c r="U159" t="s">
        <v>3744</v>
      </c>
      <c r="V159">
        <v>16</v>
      </c>
      <c r="W159" s="2">
        <v>276.4295840364</v>
      </c>
    </row>
    <row r="160" spans="1:23" x14ac:dyDescent="0.25">
      <c r="A160" t="s">
        <v>31</v>
      </c>
      <c r="B160" t="s">
        <v>32</v>
      </c>
      <c r="C160" t="s">
        <v>33</v>
      </c>
      <c r="D160" t="s">
        <v>34</v>
      </c>
      <c r="E160" t="s">
        <v>35</v>
      </c>
      <c r="F160" t="s">
        <v>36</v>
      </c>
      <c r="G160">
        <v>1141685</v>
      </c>
      <c r="H160" t="s">
        <v>91</v>
      </c>
      <c r="I160" t="s">
        <v>95</v>
      </c>
      <c r="J160" t="s">
        <v>106</v>
      </c>
      <c r="K160" t="s">
        <v>479</v>
      </c>
      <c r="L160" s="1">
        <v>46143</v>
      </c>
      <c r="M160" s="1">
        <v>46173</v>
      </c>
      <c r="N160">
        <v>0.23333799999999999</v>
      </c>
      <c r="O160" t="s">
        <v>58</v>
      </c>
      <c r="P160" t="s">
        <v>63</v>
      </c>
      <c r="Q160" t="s">
        <v>3465</v>
      </c>
      <c r="R160" t="s">
        <v>3460</v>
      </c>
      <c r="S160" t="s">
        <v>67</v>
      </c>
      <c r="T160" t="s">
        <v>3745</v>
      </c>
      <c r="U160" t="s">
        <v>3746</v>
      </c>
      <c r="V160">
        <v>16</v>
      </c>
      <c r="W160" s="2">
        <v>1017.69924456</v>
      </c>
    </row>
    <row r="161" spans="1:23" x14ac:dyDescent="0.25">
      <c r="A161" t="s">
        <v>31</v>
      </c>
      <c r="B161" t="s">
        <v>32</v>
      </c>
      <c r="C161" t="s">
        <v>33</v>
      </c>
      <c r="D161" t="s">
        <v>34</v>
      </c>
      <c r="E161" t="s">
        <v>35</v>
      </c>
      <c r="F161" t="s">
        <v>36</v>
      </c>
      <c r="G161">
        <v>1141685</v>
      </c>
      <c r="H161" t="s">
        <v>91</v>
      </c>
      <c r="I161" t="s">
        <v>95</v>
      </c>
      <c r="J161" t="s">
        <v>106</v>
      </c>
      <c r="K161" t="s">
        <v>479</v>
      </c>
      <c r="L161" s="1">
        <v>46143</v>
      </c>
      <c r="M161" s="1">
        <v>46173</v>
      </c>
      <c r="N161">
        <v>0.21667</v>
      </c>
      <c r="O161" t="s">
        <v>58</v>
      </c>
      <c r="P161" t="s">
        <v>63</v>
      </c>
      <c r="Q161" t="s">
        <v>3465</v>
      </c>
      <c r="R161" t="s">
        <v>3460</v>
      </c>
      <c r="S161" t="s">
        <v>67</v>
      </c>
      <c r="T161" t="s">
        <v>3466</v>
      </c>
      <c r="U161" t="s">
        <v>3467</v>
      </c>
      <c r="V161">
        <v>16</v>
      </c>
      <c r="W161" s="2">
        <v>945.00546039999995</v>
      </c>
    </row>
    <row r="162" spans="1:23" x14ac:dyDescent="0.25">
      <c r="A162" t="s">
        <v>31</v>
      </c>
      <c r="B162" t="s">
        <v>32</v>
      </c>
      <c r="C162" t="s">
        <v>33</v>
      </c>
      <c r="D162" t="s">
        <v>34</v>
      </c>
      <c r="E162" t="s">
        <v>35</v>
      </c>
      <c r="F162" t="s">
        <v>36</v>
      </c>
      <c r="G162">
        <v>1141685</v>
      </c>
      <c r="H162" t="s">
        <v>77</v>
      </c>
      <c r="I162" t="s">
        <v>96</v>
      </c>
      <c r="J162" t="s">
        <v>77</v>
      </c>
      <c r="K162" t="s">
        <v>113</v>
      </c>
      <c r="L162" s="1">
        <v>46143</v>
      </c>
      <c r="M162" s="1">
        <v>46173</v>
      </c>
      <c r="N162">
        <v>12.034751093900001</v>
      </c>
      <c r="O162" t="s">
        <v>56</v>
      </c>
      <c r="P162" t="s">
        <v>63</v>
      </c>
      <c r="Q162" t="s">
        <v>3459</v>
      </c>
      <c r="R162" t="s">
        <v>3496</v>
      </c>
      <c r="S162" t="s">
        <v>67</v>
      </c>
      <c r="T162" t="s">
        <v>3747</v>
      </c>
      <c r="U162" t="s">
        <v>3748</v>
      </c>
      <c r="V162">
        <v>16</v>
      </c>
      <c r="W162" s="2">
        <v>2099.5827547455001</v>
      </c>
    </row>
    <row r="163" spans="1:23" x14ac:dyDescent="0.25">
      <c r="A163" t="s">
        <v>31</v>
      </c>
      <c r="B163" t="s">
        <v>32</v>
      </c>
      <c r="C163" t="s">
        <v>33</v>
      </c>
      <c r="D163" t="s">
        <v>34</v>
      </c>
      <c r="E163" t="s">
        <v>35</v>
      </c>
      <c r="F163" t="s">
        <v>36</v>
      </c>
      <c r="G163">
        <v>1141685</v>
      </c>
      <c r="H163" t="s">
        <v>77</v>
      </c>
      <c r="I163" t="s">
        <v>96</v>
      </c>
      <c r="J163" t="s">
        <v>77</v>
      </c>
      <c r="K163" t="s">
        <v>113</v>
      </c>
      <c r="L163" s="1">
        <v>46143</v>
      </c>
      <c r="M163" s="1">
        <v>46173</v>
      </c>
      <c r="N163">
        <v>24.795450939799998</v>
      </c>
      <c r="O163" t="s">
        <v>56</v>
      </c>
      <c r="P163" t="s">
        <v>63</v>
      </c>
      <c r="Q163" t="s">
        <v>3459</v>
      </c>
      <c r="R163" t="s">
        <v>3460</v>
      </c>
      <c r="S163" t="s">
        <v>67</v>
      </c>
      <c r="T163" t="s">
        <v>3749</v>
      </c>
      <c r="U163" t="s">
        <v>3750</v>
      </c>
      <c r="V163">
        <v>15</v>
      </c>
      <c r="W163" s="2">
        <v>4325.8166464421001</v>
      </c>
    </row>
    <row r="164" spans="1:23" x14ac:dyDescent="0.25">
      <c r="A164" t="s">
        <v>31</v>
      </c>
      <c r="B164" t="s">
        <v>32</v>
      </c>
      <c r="C164" t="s">
        <v>33</v>
      </c>
      <c r="D164" t="s">
        <v>34</v>
      </c>
      <c r="E164" t="s">
        <v>35</v>
      </c>
      <c r="F164" t="s">
        <v>36</v>
      </c>
      <c r="G164">
        <v>1141685</v>
      </c>
      <c r="H164" t="s">
        <v>77</v>
      </c>
      <c r="I164" t="s">
        <v>96</v>
      </c>
      <c r="J164" t="s">
        <v>77</v>
      </c>
      <c r="K164" t="s">
        <v>113</v>
      </c>
      <c r="L164" s="1">
        <v>46143</v>
      </c>
      <c r="M164" s="1">
        <v>46173</v>
      </c>
      <c r="N164">
        <v>106.8458057558</v>
      </c>
      <c r="O164" t="s">
        <v>56</v>
      </c>
      <c r="P164" t="s">
        <v>63</v>
      </c>
      <c r="Q164" t="s">
        <v>3459</v>
      </c>
      <c r="R164" t="s">
        <v>3460</v>
      </c>
      <c r="S164" t="s">
        <v>67</v>
      </c>
      <c r="T164" t="s">
        <v>3751</v>
      </c>
      <c r="U164" t="s">
        <v>3752</v>
      </c>
      <c r="V164">
        <v>16</v>
      </c>
      <c r="W164" s="2">
        <v>18640.320959500601</v>
      </c>
    </row>
    <row r="165" spans="1:23" x14ac:dyDescent="0.25">
      <c r="A165" t="s">
        <v>31</v>
      </c>
      <c r="B165" t="s">
        <v>32</v>
      </c>
      <c r="C165" t="s">
        <v>33</v>
      </c>
      <c r="D165" t="s">
        <v>34</v>
      </c>
      <c r="E165" t="s">
        <v>35</v>
      </c>
      <c r="F165" t="s">
        <v>36</v>
      </c>
      <c r="G165">
        <v>1141685</v>
      </c>
      <c r="H165" t="s">
        <v>79</v>
      </c>
      <c r="I165" t="s">
        <v>94</v>
      </c>
      <c r="J165" t="s">
        <v>101</v>
      </c>
      <c r="K165" t="s">
        <v>116</v>
      </c>
      <c r="L165" s="1">
        <v>46143</v>
      </c>
      <c r="M165" s="1">
        <v>46173</v>
      </c>
      <c r="N165">
        <v>0.14210713280000001</v>
      </c>
      <c r="O165" t="s">
        <v>56</v>
      </c>
      <c r="P165" t="s">
        <v>63</v>
      </c>
      <c r="Q165" t="s">
        <v>3459</v>
      </c>
      <c r="R165" t="s">
        <v>3496</v>
      </c>
      <c r="S165" t="s">
        <v>67</v>
      </c>
      <c r="T165" t="s">
        <v>3753</v>
      </c>
      <c r="U165" t="s">
        <v>3754</v>
      </c>
      <c r="V165">
        <v>16</v>
      </c>
      <c r="W165" s="2">
        <v>198.33575315920001</v>
      </c>
    </row>
    <row r="166" spans="1:23" x14ac:dyDescent="0.25">
      <c r="A166" t="s">
        <v>31</v>
      </c>
      <c r="B166" t="s">
        <v>32</v>
      </c>
      <c r="C166" t="s">
        <v>33</v>
      </c>
      <c r="D166" t="s">
        <v>34</v>
      </c>
      <c r="E166" t="s">
        <v>35</v>
      </c>
      <c r="F166" t="s">
        <v>36</v>
      </c>
      <c r="G166">
        <v>1141685</v>
      </c>
      <c r="H166" t="s">
        <v>79</v>
      </c>
      <c r="I166" t="s">
        <v>94</v>
      </c>
      <c r="J166" t="s">
        <v>101</v>
      </c>
      <c r="K166" t="s">
        <v>116</v>
      </c>
      <c r="L166" s="1">
        <v>46143</v>
      </c>
      <c r="M166" s="1">
        <v>46173</v>
      </c>
      <c r="N166">
        <v>5.2612299999999998E-5</v>
      </c>
      <c r="O166" t="s">
        <v>56</v>
      </c>
      <c r="P166" t="s">
        <v>63</v>
      </c>
      <c r="Q166" t="s">
        <v>3459</v>
      </c>
      <c r="R166" t="s">
        <v>3529</v>
      </c>
      <c r="S166" t="s">
        <v>67</v>
      </c>
      <c r="T166" t="s">
        <v>3755</v>
      </c>
      <c r="U166" t="s">
        <v>3756</v>
      </c>
      <c r="V166">
        <v>17</v>
      </c>
      <c r="W166" s="2">
        <v>7.461831179999999E-2</v>
      </c>
    </row>
    <row r="167" spans="1:23" x14ac:dyDescent="0.25">
      <c r="A167" t="s">
        <v>31</v>
      </c>
      <c r="B167" t="s">
        <v>32</v>
      </c>
      <c r="C167" t="s">
        <v>33</v>
      </c>
      <c r="D167" t="s">
        <v>34</v>
      </c>
      <c r="E167" t="s">
        <v>35</v>
      </c>
      <c r="F167" t="s">
        <v>36</v>
      </c>
      <c r="G167">
        <v>1141685</v>
      </c>
      <c r="H167" t="s">
        <v>79</v>
      </c>
      <c r="I167" t="s">
        <v>94</v>
      </c>
      <c r="J167" t="s">
        <v>101</v>
      </c>
      <c r="K167" t="s">
        <v>116</v>
      </c>
      <c r="L167" s="1">
        <v>46143</v>
      </c>
      <c r="M167" s="1">
        <v>46173</v>
      </c>
      <c r="N167">
        <v>1.9448799999999999E-5</v>
      </c>
      <c r="O167" t="s">
        <v>56</v>
      </c>
      <c r="P167" t="s">
        <v>63</v>
      </c>
      <c r="Q167" t="s">
        <v>3459</v>
      </c>
      <c r="R167" t="s">
        <v>3460</v>
      </c>
      <c r="S167" t="s">
        <v>67</v>
      </c>
      <c r="T167" t="s">
        <v>3757</v>
      </c>
      <c r="U167" t="s">
        <v>3758</v>
      </c>
      <c r="V167">
        <v>16</v>
      </c>
      <c r="W167" s="2">
        <v>2.3886996399999999E-2</v>
      </c>
    </row>
    <row r="168" spans="1:23" x14ac:dyDescent="0.25">
      <c r="A168" t="s">
        <v>31</v>
      </c>
      <c r="B168" t="s">
        <v>32</v>
      </c>
      <c r="C168" t="s">
        <v>33</v>
      </c>
      <c r="D168" t="s">
        <v>34</v>
      </c>
      <c r="E168" t="s">
        <v>35</v>
      </c>
      <c r="F168" t="s">
        <v>36</v>
      </c>
      <c r="G168">
        <v>1141685</v>
      </c>
      <c r="H168" t="s">
        <v>77</v>
      </c>
      <c r="I168" t="s">
        <v>96</v>
      </c>
      <c r="J168" t="s">
        <v>77</v>
      </c>
      <c r="K168" t="s">
        <v>113</v>
      </c>
      <c r="L168" s="1">
        <v>46143</v>
      </c>
      <c r="M168" s="1">
        <v>46173</v>
      </c>
      <c r="N168">
        <v>7.4711929363999996</v>
      </c>
      <c r="O168" t="s">
        <v>56</v>
      </c>
      <c r="P168" t="s">
        <v>63</v>
      </c>
      <c r="Q168" t="s">
        <v>3459</v>
      </c>
      <c r="R168" t="s">
        <v>3460</v>
      </c>
      <c r="S168" t="s">
        <v>67</v>
      </c>
      <c r="T168" t="s">
        <v>3759</v>
      </c>
      <c r="U168" t="s">
        <v>3760</v>
      </c>
      <c r="V168">
        <v>15</v>
      </c>
      <c r="W168" s="2">
        <v>1303.4234013235</v>
      </c>
    </row>
    <row r="169" spans="1:23" x14ac:dyDescent="0.25">
      <c r="A169" t="s">
        <v>31</v>
      </c>
      <c r="B169" t="s">
        <v>32</v>
      </c>
      <c r="C169" t="s">
        <v>33</v>
      </c>
      <c r="D169" t="s">
        <v>34</v>
      </c>
      <c r="E169" t="s">
        <v>35</v>
      </c>
      <c r="F169" t="s">
        <v>36</v>
      </c>
      <c r="G169">
        <v>1141685</v>
      </c>
      <c r="H169" t="s">
        <v>91</v>
      </c>
      <c r="I169" t="s">
        <v>95</v>
      </c>
      <c r="J169" t="s">
        <v>106</v>
      </c>
      <c r="K169" t="s">
        <v>129</v>
      </c>
      <c r="L169" s="1">
        <v>46143</v>
      </c>
      <c r="M169" s="1">
        <v>46173</v>
      </c>
      <c r="N169">
        <v>0.20000399999999999</v>
      </c>
      <c r="O169" t="s">
        <v>58</v>
      </c>
      <c r="P169" t="s">
        <v>63</v>
      </c>
      <c r="Q169" t="s">
        <v>3465</v>
      </c>
      <c r="R169" t="s">
        <v>3496</v>
      </c>
      <c r="S169" t="s">
        <v>67</v>
      </c>
      <c r="T169" t="s">
        <v>3761</v>
      </c>
      <c r="U169" t="s">
        <v>3762</v>
      </c>
      <c r="V169">
        <v>16</v>
      </c>
      <c r="W169" s="2">
        <v>436.15967624000001</v>
      </c>
    </row>
    <row r="170" spans="1:23" x14ac:dyDescent="0.25">
      <c r="A170" t="s">
        <v>31</v>
      </c>
      <c r="B170" t="s">
        <v>32</v>
      </c>
      <c r="C170" t="s">
        <v>33</v>
      </c>
      <c r="D170" t="s">
        <v>34</v>
      </c>
      <c r="E170" t="s">
        <v>35</v>
      </c>
      <c r="F170" t="s">
        <v>36</v>
      </c>
      <c r="G170">
        <v>1141685</v>
      </c>
      <c r="H170" t="s">
        <v>91</v>
      </c>
      <c r="I170" t="s">
        <v>95</v>
      </c>
      <c r="J170" t="s">
        <v>106</v>
      </c>
      <c r="K170" t="s">
        <v>129</v>
      </c>
      <c r="L170" s="1">
        <v>46143</v>
      </c>
      <c r="M170" s="1">
        <v>46173</v>
      </c>
      <c r="N170">
        <v>0.23333699999999999</v>
      </c>
      <c r="O170" t="s">
        <v>58</v>
      </c>
      <c r="P170" t="s">
        <v>63</v>
      </c>
      <c r="Q170" t="s">
        <v>3465</v>
      </c>
      <c r="R170" t="s">
        <v>3496</v>
      </c>
      <c r="S170" t="s">
        <v>67</v>
      </c>
      <c r="T170" t="s">
        <v>3763</v>
      </c>
      <c r="U170" t="s">
        <v>3764</v>
      </c>
      <c r="V170">
        <v>16</v>
      </c>
      <c r="W170" s="2">
        <v>508.84770322000003</v>
      </c>
    </row>
    <row r="171" spans="1:23" x14ac:dyDescent="0.25">
      <c r="A171" t="s">
        <v>31</v>
      </c>
      <c r="B171" t="s">
        <v>32</v>
      </c>
      <c r="C171" t="s">
        <v>33</v>
      </c>
      <c r="D171" t="s">
        <v>34</v>
      </c>
      <c r="E171" t="s">
        <v>35</v>
      </c>
      <c r="F171" t="s">
        <v>36</v>
      </c>
      <c r="G171">
        <v>1141685</v>
      </c>
      <c r="H171" t="s">
        <v>91</v>
      </c>
      <c r="I171" t="s">
        <v>95</v>
      </c>
      <c r="J171" t="s">
        <v>106</v>
      </c>
      <c r="K171" t="s">
        <v>129</v>
      </c>
      <c r="L171" s="1">
        <v>46143</v>
      </c>
      <c r="M171" s="1">
        <v>46173</v>
      </c>
      <c r="N171">
        <v>5.900112</v>
      </c>
      <c r="O171" t="s">
        <v>58</v>
      </c>
      <c r="P171" t="s">
        <v>63</v>
      </c>
      <c r="Q171" t="s">
        <v>3465</v>
      </c>
      <c r="R171" t="s">
        <v>3496</v>
      </c>
      <c r="S171" t="s">
        <v>67</v>
      </c>
      <c r="T171" t="s">
        <v>3765</v>
      </c>
      <c r="U171" t="s">
        <v>3766</v>
      </c>
      <c r="V171">
        <v>16</v>
      </c>
      <c r="W171" s="2">
        <v>12866.668934720001</v>
      </c>
    </row>
    <row r="172" spans="1:23" x14ac:dyDescent="0.25">
      <c r="A172" t="s">
        <v>31</v>
      </c>
      <c r="B172" t="s">
        <v>32</v>
      </c>
      <c r="C172" t="s">
        <v>33</v>
      </c>
      <c r="D172" t="s">
        <v>34</v>
      </c>
      <c r="E172" t="s">
        <v>35</v>
      </c>
      <c r="F172" t="s">
        <v>36</v>
      </c>
      <c r="G172">
        <v>1141685</v>
      </c>
      <c r="H172" t="s">
        <v>91</v>
      </c>
      <c r="I172" t="s">
        <v>95</v>
      </c>
      <c r="J172" t="s">
        <v>106</v>
      </c>
      <c r="K172" t="s">
        <v>129</v>
      </c>
      <c r="L172" s="1">
        <v>46143</v>
      </c>
      <c r="M172" s="1">
        <v>46173</v>
      </c>
      <c r="N172">
        <v>0.21667</v>
      </c>
      <c r="O172" t="s">
        <v>58</v>
      </c>
      <c r="P172" t="s">
        <v>63</v>
      </c>
      <c r="Q172" t="s">
        <v>3465</v>
      </c>
      <c r="R172" t="s">
        <v>3496</v>
      </c>
      <c r="S172" t="s">
        <v>67</v>
      </c>
      <c r="T172" t="s">
        <v>3767</v>
      </c>
      <c r="U172" t="s">
        <v>3768</v>
      </c>
      <c r="V172">
        <v>16</v>
      </c>
      <c r="W172" s="2">
        <v>472.50273019999997</v>
      </c>
    </row>
    <row r="173" spans="1:23" x14ac:dyDescent="0.25">
      <c r="A173" t="s">
        <v>31</v>
      </c>
      <c r="B173" t="s">
        <v>32</v>
      </c>
      <c r="C173" t="s">
        <v>33</v>
      </c>
      <c r="D173" t="s">
        <v>34</v>
      </c>
      <c r="E173" t="s">
        <v>35</v>
      </c>
      <c r="F173" t="s">
        <v>36</v>
      </c>
      <c r="G173">
        <v>1141685</v>
      </c>
      <c r="H173" t="s">
        <v>82</v>
      </c>
      <c r="I173" t="s">
        <v>82</v>
      </c>
      <c r="J173" t="s">
        <v>82</v>
      </c>
      <c r="K173" t="s">
        <v>118</v>
      </c>
      <c r="L173" s="1">
        <v>46143</v>
      </c>
      <c r="M173" s="1">
        <v>46173</v>
      </c>
      <c r="N173">
        <v>0.123735</v>
      </c>
      <c r="O173" t="s">
        <v>60</v>
      </c>
      <c r="P173" t="s">
        <v>63</v>
      </c>
      <c r="Q173" t="s">
        <v>3468</v>
      </c>
      <c r="R173" t="s">
        <v>149</v>
      </c>
      <c r="S173" t="s">
        <v>68</v>
      </c>
      <c r="T173" t="s">
        <v>3769</v>
      </c>
      <c r="U173" t="s">
        <v>3770</v>
      </c>
      <c r="V173">
        <v>7</v>
      </c>
      <c r="W173" s="2">
        <v>863.47564511780001</v>
      </c>
    </row>
    <row r="174" spans="1:23" x14ac:dyDescent="0.25">
      <c r="A174" t="s">
        <v>31</v>
      </c>
      <c r="B174" t="s">
        <v>32</v>
      </c>
      <c r="C174" t="s">
        <v>33</v>
      </c>
      <c r="D174" t="s">
        <v>34</v>
      </c>
      <c r="E174" t="s">
        <v>35</v>
      </c>
      <c r="F174" t="s">
        <v>36</v>
      </c>
      <c r="G174">
        <v>1141685</v>
      </c>
      <c r="H174" t="s">
        <v>75</v>
      </c>
      <c r="I174" t="s">
        <v>94</v>
      </c>
      <c r="J174" t="s">
        <v>98</v>
      </c>
      <c r="K174" t="s">
        <v>108</v>
      </c>
      <c r="L174" s="1">
        <v>46143</v>
      </c>
      <c r="M174" s="1">
        <v>46173</v>
      </c>
      <c r="N174">
        <v>2.2587505075999998</v>
      </c>
      <c r="O174" t="s">
        <v>56</v>
      </c>
      <c r="P174" t="s">
        <v>63</v>
      </c>
      <c r="Q174" t="s">
        <v>3459</v>
      </c>
      <c r="R174" t="s">
        <v>3529</v>
      </c>
      <c r="S174" t="s">
        <v>67</v>
      </c>
      <c r="T174" t="s">
        <v>3771</v>
      </c>
      <c r="U174" t="s">
        <v>3772</v>
      </c>
      <c r="V174">
        <v>17</v>
      </c>
      <c r="W174" s="2">
        <v>4728.7406391628001</v>
      </c>
    </row>
    <row r="175" spans="1:23" x14ac:dyDescent="0.25">
      <c r="A175" t="s">
        <v>31</v>
      </c>
      <c r="B175" t="s">
        <v>32</v>
      </c>
      <c r="C175" t="s">
        <v>33</v>
      </c>
      <c r="D175" t="s">
        <v>34</v>
      </c>
      <c r="E175" t="s">
        <v>35</v>
      </c>
      <c r="F175" t="s">
        <v>36</v>
      </c>
      <c r="G175">
        <v>1141685</v>
      </c>
      <c r="H175" t="s">
        <v>75</v>
      </c>
      <c r="I175" t="s">
        <v>94</v>
      </c>
      <c r="J175" t="s">
        <v>98</v>
      </c>
      <c r="K175" t="s">
        <v>108</v>
      </c>
      <c r="L175" s="1">
        <v>46143</v>
      </c>
      <c r="M175" s="1">
        <v>46173</v>
      </c>
      <c r="N175">
        <v>0.54648093689999999</v>
      </c>
      <c r="O175" t="s">
        <v>56</v>
      </c>
      <c r="P175" t="s">
        <v>63</v>
      </c>
      <c r="Q175" t="s">
        <v>3459</v>
      </c>
      <c r="R175" t="s">
        <v>3496</v>
      </c>
      <c r="S175" t="s">
        <v>67</v>
      </c>
      <c r="T175" t="s">
        <v>3773</v>
      </c>
      <c r="U175" t="s">
        <v>3774</v>
      </c>
      <c r="V175">
        <v>15</v>
      </c>
      <c r="W175" s="2">
        <v>1047.4228303723</v>
      </c>
    </row>
    <row r="176" spans="1:23" x14ac:dyDescent="0.25">
      <c r="A176" t="s">
        <v>31</v>
      </c>
      <c r="B176" t="s">
        <v>32</v>
      </c>
      <c r="C176" t="s">
        <v>33</v>
      </c>
      <c r="D176" t="s">
        <v>34</v>
      </c>
      <c r="E176" t="s">
        <v>35</v>
      </c>
      <c r="F176" t="s">
        <v>36</v>
      </c>
      <c r="G176">
        <v>1141685</v>
      </c>
      <c r="H176" t="s">
        <v>75</v>
      </c>
      <c r="I176" t="s">
        <v>94</v>
      </c>
      <c r="J176" t="s">
        <v>98</v>
      </c>
      <c r="K176" t="s">
        <v>108</v>
      </c>
      <c r="L176" s="1">
        <v>46143</v>
      </c>
      <c r="M176" s="1">
        <v>46173</v>
      </c>
      <c r="N176">
        <v>1.1337E-5</v>
      </c>
      <c r="O176" t="s">
        <v>56</v>
      </c>
      <c r="P176" t="s">
        <v>63</v>
      </c>
      <c r="Q176" t="s">
        <v>3459</v>
      </c>
      <c r="R176" t="s">
        <v>3460</v>
      </c>
      <c r="S176" t="s">
        <v>67</v>
      </c>
      <c r="T176" t="s">
        <v>3775</v>
      </c>
      <c r="U176" t="s">
        <v>3776</v>
      </c>
      <c r="V176">
        <v>15</v>
      </c>
      <c r="W176" s="2">
        <v>2.0886108699999999E-2</v>
      </c>
    </row>
    <row r="177" spans="1:23" x14ac:dyDescent="0.25">
      <c r="A177" t="s">
        <v>31</v>
      </c>
      <c r="B177" t="s">
        <v>32</v>
      </c>
      <c r="C177" t="s">
        <v>33</v>
      </c>
      <c r="D177" t="s">
        <v>34</v>
      </c>
      <c r="E177" t="s">
        <v>35</v>
      </c>
      <c r="F177" t="s">
        <v>36</v>
      </c>
      <c r="G177">
        <v>1141685</v>
      </c>
      <c r="H177" t="s">
        <v>75</v>
      </c>
      <c r="I177" t="s">
        <v>94</v>
      </c>
      <c r="J177" t="s">
        <v>98</v>
      </c>
      <c r="K177" t="s">
        <v>108</v>
      </c>
      <c r="L177" s="1">
        <v>46143</v>
      </c>
      <c r="M177" s="1">
        <v>46173</v>
      </c>
      <c r="N177">
        <v>7.3304000000000002E-6</v>
      </c>
      <c r="O177" t="s">
        <v>56</v>
      </c>
      <c r="P177" t="s">
        <v>63</v>
      </c>
      <c r="Q177" t="s">
        <v>3459</v>
      </c>
      <c r="R177" t="s">
        <v>3496</v>
      </c>
      <c r="S177" t="s">
        <v>67</v>
      </c>
      <c r="T177" t="s">
        <v>3777</v>
      </c>
      <c r="U177" t="s">
        <v>3778</v>
      </c>
      <c r="V177">
        <v>16</v>
      </c>
      <c r="W177" s="2">
        <v>1.35048518E-2</v>
      </c>
    </row>
    <row r="178" spans="1:23" x14ac:dyDescent="0.25">
      <c r="A178" t="s">
        <v>31</v>
      </c>
      <c r="B178" t="s">
        <v>32</v>
      </c>
      <c r="C178" t="s">
        <v>33</v>
      </c>
      <c r="D178" t="s">
        <v>34</v>
      </c>
      <c r="E178" t="s">
        <v>35</v>
      </c>
      <c r="F178" t="s">
        <v>36</v>
      </c>
      <c r="G178">
        <v>1141685</v>
      </c>
      <c r="H178" t="s">
        <v>91</v>
      </c>
      <c r="I178" t="s">
        <v>95</v>
      </c>
      <c r="J178" t="s">
        <v>106</v>
      </c>
      <c r="K178" t="s">
        <v>129</v>
      </c>
      <c r="L178" s="1">
        <v>46143</v>
      </c>
      <c r="M178" s="1">
        <v>46173</v>
      </c>
      <c r="N178">
        <v>0.16666900000000001</v>
      </c>
      <c r="O178" t="s">
        <v>58</v>
      </c>
      <c r="P178" t="s">
        <v>63</v>
      </c>
      <c r="Q178" t="s">
        <v>3465</v>
      </c>
      <c r="R178" t="s">
        <v>3496</v>
      </c>
      <c r="S178" t="s">
        <v>67</v>
      </c>
      <c r="T178" t="s">
        <v>3779</v>
      </c>
      <c r="U178" t="s">
        <v>3780</v>
      </c>
      <c r="V178">
        <v>16</v>
      </c>
      <c r="W178" s="2">
        <v>363.46781113999998</v>
      </c>
    </row>
    <row r="179" spans="1:23" x14ac:dyDescent="0.25">
      <c r="A179" t="s">
        <v>31</v>
      </c>
      <c r="B179" t="s">
        <v>32</v>
      </c>
      <c r="C179" t="s">
        <v>33</v>
      </c>
      <c r="D179" t="s">
        <v>34</v>
      </c>
      <c r="E179" t="s">
        <v>35</v>
      </c>
      <c r="F179" t="s">
        <v>36</v>
      </c>
      <c r="G179">
        <v>1141685</v>
      </c>
      <c r="H179" t="s">
        <v>85</v>
      </c>
      <c r="I179" t="s">
        <v>85</v>
      </c>
      <c r="J179" t="s">
        <v>85</v>
      </c>
      <c r="K179" t="s">
        <v>123</v>
      </c>
      <c r="L179" s="1">
        <v>46143</v>
      </c>
      <c r="M179" s="1">
        <v>46173</v>
      </c>
      <c r="N179">
        <v>39744</v>
      </c>
      <c r="O179" t="s">
        <v>61</v>
      </c>
      <c r="P179" t="s">
        <v>63</v>
      </c>
      <c r="Q179" t="s">
        <v>3472</v>
      </c>
      <c r="R179" t="s">
        <v>3781</v>
      </c>
      <c r="S179" t="s">
        <v>66</v>
      </c>
      <c r="T179" t="s">
        <v>220</v>
      </c>
      <c r="U179" t="s">
        <v>375</v>
      </c>
      <c r="V179">
        <v>6</v>
      </c>
      <c r="W179" s="2">
        <v>405623.6845952</v>
      </c>
    </row>
    <row r="180" spans="1:23" x14ac:dyDescent="0.25">
      <c r="A180" t="s">
        <v>31</v>
      </c>
      <c r="B180" t="s">
        <v>32</v>
      </c>
      <c r="C180" t="s">
        <v>33</v>
      </c>
      <c r="D180" t="s">
        <v>34</v>
      </c>
      <c r="E180" t="s">
        <v>35</v>
      </c>
      <c r="F180" t="s">
        <v>36</v>
      </c>
      <c r="G180">
        <v>1141685</v>
      </c>
      <c r="H180" t="s">
        <v>82</v>
      </c>
      <c r="I180" t="s">
        <v>82</v>
      </c>
      <c r="J180" t="s">
        <v>82</v>
      </c>
      <c r="K180" t="s">
        <v>120</v>
      </c>
      <c r="L180" s="1">
        <v>46143</v>
      </c>
      <c r="M180" s="1">
        <v>46173</v>
      </c>
      <c r="N180">
        <v>1</v>
      </c>
      <c r="O180" t="s">
        <v>61</v>
      </c>
      <c r="P180" t="s">
        <v>63</v>
      </c>
      <c r="Q180" t="s">
        <v>3468</v>
      </c>
      <c r="R180" t="s">
        <v>149</v>
      </c>
      <c r="S180" t="s">
        <v>68</v>
      </c>
      <c r="T180" t="s">
        <v>3782</v>
      </c>
      <c r="U180" t="s">
        <v>3783</v>
      </c>
      <c r="V180">
        <v>7</v>
      </c>
      <c r="W180" s="2">
        <v>2691.9341720419998</v>
      </c>
    </row>
    <row r="181" spans="1:23" x14ac:dyDescent="0.25">
      <c r="A181" t="s">
        <v>31</v>
      </c>
      <c r="B181" t="s">
        <v>32</v>
      </c>
      <c r="C181" t="s">
        <v>33</v>
      </c>
      <c r="D181" t="s">
        <v>34</v>
      </c>
      <c r="E181" t="s">
        <v>35</v>
      </c>
      <c r="F181" t="s">
        <v>36</v>
      </c>
      <c r="G181">
        <v>1141685</v>
      </c>
      <c r="H181" t="s">
        <v>82</v>
      </c>
      <c r="I181" t="s">
        <v>82</v>
      </c>
      <c r="J181" t="s">
        <v>82</v>
      </c>
      <c r="K181" t="s">
        <v>120</v>
      </c>
      <c r="L181" s="1">
        <v>46143</v>
      </c>
      <c r="M181" s="1">
        <v>46173</v>
      </c>
      <c r="N181">
        <v>1</v>
      </c>
      <c r="O181" t="s">
        <v>61</v>
      </c>
      <c r="P181" t="s">
        <v>63</v>
      </c>
      <c r="Q181" t="s">
        <v>3468</v>
      </c>
      <c r="R181" t="s">
        <v>148</v>
      </c>
      <c r="S181" t="s">
        <v>68</v>
      </c>
      <c r="T181" t="s">
        <v>3784</v>
      </c>
      <c r="U181" t="s">
        <v>3785</v>
      </c>
      <c r="V181">
        <v>7</v>
      </c>
      <c r="W181" s="2">
        <v>2701.3181935473999</v>
      </c>
    </row>
    <row r="182" spans="1:23" x14ac:dyDescent="0.25">
      <c r="A182" t="s">
        <v>31</v>
      </c>
      <c r="B182" t="s">
        <v>32</v>
      </c>
      <c r="C182" t="s">
        <v>33</v>
      </c>
      <c r="D182" t="s">
        <v>34</v>
      </c>
      <c r="E182" t="s">
        <v>35</v>
      </c>
      <c r="F182" t="s">
        <v>36</v>
      </c>
      <c r="G182">
        <v>1141685</v>
      </c>
      <c r="H182" t="s">
        <v>82</v>
      </c>
      <c r="I182" t="s">
        <v>82</v>
      </c>
      <c r="J182" t="s">
        <v>82</v>
      </c>
      <c r="K182" t="s">
        <v>120</v>
      </c>
      <c r="L182" s="1">
        <v>46143</v>
      </c>
      <c r="M182" s="1">
        <v>46173</v>
      </c>
      <c r="N182">
        <v>1</v>
      </c>
      <c r="O182" t="s">
        <v>61</v>
      </c>
      <c r="P182" t="s">
        <v>63</v>
      </c>
      <c r="Q182" t="s">
        <v>3468</v>
      </c>
      <c r="R182" t="s">
        <v>147</v>
      </c>
      <c r="S182" t="s">
        <v>68</v>
      </c>
      <c r="T182" t="s">
        <v>256</v>
      </c>
      <c r="U182" t="s">
        <v>411</v>
      </c>
      <c r="V182">
        <v>6</v>
      </c>
      <c r="W182" s="2">
        <v>2691.9341720419998</v>
      </c>
    </row>
    <row r="183" spans="1:23" x14ac:dyDescent="0.25">
      <c r="A183" t="s">
        <v>31</v>
      </c>
      <c r="B183" t="s">
        <v>32</v>
      </c>
      <c r="C183" t="s">
        <v>33</v>
      </c>
      <c r="D183" t="s">
        <v>34</v>
      </c>
      <c r="E183" t="s">
        <v>35</v>
      </c>
      <c r="F183" t="s">
        <v>36</v>
      </c>
      <c r="G183">
        <v>1141685</v>
      </c>
      <c r="H183" t="s">
        <v>38</v>
      </c>
      <c r="I183" t="s">
        <v>38</v>
      </c>
      <c r="J183" t="s">
        <v>38</v>
      </c>
      <c r="K183" t="s">
        <v>53</v>
      </c>
      <c r="L183" s="1">
        <v>46143</v>
      </c>
      <c r="M183" s="1">
        <v>46173</v>
      </c>
      <c r="N183">
        <v>1.79937417E-2</v>
      </c>
      <c r="O183" t="s">
        <v>57</v>
      </c>
      <c r="P183" t="s">
        <v>63</v>
      </c>
      <c r="Q183" t="s">
        <v>3472</v>
      </c>
      <c r="R183" t="s">
        <v>3574</v>
      </c>
      <c r="S183" t="s">
        <v>66</v>
      </c>
      <c r="T183" t="s">
        <v>3786</v>
      </c>
      <c r="U183" t="s">
        <v>3787</v>
      </c>
      <c r="V183">
        <v>6</v>
      </c>
      <c r="W183" s="2">
        <v>44.0752976964</v>
      </c>
    </row>
    <row r="184" spans="1:23" x14ac:dyDescent="0.25">
      <c r="A184" t="s">
        <v>31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>
        <v>1141685</v>
      </c>
      <c r="H184" t="s">
        <v>92</v>
      </c>
      <c r="I184" t="s">
        <v>97</v>
      </c>
      <c r="J184" t="s">
        <v>107</v>
      </c>
      <c r="K184" t="s">
        <v>130</v>
      </c>
      <c r="L184" s="1">
        <v>46143</v>
      </c>
      <c r="M184" s="1">
        <v>46173</v>
      </c>
      <c r="N184">
        <v>41.6</v>
      </c>
      <c r="O184" t="s">
        <v>57</v>
      </c>
      <c r="P184" t="s">
        <v>63</v>
      </c>
      <c r="Q184" t="s">
        <v>3472</v>
      </c>
      <c r="R184" t="s">
        <v>3473</v>
      </c>
      <c r="S184" t="s">
        <v>67</v>
      </c>
      <c r="T184" t="s">
        <v>1463</v>
      </c>
      <c r="U184" t="s">
        <v>1603</v>
      </c>
      <c r="V184">
        <v>6</v>
      </c>
      <c r="W184" s="2">
        <v>100153.9971839958</v>
      </c>
    </row>
    <row r="185" spans="1:23" x14ac:dyDescent="0.25">
      <c r="A185" t="s">
        <v>31</v>
      </c>
      <c r="B185" t="s">
        <v>32</v>
      </c>
      <c r="C185" t="s">
        <v>33</v>
      </c>
      <c r="D185" t="s">
        <v>34</v>
      </c>
      <c r="E185" t="s">
        <v>35</v>
      </c>
      <c r="F185" t="s">
        <v>36</v>
      </c>
      <c r="G185">
        <v>1141685</v>
      </c>
      <c r="H185" t="s">
        <v>91</v>
      </c>
      <c r="I185" t="s">
        <v>95</v>
      </c>
      <c r="J185" t="s">
        <v>106</v>
      </c>
      <c r="K185" t="s">
        <v>129</v>
      </c>
      <c r="L185" s="1">
        <v>46143</v>
      </c>
      <c r="M185" s="1">
        <v>46173</v>
      </c>
      <c r="N185">
        <v>0.48334199999999999</v>
      </c>
      <c r="O185" t="s">
        <v>58</v>
      </c>
      <c r="P185" t="s">
        <v>63</v>
      </c>
      <c r="Q185" t="s">
        <v>3465</v>
      </c>
      <c r="R185" t="s">
        <v>3496</v>
      </c>
      <c r="S185" t="s">
        <v>67</v>
      </c>
      <c r="T185" t="s">
        <v>3788</v>
      </c>
      <c r="U185" t="s">
        <v>3789</v>
      </c>
      <c r="V185">
        <v>16</v>
      </c>
      <c r="W185" s="2">
        <v>1054.05229852</v>
      </c>
    </row>
    <row r="186" spans="1:23" x14ac:dyDescent="0.25">
      <c r="A186" t="s">
        <v>31</v>
      </c>
      <c r="B186" t="s">
        <v>32</v>
      </c>
      <c r="C186" t="s">
        <v>33</v>
      </c>
      <c r="D186" t="s">
        <v>34</v>
      </c>
      <c r="E186" t="s">
        <v>35</v>
      </c>
      <c r="F186" t="s">
        <v>36</v>
      </c>
      <c r="G186">
        <v>1141685</v>
      </c>
      <c r="H186" t="s">
        <v>78</v>
      </c>
      <c r="I186" t="s">
        <v>96</v>
      </c>
      <c r="J186" t="s">
        <v>100</v>
      </c>
      <c r="K186" t="s">
        <v>112</v>
      </c>
      <c r="L186" s="1">
        <v>46143</v>
      </c>
      <c r="M186" s="1">
        <v>46173</v>
      </c>
      <c r="N186">
        <v>744</v>
      </c>
      <c r="O186" t="s">
        <v>58</v>
      </c>
      <c r="P186" t="s">
        <v>63</v>
      </c>
      <c r="Q186" t="s">
        <v>3459</v>
      </c>
      <c r="R186" t="s">
        <v>3790</v>
      </c>
      <c r="S186" t="s">
        <v>67</v>
      </c>
      <c r="T186" t="s">
        <v>3791</v>
      </c>
      <c r="U186" t="s">
        <v>3792</v>
      </c>
      <c r="V186">
        <v>14</v>
      </c>
      <c r="W186" s="2">
        <v>64899.115599999997</v>
      </c>
    </row>
    <row r="187" spans="1:23" x14ac:dyDescent="0.25">
      <c r="A187" t="s">
        <v>31</v>
      </c>
      <c r="B187" t="s">
        <v>32</v>
      </c>
      <c r="C187" t="s">
        <v>33</v>
      </c>
      <c r="D187" t="s">
        <v>34</v>
      </c>
      <c r="E187" t="s">
        <v>35</v>
      </c>
      <c r="F187" t="s">
        <v>36</v>
      </c>
      <c r="G187">
        <v>1141685</v>
      </c>
      <c r="H187" t="s">
        <v>80</v>
      </c>
      <c r="I187" t="s">
        <v>96</v>
      </c>
      <c r="J187" t="s">
        <v>80</v>
      </c>
      <c r="K187" t="s">
        <v>122</v>
      </c>
      <c r="L187" s="1">
        <v>46143</v>
      </c>
      <c r="M187" s="1">
        <v>46173</v>
      </c>
      <c r="N187">
        <v>6.7791273799999996E-2</v>
      </c>
      <c r="O187" t="s">
        <v>56</v>
      </c>
      <c r="P187" t="s">
        <v>63</v>
      </c>
      <c r="Q187" t="s">
        <v>3459</v>
      </c>
      <c r="R187" t="s">
        <v>3460</v>
      </c>
      <c r="S187" t="s">
        <v>67</v>
      </c>
      <c r="T187" t="s">
        <v>3793</v>
      </c>
      <c r="U187" t="s">
        <v>3794</v>
      </c>
      <c r="V187">
        <v>15</v>
      </c>
      <c r="W187" s="2">
        <v>11.8276417541</v>
      </c>
    </row>
    <row r="188" spans="1:23" x14ac:dyDescent="0.25">
      <c r="A188" t="s">
        <v>31</v>
      </c>
      <c r="B188" t="s">
        <v>32</v>
      </c>
      <c r="C188" t="s">
        <v>33</v>
      </c>
      <c r="D188" t="s">
        <v>34</v>
      </c>
      <c r="E188" t="s">
        <v>35</v>
      </c>
      <c r="F188" t="s">
        <v>36</v>
      </c>
      <c r="G188">
        <v>1141685</v>
      </c>
      <c r="H188" t="s">
        <v>76</v>
      </c>
      <c r="I188" t="s">
        <v>95</v>
      </c>
      <c r="J188" t="s">
        <v>99</v>
      </c>
      <c r="K188" t="s">
        <v>109</v>
      </c>
      <c r="L188" s="1">
        <v>46143</v>
      </c>
      <c r="M188" s="1">
        <v>46173</v>
      </c>
      <c r="N188">
        <v>0.983352</v>
      </c>
      <c r="O188" t="s">
        <v>58</v>
      </c>
      <c r="P188" t="s">
        <v>63</v>
      </c>
      <c r="Q188" t="s">
        <v>3465</v>
      </c>
      <c r="R188" t="s">
        <v>3529</v>
      </c>
      <c r="S188" t="s">
        <v>67</v>
      </c>
      <c r="T188" t="s">
        <v>3615</v>
      </c>
      <c r="U188" t="s">
        <v>3616</v>
      </c>
      <c r="V188">
        <v>17</v>
      </c>
      <c r="W188" s="2">
        <v>0</v>
      </c>
    </row>
    <row r="189" spans="1:23" x14ac:dyDescent="0.25">
      <c r="A189" t="s">
        <v>31</v>
      </c>
      <c r="B189" t="s">
        <v>32</v>
      </c>
      <c r="C189" t="s">
        <v>33</v>
      </c>
      <c r="D189" t="s">
        <v>34</v>
      </c>
      <c r="E189" t="s">
        <v>35</v>
      </c>
      <c r="F189" t="s">
        <v>36</v>
      </c>
      <c r="G189">
        <v>1141685</v>
      </c>
      <c r="H189" t="s">
        <v>77</v>
      </c>
      <c r="I189" t="s">
        <v>96</v>
      </c>
      <c r="J189" t="s">
        <v>77</v>
      </c>
      <c r="K189" t="s">
        <v>113</v>
      </c>
      <c r="L189" s="1">
        <v>46143</v>
      </c>
      <c r="M189" s="1">
        <v>46173</v>
      </c>
      <c r="N189">
        <v>1.6104400000000001E-5</v>
      </c>
      <c r="O189" t="s">
        <v>56</v>
      </c>
      <c r="P189" t="s">
        <v>63</v>
      </c>
      <c r="Q189" t="s">
        <v>3459</v>
      </c>
      <c r="R189" t="s">
        <v>3460</v>
      </c>
      <c r="S189" t="s">
        <v>67</v>
      </c>
      <c r="T189" t="s">
        <v>3795</v>
      </c>
      <c r="U189" t="s">
        <v>3796</v>
      </c>
      <c r="V189">
        <v>16</v>
      </c>
      <c r="W189" s="2">
        <v>2.4724293E-3</v>
      </c>
    </row>
    <row r="190" spans="1:23" x14ac:dyDescent="0.25">
      <c r="A190" t="s">
        <v>31</v>
      </c>
      <c r="B190" t="s">
        <v>32</v>
      </c>
      <c r="C190" t="s">
        <v>33</v>
      </c>
      <c r="D190" t="s">
        <v>34</v>
      </c>
      <c r="E190" t="s">
        <v>35</v>
      </c>
      <c r="F190" t="s">
        <v>36</v>
      </c>
      <c r="G190">
        <v>1141685</v>
      </c>
      <c r="H190" t="s">
        <v>76</v>
      </c>
      <c r="I190" t="s">
        <v>95</v>
      </c>
      <c r="J190" t="s">
        <v>99</v>
      </c>
      <c r="K190" t="s">
        <v>109</v>
      </c>
      <c r="L190" s="1">
        <v>46143</v>
      </c>
      <c r="M190" s="1">
        <v>46173</v>
      </c>
      <c r="N190">
        <v>138</v>
      </c>
      <c r="O190" t="s">
        <v>58</v>
      </c>
      <c r="P190" t="s">
        <v>63</v>
      </c>
      <c r="Q190" t="s">
        <v>3465</v>
      </c>
      <c r="R190" t="s">
        <v>3460</v>
      </c>
      <c r="S190" t="s">
        <v>67</v>
      </c>
      <c r="T190" t="s">
        <v>3679</v>
      </c>
      <c r="U190" t="s">
        <v>3680</v>
      </c>
      <c r="V190">
        <v>15</v>
      </c>
      <c r="W190" s="2">
        <v>0</v>
      </c>
    </row>
    <row r="191" spans="1:23" x14ac:dyDescent="0.25">
      <c r="A191" t="s">
        <v>31</v>
      </c>
      <c r="B191" t="s">
        <v>32</v>
      </c>
      <c r="C191" t="s">
        <v>33</v>
      </c>
      <c r="D191" t="s">
        <v>34</v>
      </c>
      <c r="E191" t="s">
        <v>35</v>
      </c>
      <c r="F191" t="s">
        <v>36</v>
      </c>
      <c r="G191">
        <v>1141685</v>
      </c>
      <c r="H191" t="s">
        <v>76</v>
      </c>
      <c r="I191" t="s">
        <v>95</v>
      </c>
      <c r="J191" t="s">
        <v>99</v>
      </c>
      <c r="K191" t="s">
        <v>109</v>
      </c>
      <c r="L191" s="1">
        <v>46143</v>
      </c>
      <c r="M191" s="1">
        <v>46173</v>
      </c>
      <c r="N191">
        <v>159</v>
      </c>
      <c r="O191" t="s">
        <v>58</v>
      </c>
      <c r="P191" t="s">
        <v>63</v>
      </c>
      <c r="Q191" t="s">
        <v>3465</v>
      </c>
      <c r="R191" t="s">
        <v>3460</v>
      </c>
      <c r="S191" t="s">
        <v>67</v>
      </c>
      <c r="T191" t="s">
        <v>3492</v>
      </c>
      <c r="U191" t="s">
        <v>3493</v>
      </c>
      <c r="V191">
        <v>16</v>
      </c>
      <c r="W191" s="2">
        <v>0</v>
      </c>
    </row>
    <row r="192" spans="1:23" x14ac:dyDescent="0.25">
      <c r="A192" t="s">
        <v>31</v>
      </c>
      <c r="B192" t="s">
        <v>32</v>
      </c>
      <c r="C192" t="s">
        <v>33</v>
      </c>
      <c r="D192" t="s">
        <v>34</v>
      </c>
      <c r="E192" t="s">
        <v>35</v>
      </c>
      <c r="F192" t="s">
        <v>36</v>
      </c>
      <c r="G192">
        <v>1141685</v>
      </c>
      <c r="H192" t="s">
        <v>76</v>
      </c>
      <c r="I192" t="s">
        <v>95</v>
      </c>
      <c r="J192" t="s">
        <v>99</v>
      </c>
      <c r="K192" t="s">
        <v>109</v>
      </c>
      <c r="L192" s="1">
        <v>46143</v>
      </c>
      <c r="M192" s="1">
        <v>46173</v>
      </c>
      <c r="N192">
        <v>138</v>
      </c>
      <c r="O192" t="s">
        <v>58</v>
      </c>
      <c r="P192" t="s">
        <v>63</v>
      </c>
      <c r="Q192" t="s">
        <v>3465</v>
      </c>
      <c r="R192" t="s">
        <v>3460</v>
      </c>
      <c r="S192" t="s">
        <v>67</v>
      </c>
      <c r="T192" t="s">
        <v>3679</v>
      </c>
      <c r="U192" t="s">
        <v>3680</v>
      </c>
      <c r="V192">
        <v>15</v>
      </c>
      <c r="W192" s="2">
        <v>0</v>
      </c>
    </row>
    <row r="193" spans="1:23" x14ac:dyDescent="0.25">
      <c r="A193" t="s">
        <v>31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>
        <v>1141685</v>
      </c>
      <c r="H193" t="s">
        <v>86</v>
      </c>
      <c r="I193" t="s">
        <v>42</v>
      </c>
      <c r="J193" t="s">
        <v>86</v>
      </c>
      <c r="K193" t="s">
        <v>132</v>
      </c>
      <c r="L193" s="1">
        <v>46143</v>
      </c>
      <c r="M193" s="1">
        <v>46173</v>
      </c>
      <c r="N193">
        <v>0.99993600000000005</v>
      </c>
      <c r="O193" t="s">
        <v>135</v>
      </c>
      <c r="P193" t="s">
        <v>63</v>
      </c>
      <c r="Q193" t="s">
        <v>3465</v>
      </c>
      <c r="R193" t="s">
        <v>3797</v>
      </c>
      <c r="S193" t="s">
        <v>67</v>
      </c>
      <c r="T193" t="s">
        <v>3798</v>
      </c>
      <c r="U193" t="s">
        <v>3799</v>
      </c>
      <c r="V193">
        <v>10</v>
      </c>
      <c r="W193" s="2">
        <v>178059.92438314491</v>
      </c>
    </row>
    <row r="194" spans="1:23" x14ac:dyDescent="0.25">
      <c r="A194" t="s">
        <v>31</v>
      </c>
      <c r="B194" t="s">
        <v>32</v>
      </c>
      <c r="C194" t="s">
        <v>33</v>
      </c>
      <c r="D194" t="s">
        <v>34</v>
      </c>
      <c r="E194" t="s">
        <v>35</v>
      </c>
      <c r="F194" t="s">
        <v>36</v>
      </c>
      <c r="G194">
        <v>1141685</v>
      </c>
      <c r="H194" t="s">
        <v>76</v>
      </c>
      <c r="I194" t="s">
        <v>95</v>
      </c>
      <c r="J194" t="s">
        <v>99</v>
      </c>
      <c r="K194" t="s">
        <v>109</v>
      </c>
      <c r="L194" s="1">
        <v>46143</v>
      </c>
      <c r="M194" s="1">
        <v>46173</v>
      </c>
      <c r="N194">
        <v>0.983352</v>
      </c>
      <c r="O194" t="s">
        <v>58</v>
      </c>
      <c r="P194" t="s">
        <v>63</v>
      </c>
      <c r="Q194" t="s">
        <v>3465</v>
      </c>
      <c r="R194" t="s">
        <v>3460</v>
      </c>
      <c r="S194" t="s">
        <v>67</v>
      </c>
      <c r="T194" t="s">
        <v>3492</v>
      </c>
      <c r="U194" t="s">
        <v>3493</v>
      </c>
      <c r="V194">
        <v>16</v>
      </c>
      <c r="W194" s="2">
        <v>0</v>
      </c>
    </row>
    <row r="195" spans="1:23" x14ac:dyDescent="0.25">
      <c r="A195" t="s">
        <v>31</v>
      </c>
      <c r="B195" t="s">
        <v>32</v>
      </c>
      <c r="C195" t="s">
        <v>33</v>
      </c>
      <c r="D195" t="s">
        <v>34</v>
      </c>
      <c r="E195" t="s">
        <v>35</v>
      </c>
      <c r="F195" t="s">
        <v>36</v>
      </c>
      <c r="G195">
        <v>1141685</v>
      </c>
      <c r="H195" t="s">
        <v>76</v>
      </c>
      <c r="I195" t="s">
        <v>95</v>
      </c>
      <c r="J195" t="s">
        <v>99</v>
      </c>
      <c r="K195" t="s">
        <v>109</v>
      </c>
      <c r="L195" s="1">
        <v>46143</v>
      </c>
      <c r="M195" s="1">
        <v>46173</v>
      </c>
      <c r="N195">
        <v>77</v>
      </c>
      <c r="O195" t="s">
        <v>58</v>
      </c>
      <c r="P195" t="s">
        <v>63</v>
      </c>
      <c r="Q195" t="s">
        <v>3465</v>
      </c>
      <c r="R195" t="s">
        <v>3460</v>
      </c>
      <c r="S195" t="s">
        <v>67</v>
      </c>
      <c r="T195" t="s">
        <v>3492</v>
      </c>
      <c r="U195" t="s">
        <v>3493</v>
      </c>
      <c r="V195">
        <v>16</v>
      </c>
      <c r="W195" s="2">
        <v>0</v>
      </c>
    </row>
    <row r="196" spans="1:23" x14ac:dyDescent="0.25">
      <c r="A196" t="s">
        <v>31</v>
      </c>
      <c r="B196" t="s">
        <v>32</v>
      </c>
      <c r="C196" t="s">
        <v>33</v>
      </c>
      <c r="D196" t="s">
        <v>34</v>
      </c>
      <c r="E196" t="s">
        <v>35</v>
      </c>
      <c r="F196" t="s">
        <v>36</v>
      </c>
      <c r="G196">
        <v>1141685</v>
      </c>
      <c r="H196" t="s">
        <v>80</v>
      </c>
      <c r="I196" t="s">
        <v>96</v>
      </c>
      <c r="J196" t="s">
        <v>80</v>
      </c>
      <c r="K196" t="s">
        <v>122</v>
      </c>
      <c r="L196" s="1">
        <v>46143</v>
      </c>
      <c r="M196" s="1">
        <v>46173</v>
      </c>
      <c r="N196">
        <v>0.41094945840000002</v>
      </c>
      <c r="O196" t="s">
        <v>56</v>
      </c>
      <c r="P196" t="s">
        <v>63</v>
      </c>
      <c r="Q196" t="s">
        <v>3459</v>
      </c>
      <c r="R196" t="s">
        <v>3460</v>
      </c>
      <c r="S196" t="s">
        <v>67</v>
      </c>
      <c r="T196" t="s">
        <v>3800</v>
      </c>
      <c r="U196" t="s">
        <v>3801</v>
      </c>
      <c r="V196">
        <v>16</v>
      </c>
      <c r="W196" s="2">
        <v>71.690933404500001</v>
      </c>
    </row>
    <row r="197" spans="1:23" x14ac:dyDescent="0.25">
      <c r="A197" t="s">
        <v>31</v>
      </c>
      <c r="B197" t="s">
        <v>32</v>
      </c>
      <c r="C197" t="s">
        <v>33</v>
      </c>
      <c r="D197" t="s">
        <v>34</v>
      </c>
      <c r="E197" t="s">
        <v>35</v>
      </c>
      <c r="F197" t="s">
        <v>36</v>
      </c>
      <c r="G197">
        <v>1141685</v>
      </c>
      <c r="H197" t="s">
        <v>79</v>
      </c>
      <c r="I197" t="s">
        <v>94</v>
      </c>
      <c r="J197" t="s">
        <v>101</v>
      </c>
      <c r="K197" t="s">
        <v>116</v>
      </c>
      <c r="L197" s="1">
        <v>46143</v>
      </c>
      <c r="M197" s="1">
        <v>46173</v>
      </c>
      <c r="N197">
        <v>0.34110618100000001</v>
      </c>
      <c r="O197" t="s">
        <v>56</v>
      </c>
      <c r="P197" t="s">
        <v>63</v>
      </c>
      <c r="Q197" t="s">
        <v>3459</v>
      </c>
      <c r="R197" t="s">
        <v>3529</v>
      </c>
      <c r="S197" t="s">
        <v>67</v>
      </c>
      <c r="T197" t="s">
        <v>3802</v>
      </c>
      <c r="U197" t="s">
        <v>3803</v>
      </c>
      <c r="V197">
        <v>17</v>
      </c>
      <c r="W197" s="2">
        <v>476.07606577259997</v>
      </c>
    </row>
    <row r="198" spans="1:23" x14ac:dyDescent="0.25">
      <c r="A198" t="s">
        <v>31</v>
      </c>
      <c r="B198" t="s">
        <v>32</v>
      </c>
      <c r="C198" t="s">
        <v>33</v>
      </c>
      <c r="D198" t="s">
        <v>34</v>
      </c>
      <c r="E198" t="s">
        <v>35</v>
      </c>
      <c r="F198" t="s">
        <v>36</v>
      </c>
      <c r="G198">
        <v>1141685</v>
      </c>
      <c r="H198" t="s">
        <v>79</v>
      </c>
      <c r="I198" t="s">
        <v>94</v>
      </c>
      <c r="J198" t="s">
        <v>101</v>
      </c>
      <c r="K198" t="s">
        <v>116</v>
      </c>
      <c r="L198" s="1">
        <v>46143</v>
      </c>
      <c r="M198" s="1">
        <v>46173</v>
      </c>
      <c r="N198">
        <v>1.07335E-5</v>
      </c>
      <c r="O198" t="s">
        <v>56</v>
      </c>
      <c r="P198" t="s">
        <v>63</v>
      </c>
      <c r="Q198" t="s">
        <v>3459</v>
      </c>
      <c r="R198" t="s">
        <v>3496</v>
      </c>
      <c r="S198" t="s">
        <v>67</v>
      </c>
      <c r="T198" t="s">
        <v>3804</v>
      </c>
      <c r="U198" t="s">
        <v>3805</v>
      </c>
      <c r="V198">
        <v>16</v>
      </c>
      <c r="W198" s="2">
        <v>1.31828585E-2</v>
      </c>
    </row>
    <row r="199" spans="1:23" x14ac:dyDescent="0.25">
      <c r="A199" t="s">
        <v>31</v>
      </c>
      <c r="B199" t="s">
        <v>32</v>
      </c>
      <c r="C199" t="s">
        <v>33</v>
      </c>
      <c r="D199" t="s">
        <v>34</v>
      </c>
      <c r="E199" t="s">
        <v>35</v>
      </c>
      <c r="F199" t="s">
        <v>36</v>
      </c>
      <c r="G199">
        <v>1141685</v>
      </c>
      <c r="H199" t="s">
        <v>79</v>
      </c>
      <c r="I199" t="s">
        <v>94</v>
      </c>
      <c r="J199" t="s">
        <v>101</v>
      </c>
      <c r="K199" t="s">
        <v>116</v>
      </c>
      <c r="L199" s="1">
        <v>46143</v>
      </c>
      <c r="M199" s="1">
        <v>46173</v>
      </c>
      <c r="N199">
        <v>6.8825700000000001E-5</v>
      </c>
      <c r="O199" t="s">
        <v>56</v>
      </c>
      <c r="P199" t="s">
        <v>63</v>
      </c>
      <c r="Q199" t="s">
        <v>3459</v>
      </c>
      <c r="R199" t="s">
        <v>3460</v>
      </c>
      <c r="S199" t="s">
        <v>67</v>
      </c>
      <c r="T199" t="s">
        <v>3806</v>
      </c>
      <c r="U199" t="s">
        <v>3807</v>
      </c>
      <c r="V199">
        <v>16</v>
      </c>
      <c r="W199" s="2">
        <v>9.4531577199999994E-2</v>
      </c>
    </row>
    <row r="200" spans="1:23" x14ac:dyDescent="0.25">
      <c r="A200" t="s">
        <v>31</v>
      </c>
      <c r="B200" t="s">
        <v>32</v>
      </c>
      <c r="C200" t="s">
        <v>33</v>
      </c>
      <c r="D200" t="s">
        <v>34</v>
      </c>
      <c r="E200" t="s">
        <v>35</v>
      </c>
      <c r="F200" t="s">
        <v>36</v>
      </c>
      <c r="G200">
        <v>1141685</v>
      </c>
      <c r="H200" t="s">
        <v>79</v>
      </c>
      <c r="I200" t="s">
        <v>94</v>
      </c>
      <c r="J200" t="s">
        <v>101</v>
      </c>
      <c r="K200" t="s">
        <v>116</v>
      </c>
      <c r="L200" s="1">
        <v>46143</v>
      </c>
      <c r="M200" s="1">
        <v>46173</v>
      </c>
      <c r="N200">
        <v>2.6350799999999998E-5</v>
      </c>
      <c r="O200" t="s">
        <v>56</v>
      </c>
      <c r="P200" t="s">
        <v>63</v>
      </c>
      <c r="Q200" t="s">
        <v>3459</v>
      </c>
      <c r="R200" t="s">
        <v>3496</v>
      </c>
      <c r="S200" t="s">
        <v>67</v>
      </c>
      <c r="T200" t="s">
        <v>3808</v>
      </c>
      <c r="U200" t="s">
        <v>3809</v>
      </c>
      <c r="V200">
        <v>16</v>
      </c>
      <c r="W200" s="2">
        <v>3.2364060600000001E-2</v>
      </c>
    </row>
    <row r="201" spans="1:23" x14ac:dyDescent="0.25">
      <c r="A201" t="s">
        <v>31</v>
      </c>
      <c r="B201" t="s">
        <v>32</v>
      </c>
      <c r="C201" t="s">
        <v>33</v>
      </c>
      <c r="D201" t="s">
        <v>34</v>
      </c>
      <c r="E201" t="s">
        <v>35</v>
      </c>
      <c r="F201" t="s">
        <v>36</v>
      </c>
      <c r="G201">
        <v>1141685</v>
      </c>
      <c r="H201" t="s">
        <v>79</v>
      </c>
      <c r="I201" t="s">
        <v>94</v>
      </c>
      <c r="J201" t="s">
        <v>101</v>
      </c>
      <c r="K201" t="s">
        <v>116</v>
      </c>
      <c r="L201" s="1">
        <v>46143</v>
      </c>
      <c r="M201" s="1">
        <v>46173</v>
      </c>
      <c r="N201">
        <v>0.35047295039999998</v>
      </c>
      <c r="O201" t="s">
        <v>56</v>
      </c>
      <c r="P201" t="s">
        <v>63</v>
      </c>
      <c r="Q201" t="s">
        <v>3459</v>
      </c>
      <c r="R201" t="s">
        <v>3460</v>
      </c>
      <c r="S201" t="s">
        <v>67</v>
      </c>
      <c r="T201" t="s">
        <v>3810</v>
      </c>
      <c r="U201" t="s">
        <v>3811</v>
      </c>
      <c r="V201">
        <v>15</v>
      </c>
      <c r="W201" s="2">
        <v>403.51080409999997</v>
      </c>
    </row>
    <row r="202" spans="1:23" x14ac:dyDescent="0.25">
      <c r="A202" t="s">
        <v>31</v>
      </c>
      <c r="B202" t="s">
        <v>32</v>
      </c>
      <c r="C202" t="s">
        <v>33</v>
      </c>
      <c r="D202" t="s">
        <v>34</v>
      </c>
      <c r="E202" t="s">
        <v>35</v>
      </c>
      <c r="F202" t="s">
        <v>36</v>
      </c>
      <c r="G202">
        <v>1141685</v>
      </c>
      <c r="H202" t="s">
        <v>77</v>
      </c>
      <c r="I202" t="s">
        <v>96</v>
      </c>
      <c r="J202" t="s">
        <v>77</v>
      </c>
      <c r="K202" t="s">
        <v>111</v>
      </c>
      <c r="L202" s="1">
        <v>46143</v>
      </c>
      <c r="M202" s="1">
        <v>46173</v>
      </c>
      <c r="N202">
        <v>5.6074664900000001E-2</v>
      </c>
      <c r="O202" t="s">
        <v>56</v>
      </c>
      <c r="P202" t="s">
        <v>63</v>
      </c>
      <c r="Q202" t="s">
        <v>3468</v>
      </c>
      <c r="R202" t="s">
        <v>3483</v>
      </c>
      <c r="S202" t="s">
        <v>67</v>
      </c>
      <c r="T202" t="s">
        <v>3812</v>
      </c>
      <c r="U202" t="s">
        <v>3813</v>
      </c>
      <c r="V202">
        <v>7</v>
      </c>
      <c r="W202" s="2">
        <v>9.7788517165000002</v>
      </c>
    </row>
    <row r="203" spans="1:23" x14ac:dyDescent="0.25">
      <c r="A203" t="s">
        <v>31</v>
      </c>
      <c r="B203" t="s">
        <v>32</v>
      </c>
      <c r="C203" t="s">
        <v>33</v>
      </c>
      <c r="D203" t="s">
        <v>34</v>
      </c>
      <c r="E203" t="s">
        <v>35</v>
      </c>
      <c r="F203" t="s">
        <v>36</v>
      </c>
      <c r="G203">
        <v>1141685</v>
      </c>
      <c r="H203" t="s">
        <v>77</v>
      </c>
      <c r="I203" t="s">
        <v>96</v>
      </c>
      <c r="J203" t="s">
        <v>77</v>
      </c>
      <c r="K203" t="s">
        <v>111</v>
      </c>
      <c r="L203" s="1">
        <v>46143</v>
      </c>
      <c r="M203" s="1">
        <v>46173</v>
      </c>
      <c r="N203">
        <v>5.03E-8</v>
      </c>
      <c r="O203" t="s">
        <v>56</v>
      </c>
      <c r="P203" t="s">
        <v>63</v>
      </c>
      <c r="Q203" t="s">
        <v>3459</v>
      </c>
      <c r="R203" t="s">
        <v>3496</v>
      </c>
      <c r="S203" t="s">
        <v>67</v>
      </c>
      <c r="T203" t="s">
        <v>3814</v>
      </c>
      <c r="U203" t="s">
        <v>3815</v>
      </c>
      <c r="V203">
        <v>16</v>
      </c>
      <c r="W203" s="2">
        <v>7.7208999999999992E-6</v>
      </c>
    </row>
    <row r="204" spans="1:23" x14ac:dyDescent="0.25">
      <c r="A204" t="s">
        <v>31</v>
      </c>
      <c r="B204" t="s">
        <v>32</v>
      </c>
      <c r="C204" t="s">
        <v>33</v>
      </c>
      <c r="D204" t="s">
        <v>34</v>
      </c>
      <c r="E204" t="s">
        <v>35</v>
      </c>
      <c r="F204" t="s">
        <v>36</v>
      </c>
      <c r="G204">
        <v>1141685</v>
      </c>
      <c r="H204" t="s">
        <v>77</v>
      </c>
      <c r="I204" t="s">
        <v>96</v>
      </c>
      <c r="J204" t="s">
        <v>77</v>
      </c>
      <c r="K204" t="s">
        <v>111</v>
      </c>
      <c r="L204" s="1">
        <v>46143</v>
      </c>
      <c r="M204" s="1">
        <v>46173</v>
      </c>
      <c r="N204">
        <v>1.006E-7</v>
      </c>
      <c r="O204" t="s">
        <v>56</v>
      </c>
      <c r="P204" t="s">
        <v>63</v>
      </c>
      <c r="Q204" t="s">
        <v>3459</v>
      </c>
      <c r="R204" t="s">
        <v>3460</v>
      </c>
      <c r="S204" t="s">
        <v>67</v>
      </c>
      <c r="T204" t="s">
        <v>3816</v>
      </c>
      <c r="U204" t="s">
        <v>3817</v>
      </c>
      <c r="V204">
        <v>16</v>
      </c>
      <c r="W204" s="2">
        <v>1.5441899999999999E-5</v>
      </c>
    </row>
    <row r="205" spans="1:23" x14ac:dyDescent="0.25">
      <c r="A205" t="s">
        <v>31</v>
      </c>
      <c r="B205" t="s">
        <v>32</v>
      </c>
      <c r="C205" t="s">
        <v>33</v>
      </c>
      <c r="D205" t="s">
        <v>34</v>
      </c>
      <c r="E205" t="s">
        <v>35</v>
      </c>
      <c r="F205" t="s">
        <v>36</v>
      </c>
      <c r="G205">
        <v>1141685</v>
      </c>
      <c r="H205" t="s">
        <v>77</v>
      </c>
      <c r="I205" t="s">
        <v>96</v>
      </c>
      <c r="J205" t="s">
        <v>77</v>
      </c>
      <c r="K205" t="s">
        <v>111</v>
      </c>
      <c r="L205" s="1">
        <v>46143</v>
      </c>
      <c r="M205" s="1">
        <v>46173</v>
      </c>
      <c r="N205">
        <v>20.7963365512</v>
      </c>
      <c r="O205" t="s">
        <v>56</v>
      </c>
      <c r="P205" t="s">
        <v>63</v>
      </c>
      <c r="Q205" t="s">
        <v>3459</v>
      </c>
      <c r="R205" t="s">
        <v>3460</v>
      </c>
      <c r="S205" t="s">
        <v>67</v>
      </c>
      <c r="T205" t="s">
        <v>3818</v>
      </c>
      <c r="U205" t="s">
        <v>3819</v>
      </c>
      <c r="V205">
        <v>16</v>
      </c>
      <c r="W205" s="2">
        <v>3628.1334097530998</v>
      </c>
    </row>
    <row r="206" spans="1:23" x14ac:dyDescent="0.25">
      <c r="A206" t="s">
        <v>31</v>
      </c>
      <c r="B206" t="s">
        <v>32</v>
      </c>
      <c r="C206" t="s">
        <v>33</v>
      </c>
      <c r="D206" t="s">
        <v>34</v>
      </c>
      <c r="E206" t="s">
        <v>35</v>
      </c>
      <c r="F206" t="s">
        <v>36</v>
      </c>
      <c r="G206">
        <v>1141685</v>
      </c>
      <c r="H206" t="s">
        <v>79</v>
      </c>
      <c r="I206" t="s">
        <v>94</v>
      </c>
      <c r="J206" t="s">
        <v>101</v>
      </c>
      <c r="K206" t="s">
        <v>114</v>
      </c>
      <c r="L206" s="1">
        <v>46143</v>
      </c>
      <c r="M206" s="1">
        <v>46173</v>
      </c>
      <c r="N206">
        <v>5.8395789999999995E-4</v>
      </c>
      <c r="O206" t="s">
        <v>56</v>
      </c>
      <c r="P206" t="s">
        <v>63</v>
      </c>
      <c r="Q206" t="s">
        <v>3459</v>
      </c>
      <c r="R206" t="s">
        <v>3529</v>
      </c>
      <c r="S206" t="s">
        <v>67</v>
      </c>
      <c r="T206" t="s">
        <v>3820</v>
      </c>
      <c r="U206" t="s">
        <v>3821</v>
      </c>
      <c r="V206">
        <v>16</v>
      </c>
      <c r="W206" s="2">
        <v>0.81721613419999994</v>
      </c>
    </row>
    <row r="207" spans="1:23" x14ac:dyDescent="0.25">
      <c r="A207" t="s">
        <v>31</v>
      </c>
      <c r="B207" t="s">
        <v>32</v>
      </c>
      <c r="C207" t="s">
        <v>33</v>
      </c>
      <c r="D207" t="s">
        <v>34</v>
      </c>
      <c r="E207" t="s">
        <v>35</v>
      </c>
      <c r="F207" t="s">
        <v>36</v>
      </c>
      <c r="G207">
        <v>1141685</v>
      </c>
      <c r="H207" t="s">
        <v>79</v>
      </c>
      <c r="I207" t="s">
        <v>94</v>
      </c>
      <c r="J207" t="s">
        <v>101</v>
      </c>
      <c r="K207" t="s">
        <v>114</v>
      </c>
      <c r="L207" s="1">
        <v>46143</v>
      </c>
      <c r="M207" s="1">
        <v>46173</v>
      </c>
      <c r="N207">
        <v>1.9928325E-2</v>
      </c>
      <c r="O207" t="s">
        <v>56</v>
      </c>
      <c r="P207" t="s">
        <v>63</v>
      </c>
      <c r="Q207" t="s">
        <v>3459</v>
      </c>
      <c r="R207" t="s">
        <v>3460</v>
      </c>
      <c r="S207" t="s">
        <v>67</v>
      </c>
      <c r="T207" t="s">
        <v>3822</v>
      </c>
      <c r="U207" t="s">
        <v>3823</v>
      </c>
      <c r="V207">
        <v>16</v>
      </c>
      <c r="W207" s="2">
        <v>27.815936839199999</v>
      </c>
    </row>
    <row r="208" spans="1:23" x14ac:dyDescent="0.25">
      <c r="A208" t="s">
        <v>31</v>
      </c>
      <c r="B208" t="s">
        <v>32</v>
      </c>
      <c r="C208" t="s">
        <v>33</v>
      </c>
      <c r="D208" t="s">
        <v>34</v>
      </c>
      <c r="E208" t="s">
        <v>35</v>
      </c>
      <c r="F208" t="s">
        <v>36</v>
      </c>
      <c r="G208">
        <v>1141685</v>
      </c>
      <c r="H208" t="s">
        <v>79</v>
      </c>
      <c r="I208" t="s">
        <v>94</v>
      </c>
      <c r="J208" t="s">
        <v>101</v>
      </c>
      <c r="K208" t="s">
        <v>114</v>
      </c>
      <c r="L208" s="1">
        <v>46143</v>
      </c>
      <c r="M208" s="1">
        <v>46173</v>
      </c>
      <c r="N208">
        <v>5.5899999999999998E-8</v>
      </c>
      <c r="O208" t="s">
        <v>56</v>
      </c>
      <c r="P208" t="s">
        <v>63</v>
      </c>
      <c r="Q208" t="s">
        <v>3459</v>
      </c>
      <c r="R208" t="s">
        <v>3529</v>
      </c>
      <c r="S208" t="s">
        <v>67</v>
      </c>
      <c r="T208" t="s">
        <v>3824</v>
      </c>
      <c r="U208" t="s">
        <v>3825</v>
      </c>
      <c r="V208">
        <v>17</v>
      </c>
      <c r="W208" s="2">
        <v>6.86308E-5</v>
      </c>
    </row>
    <row r="209" spans="1:23" x14ac:dyDescent="0.25">
      <c r="A209" t="s">
        <v>31</v>
      </c>
      <c r="B209" t="s">
        <v>32</v>
      </c>
      <c r="C209" t="s">
        <v>33</v>
      </c>
      <c r="D209" t="s">
        <v>34</v>
      </c>
      <c r="E209" t="s">
        <v>35</v>
      </c>
      <c r="F209" t="s">
        <v>36</v>
      </c>
      <c r="G209">
        <v>1141685</v>
      </c>
      <c r="H209" t="s">
        <v>79</v>
      </c>
      <c r="I209" t="s">
        <v>94</v>
      </c>
      <c r="J209" t="s">
        <v>101</v>
      </c>
      <c r="K209" t="s">
        <v>114</v>
      </c>
      <c r="L209" s="1">
        <v>46143</v>
      </c>
      <c r="M209" s="1">
        <v>46173</v>
      </c>
      <c r="N209">
        <v>5.5899999999999998E-8</v>
      </c>
      <c r="O209" t="s">
        <v>56</v>
      </c>
      <c r="P209" t="s">
        <v>63</v>
      </c>
      <c r="Q209" t="s">
        <v>3459</v>
      </c>
      <c r="R209" t="s">
        <v>3460</v>
      </c>
      <c r="S209" t="s">
        <v>67</v>
      </c>
      <c r="T209" t="s">
        <v>3826</v>
      </c>
      <c r="U209" t="s">
        <v>3827</v>
      </c>
      <c r="V209">
        <v>16</v>
      </c>
      <c r="W209" s="2">
        <v>6.86308E-5</v>
      </c>
    </row>
    <row r="210" spans="1:23" x14ac:dyDescent="0.25">
      <c r="A210" t="s">
        <v>31</v>
      </c>
      <c r="B210" t="s">
        <v>32</v>
      </c>
      <c r="C210" t="s">
        <v>33</v>
      </c>
      <c r="D210" t="s">
        <v>34</v>
      </c>
      <c r="E210" t="s">
        <v>35</v>
      </c>
      <c r="F210" t="s">
        <v>36</v>
      </c>
      <c r="G210">
        <v>1141685</v>
      </c>
      <c r="H210" t="s">
        <v>79</v>
      </c>
      <c r="I210" t="s">
        <v>94</v>
      </c>
      <c r="J210" t="s">
        <v>101</v>
      </c>
      <c r="K210" t="s">
        <v>114</v>
      </c>
      <c r="L210" s="1">
        <v>46143</v>
      </c>
      <c r="M210" s="1">
        <v>46173</v>
      </c>
      <c r="N210">
        <v>1.118E-7</v>
      </c>
      <c r="O210" t="s">
        <v>56</v>
      </c>
      <c r="P210" t="s">
        <v>63</v>
      </c>
      <c r="Q210" t="s">
        <v>3459</v>
      </c>
      <c r="R210" t="s">
        <v>3460</v>
      </c>
      <c r="S210" t="s">
        <v>67</v>
      </c>
      <c r="T210" t="s">
        <v>3828</v>
      </c>
      <c r="U210" t="s">
        <v>3829</v>
      </c>
      <c r="V210">
        <v>16</v>
      </c>
      <c r="W210" s="2">
        <v>1.3726179999999999E-4</v>
      </c>
    </row>
    <row r="211" spans="1:23" x14ac:dyDescent="0.25">
      <c r="A211" t="s">
        <v>31</v>
      </c>
      <c r="B211" t="s">
        <v>32</v>
      </c>
      <c r="C211" t="s">
        <v>33</v>
      </c>
      <c r="D211" t="s">
        <v>34</v>
      </c>
      <c r="E211" t="s">
        <v>35</v>
      </c>
      <c r="F211" t="s">
        <v>36</v>
      </c>
      <c r="G211">
        <v>1141685</v>
      </c>
      <c r="H211" t="s">
        <v>81</v>
      </c>
      <c r="I211" t="s">
        <v>97</v>
      </c>
      <c r="J211" t="s">
        <v>102</v>
      </c>
      <c r="K211" t="s">
        <v>117</v>
      </c>
      <c r="L211" s="1">
        <v>46143</v>
      </c>
      <c r="M211" s="1">
        <v>46173</v>
      </c>
      <c r="N211">
        <v>2108</v>
      </c>
      <c r="O211" t="s">
        <v>58</v>
      </c>
      <c r="P211" t="s">
        <v>63</v>
      </c>
      <c r="Q211" t="s">
        <v>3472</v>
      </c>
      <c r="R211" t="s">
        <v>3473</v>
      </c>
      <c r="S211" t="s">
        <v>67</v>
      </c>
      <c r="T211" t="s">
        <v>70</v>
      </c>
      <c r="U211" t="s">
        <v>73</v>
      </c>
      <c r="V211">
        <v>6</v>
      </c>
      <c r="W211" s="2">
        <v>0</v>
      </c>
    </row>
    <row r="212" spans="1:23" x14ac:dyDescent="0.25">
      <c r="A212" t="s">
        <v>31</v>
      </c>
      <c r="B212" t="s">
        <v>32</v>
      </c>
      <c r="C212" t="s">
        <v>33</v>
      </c>
      <c r="D212" t="s">
        <v>34</v>
      </c>
      <c r="E212" t="s">
        <v>35</v>
      </c>
      <c r="F212" t="s">
        <v>36</v>
      </c>
      <c r="G212">
        <v>1141685</v>
      </c>
      <c r="H212" t="s">
        <v>75</v>
      </c>
      <c r="I212" t="s">
        <v>94</v>
      </c>
      <c r="J212" t="s">
        <v>98</v>
      </c>
      <c r="K212" t="s">
        <v>108</v>
      </c>
      <c r="L212" s="1">
        <v>46143</v>
      </c>
      <c r="M212" s="1">
        <v>46173</v>
      </c>
      <c r="N212">
        <v>1.7749965E-3</v>
      </c>
      <c r="O212" t="s">
        <v>56</v>
      </c>
      <c r="P212" t="s">
        <v>63</v>
      </c>
      <c r="Q212" t="s">
        <v>3459</v>
      </c>
      <c r="R212" t="s">
        <v>3529</v>
      </c>
      <c r="S212" t="s">
        <v>67</v>
      </c>
      <c r="T212" t="s">
        <v>3830</v>
      </c>
      <c r="U212" t="s">
        <v>3831</v>
      </c>
      <c r="V212">
        <v>17</v>
      </c>
      <c r="W212" s="2">
        <v>3.7200718269999999</v>
      </c>
    </row>
    <row r="213" spans="1:23" x14ac:dyDescent="0.25">
      <c r="A213" t="s">
        <v>31</v>
      </c>
      <c r="B213" t="s">
        <v>32</v>
      </c>
      <c r="C213" t="s">
        <v>33</v>
      </c>
      <c r="D213" t="s">
        <v>34</v>
      </c>
      <c r="E213" t="s">
        <v>35</v>
      </c>
      <c r="F213" t="s">
        <v>36</v>
      </c>
      <c r="G213">
        <v>1141685</v>
      </c>
      <c r="H213" t="s">
        <v>75</v>
      </c>
      <c r="I213" t="s">
        <v>94</v>
      </c>
      <c r="J213" t="s">
        <v>98</v>
      </c>
      <c r="K213" t="s">
        <v>108</v>
      </c>
      <c r="L213" s="1">
        <v>46143</v>
      </c>
      <c r="M213" s="1">
        <v>46173</v>
      </c>
      <c r="N213">
        <v>8.0843772699999997E-2</v>
      </c>
      <c r="O213" t="s">
        <v>56</v>
      </c>
      <c r="P213" t="s">
        <v>63</v>
      </c>
      <c r="Q213" t="s">
        <v>3459</v>
      </c>
      <c r="R213" t="s">
        <v>3460</v>
      </c>
      <c r="S213" t="s">
        <v>67</v>
      </c>
      <c r="T213" t="s">
        <v>3832</v>
      </c>
      <c r="U213" t="s">
        <v>3833</v>
      </c>
      <c r="V213">
        <v>16</v>
      </c>
      <c r="W213" s="2">
        <v>169.2482884897</v>
      </c>
    </row>
    <row r="214" spans="1:23" x14ac:dyDescent="0.25">
      <c r="A214" t="s">
        <v>31</v>
      </c>
      <c r="B214" t="s">
        <v>32</v>
      </c>
      <c r="C214" t="s">
        <v>33</v>
      </c>
      <c r="D214" t="s">
        <v>34</v>
      </c>
      <c r="E214" t="s">
        <v>35</v>
      </c>
      <c r="F214" t="s">
        <v>36</v>
      </c>
      <c r="G214">
        <v>1141685</v>
      </c>
      <c r="H214" t="s">
        <v>75</v>
      </c>
      <c r="I214" t="s">
        <v>94</v>
      </c>
      <c r="J214" t="s">
        <v>98</v>
      </c>
      <c r="K214" t="s">
        <v>108</v>
      </c>
      <c r="L214" s="1">
        <v>46143</v>
      </c>
      <c r="M214" s="1">
        <v>46173</v>
      </c>
      <c r="N214">
        <v>7.4074599999999997E-5</v>
      </c>
      <c r="O214" t="s">
        <v>56</v>
      </c>
      <c r="P214" t="s">
        <v>63</v>
      </c>
      <c r="Q214" t="s">
        <v>3459</v>
      </c>
      <c r="R214" t="s">
        <v>3460</v>
      </c>
      <c r="S214" t="s">
        <v>67</v>
      </c>
      <c r="T214" t="s">
        <v>3834</v>
      </c>
      <c r="U214" t="s">
        <v>3835</v>
      </c>
      <c r="V214">
        <v>16</v>
      </c>
      <c r="W214" s="2">
        <v>0.1564674643</v>
      </c>
    </row>
    <row r="215" spans="1:23" x14ac:dyDescent="0.25">
      <c r="A215" t="s">
        <v>31</v>
      </c>
      <c r="B215" t="s">
        <v>32</v>
      </c>
      <c r="C215" t="s">
        <v>33</v>
      </c>
      <c r="D215" t="s">
        <v>34</v>
      </c>
      <c r="E215" t="s">
        <v>35</v>
      </c>
      <c r="F215" t="s">
        <v>36</v>
      </c>
      <c r="G215">
        <v>1141685</v>
      </c>
      <c r="H215" t="s">
        <v>76</v>
      </c>
      <c r="I215" t="s">
        <v>95</v>
      </c>
      <c r="J215" t="s">
        <v>99</v>
      </c>
      <c r="K215" t="s">
        <v>109</v>
      </c>
      <c r="L215" s="1">
        <v>46143</v>
      </c>
      <c r="M215" s="1">
        <v>46173</v>
      </c>
      <c r="N215">
        <v>0.983352</v>
      </c>
      <c r="O215" t="s">
        <v>58</v>
      </c>
      <c r="P215" t="s">
        <v>63</v>
      </c>
      <c r="Q215" t="s">
        <v>3465</v>
      </c>
      <c r="R215" t="s">
        <v>3460</v>
      </c>
      <c r="S215" t="s">
        <v>67</v>
      </c>
      <c r="T215" t="s">
        <v>3492</v>
      </c>
      <c r="U215" t="s">
        <v>3493</v>
      </c>
      <c r="V215">
        <v>16</v>
      </c>
      <c r="W215" s="2">
        <v>0</v>
      </c>
    </row>
    <row r="216" spans="1:23" x14ac:dyDescent="0.25">
      <c r="A216" t="s">
        <v>31</v>
      </c>
      <c r="B216" t="s">
        <v>32</v>
      </c>
      <c r="C216" t="s">
        <v>33</v>
      </c>
      <c r="D216" t="s">
        <v>34</v>
      </c>
      <c r="E216" t="s">
        <v>35</v>
      </c>
      <c r="F216" t="s">
        <v>36</v>
      </c>
      <c r="G216">
        <v>1141685</v>
      </c>
      <c r="H216" t="s">
        <v>76</v>
      </c>
      <c r="I216" t="s">
        <v>95</v>
      </c>
      <c r="J216" t="s">
        <v>99</v>
      </c>
      <c r="K216" t="s">
        <v>109</v>
      </c>
      <c r="L216" s="1">
        <v>46143</v>
      </c>
      <c r="M216" s="1">
        <v>46173</v>
      </c>
      <c r="N216">
        <v>359</v>
      </c>
      <c r="O216" t="s">
        <v>58</v>
      </c>
      <c r="P216" t="s">
        <v>63</v>
      </c>
      <c r="Q216" t="s">
        <v>3465</v>
      </c>
      <c r="R216" t="s">
        <v>3460</v>
      </c>
      <c r="S216" t="s">
        <v>67</v>
      </c>
      <c r="T216" t="s">
        <v>3492</v>
      </c>
      <c r="U216" t="s">
        <v>3493</v>
      </c>
      <c r="V216">
        <v>16</v>
      </c>
      <c r="W216" s="2">
        <v>0</v>
      </c>
    </row>
    <row r="217" spans="1:23" x14ac:dyDescent="0.25">
      <c r="A217" t="s">
        <v>31</v>
      </c>
      <c r="B217" t="s">
        <v>32</v>
      </c>
      <c r="C217" t="s">
        <v>33</v>
      </c>
      <c r="D217" t="s">
        <v>34</v>
      </c>
      <c r="E217" t="s">
        <v>35</v>
      </c>
      <c r="F217" t="s">
        <v>36</v>
      </c>
      <c r="G217">
        <v>1141685</v>
      </c>
      <c r="H217" t="s">
        <v>91</v>
      </c>
      <c r="I217" t="s">
        <v>95</v>
      </c>
      <c r="J217" t="s">
        <v>106</v>
      </c>
      <c r="K217" t="s">
        <v>479</v>
      </c>
      <c r="L217" s="1">
        <v>46143</v>
      </c>
      <c r="M217" s="1">
        <v>46173</v>
      </c>
      <c r="N217">
        <v>0.21667</v>
      </c>
      <c r="O217" t="s">
        <v>58</v>
      </c>
      <c r="P217" t="s">
        <v>63</v>
      </c>
      <c r="Q217" t="s">
        <v>3465</v>
      </c>
      <c r="R217" t="s">
        <v>3460</v>
      </c>
      <c r="S217" t="s">
        <v>67</v>
      </c>
      <c r="T217" t="s">
        <v>3466</v>
      </c>
      <c r="U217" t="s">
        <v>3467</v>
      </c>
      <c r="V217">
        <v>16</v>
      </c>
      <c r="W217" s="2">
        <v>945.00546039999995</v>
      </c>
    </row>
    <row r="218" spans="1:23" x14ac:dyDescent="0.25">
      <c r="A218" t="s">
        <v>31</v>
      </c>
      <c r="B218" t="s">
        <v>32</v>
      </c>
      <c r="C218" t="s">
        <v>33</v>
      </c>
      <c r="D218" t="s">
        <v>34</v>
      </c>
      <c r="E218" t="s">
        <v>35</v>
      </c>
      <c r="F218" t="s">
        <v>36</v>
      </c>
      <c r="G218">
        <v>1141685</v>
      </c>
      <c r="H218" t="s">
        <v>81</v>
      </c>
      <c r="I218" t="s">
        <v>97</v>
      </c>
      <c r="J218" t="s">
        <v>102</v>
      </c>
      <c r="K218" t="s">
        <v>117</v>
      </c>
      <c r="L218" s="1">
        <v>46143</v>
      </c>
      <c r="M218" s="1">
        <v>46173</v>
      </c>
      <c r="N218">
        <v>2</v>
      </c>
      <c r="O218" t="s">
        <v>58</v>
      </c>
      <c r="P218" t="s">
        <v>63</v>
      </c>
      <c r="Q218" t="s">
        <v>3472</v>
      </c>
      <c r="R218" t="s">
        <v>3473</v>
      </c>
      <c r="S218" t="s">
        <v>67</v>
      </c>
      <c r="T218" t="s">
        <v>70</v>
      </c>
      <c r="U218" t="s">
        <v>73</v>
      </c>
      <c r="V218">
        <v>6</v>
      </c>
      <c r="W218" s="2">
        <v>0</v>
      </c>
    </row>
    <row r="219" spans="1:23" x14ac:dyDescent="0.25">
      <c r="A219" t="s">
        <v>31</v>
      </c>
      <c r="B219" t="s">
        <v>32</v>
      </c>
      <c r="C219" t="s">
        <v>33</v>
      </c>
      <c r="D219" t="s">
        <v>34</v>
      </c>
      <c r="E219" t="s">
        <v>35</v>
      </c>
      <c r="F219" t="s">
        <v>36</v>
      </c>
      <c r="G219">
        <v>1141685</v>
      </c>
      <c r="H219" t="s">
        <v>80</v>
      </c>
      <c r="I219" t="s">
        <v>96</v>
      </c>
      <c r="J219" t="s">
        <v>80</v>
      </c>
      <c r="K219" t="s">
        <v>122</v>
      </c>
      <c r="L219" s="1">
        <v>46143</v>
      </c>
      <c r="M219" s="1">
        <v>46173</v>
      </c>
      <c r="N219">
        <v>0.44125143160000002</v>
      </c>
      <c r="O219" t="s">
        <v>56</v>
      </c>
      <c r="P219" t="s">
        <v>63</v>
      </c>
      <c r="Q219" t="s">
        <v>3459</v>
      </c>
      <c r="R219" t="s">
        <v>3460</v>
      </c>
      <c r="S219" t="s">
        <v>67</v>
      </c>
      <c r="T219" t="s">
        <v>3836</v>
      </c>
      <c r="U219" t="s">
        <v>3837</v>
      </c>
      <c r="V219">
        <v>16</v>
      </c>
      <c r="W219" s="2">
        <v>76.983037782699995</v>
      </c>
    </row>
    <row r="220" spans="1:23" x14ac:dyDescent="0.25">
      <c r="A220" t="s">
        <v>31</v>
      </c>
      <c r="B220" t="s">
        <v>32</v>
      </c>
      <c r="C220" t="s">
        <v>33</v>
      </c>
      <c r="D220" t="s">
        <v>34</v>
      </c>
      <c r="E220" t="s">
        <v>35</v>
      </c>
      <c r="F220" t="s">
        <v>36</v>
      </c>
      <c r="G220">
        <v>1141685</v>
      </c>
      <c r="H220" t="s">
        <v>80</v>
      </c>
      <c r="I220" t="s">
        <v>96</v>
      </c>
      <c r="J220" t="s">
        <v>80</v>
      </c>
      <c r="K220" t="s">
        <v>122</v>
      </c>
      <c r="L220" s="1">
        <v>46143</v>
      </c>
      <c r="M220" s="1">
        <v>46173</v>
      </c>
      <c r="N220">
        <v>4.3021524300000002E-2</v>
      </c>
      <c r="O220" t="s">
        <v>56</v>
      </c>
      <c r="P220" t="s">
        <v>63</v>
      </c>
      <c r="Q220" t="s">
        <v>3459</v>
      </c>
      <c r="R220" t="s">
        <v>3496</v>
      </c>
      <c r="S220" t="s">
        <v>67</v>
      </c>
      <c r="T220" t="s">
        <v>3838</v>
      </c>
      <c r="U220" t="s">
        <v>3839</v>
      </c>
      <c r="V220">
        <v>16</v>
      </c>
      <c r="W220" s="2">
        <v>7.5048709157000006</v>
      </c>
    </row>
    <row r="221" spans="1:23" x14ac:dyDescent="0.25">
      <c r="A221" t="s">
        <v>31</v>
      </c>
      <c r="B221" t="s">
        <v>32</v>
      </c>
      <c r="C221" t="s">
        <v>33</v>
      </c>
      <c r="D221" t="s">
        <v>34</v>
      </c>
      <c r="E221" t="s">
        <v>35</v>
      </c>
      <c r="F221" t="s">
        <v>36</v>
      </c>
      <c r="G221">
        <v>1141685</v>
      </c>
      <c r="H221" t="s">
        <v>80</v>
      </c>
      <c r="I221" t="s">
        <v>96</v>
      </c>
      <c r="J221" t="s">
        <v>80</v>
      </c>
      <c r="K221" t="s">
        <v>122</v>
      </c>
      <c r="L221" s="1">
        <v>46143</v>
      </c>
      <c r="M221" s="1">
        <v>46173</v>
      </c>
      <c r="N221">
        <v>2.9900861899999999E-2</v>
      </c>
      <c r="O221" t="s">
        <v>56</v>
      </c>
      <c r="P221" t="s">
        <v>63</v>
      </c>
      <c r="Q221" t="s">
        <v>3459</v>
      </c>
      <c r="R221" t="s">
        <v>3496</v>
      </c>
      <c r="S221" t="s">
        <v>67</v>
      </c>
      <c r="T221" t="s">
        <v>3840</v>
      </c>
      <c r="U221" t="s">
        <v>3841</v>
      </c>
      <c r="V221">
        <v>16</v>
      </c>
      <c r="W221" s="2">
        <v>5.2205238429999996</v>
      </c>
    </row>
    <row r="222" spans="1:23" x14ac:dyDescent="0.25">
      <c r="A222" t="s">
        <v>31</v>
      </c>
      <c r="B222" t="s">
        <v>32</v>
      </c>
      <c r="C222" t="s">
        <v>33</v>
      </c>
      <c r="D222" t="s">
        <v>34</v>
      </c>
      <c r="E222" t="s">
        <v>35</v>
      </c>
      <c r="F222" t="s">
        <v>36</v>
      </c>
      <c r="G222">
        <v>1141685</v>
      </c>
      <c r="H222" t="s">
        <v>79</v>
      </c>
      <c r="I222" t="s">
        <v>94</v>
      </c>
      <c r="J222" t="s">
        <v>101</v>
      </c>
      <c r="K222" t="s">
        <v>116</v>
      </c>
      <c r="L222" s="1">
        <v>46143</v>
      </c>
      <c r="M222" s="1">
        <v>46173</v>
      </c>
      <c r="N222">
        <v>5.3662799999999997E-5</v>
      </c>
      <c r="O222" t="s">
        <v>56</v>
      </c>
      <c r="P222" t="s">
        <v>63</v>
      </c>
      <c r="Q222" t="s">
        <v>3459</v>
      </c>
      <c r="R222" t="s">
        <v>3496</v>
      </c>
      <c r="S222" t="s">
        <v>67</v>
      </c>
      <c r="T222" t="s">
        <v>3842</v>
      </c>
      <c r="U222" t="s">
        <v>3843</v>
      </c>
      <c r="V222">
        <v>16</v>
      </c>
      <c r="W222" s="2">
        <v>7.5908573199999996E-2</v>
      </c>
    </row>
    <row r="223" spans="1:23" x14ac:dyDescent="0.25">
      <c r="A223" t="s">
        <v>31</v>
      </c>
      <c r="B223" t="s">
        <v>32</v>
      </c>
      <c r="C223" t="s">
        <v>33</v>
      </c>
      <c r="D223" t="s">
        <v>34</v>
      </c>
      <c r="E223" t="s">
        <v>35</v>
      </c>
      <c r="F223" t="s">
        <v>36</v>
      </c>
      <c r="G223">
        <v>1141685</v>
      </c>
      <c r="H223" t="s">
        <v>79</v>
      </c>
      <c r="I223" t="s">
        <v>94</v>
      </c>
      <c r="J223" t="s">
        <v>101</v>
      </c>
      <c r="K223" t="s">
        <v>116</v>
      </c>
      <c r="L223" s="1">
        <v>46143</v>
      </c>
      <c r="M223" s="1">
        <v>46173</v>
      </c>
      <c r="N223">
        <v>1.05426E-5</v>
      </c>
      <c r="O223" t="s">
        <v>56</v>
      </c>
      <c r="P223" t="s">
        <v>63</v>
      </c>
      <c r="Q223" t="s">
        <v>3459</v>
      </c>
      <c r="R223" t="s">
        <v>3460</v>
      </c>
      <c r="S223" t="s">
        <v>67</v>
      </c>
      <c r="T223" t="s">
        <v>3844</v>
      </c>
      <c r="U223" t="s">
        <v>3845</v>
      </c>
      <c r="V223">
        <v>16</v>
      </c>
      <c r="W223" s="2">
        <v>1.29483694E-2</v>
      </c>
    </row>
    <row r="224" spans="1:23" x14ac:dyDescent="0.25">
      <c r="A224" t="s">
        <v>31</v>
      </c>
      <c r="B224" t="s">
        <v>32</v>
      </c>
      <c r="C224" t="s">
        <v>33</v>
      </c>
      <c r="D224" t="s">
        <v>34</v>
      </c>
      <c r="E224" t="s">
        <v>35</v>
      </c>
      <c r="F224" t="s">
        <v>36</v>
      </c>
      <c r="G224">
        <v>1141685</v>
      </c>
      <c r="H224" t="s">
        <v>79</v>
      </c>
      <c r="I224" t="s">
        <v>94</v>
      </c>
      <c r="J224" t="s">
        <v>101</v>
      </c>
      <c r="K224" t="s">
        <v>114</v>
      </c>
      <c r="L224" s="1">
        <v>46143</v>
      </c>
      <c r="M224" s="1">
        <v>46173</v>
      </c>
      <c r="N224">
        <v>3.9120000000000001E-7</v>
      </c>
      <c r="O224" t="s">
        <v>56</v>
      </c>
      <c r="P224" t="s">
        <v>63</v>
      </c>
      <c r="Q224" t="s">
        <v>3459</v>
      </c>
      <c r="R224" t="s">
        <v>3496</v>
      </c>
      <c r="S224" t="s">
        <v>67</v>
      </c>
      <c r="T224" t="s">
        <v>3846</v>
      </c>
      <c r="U224" t="s">
        <v>3847</v>
      </c>
      <c r="V224">
        <v>16</v>
      </c>
      <c r="W224" s="2">
        <v>4.8041650000000001E-4</v>
      </c>
    </row>
    <row r="225" spans="1:23" x14ac:dyDescent="0.25">
      <c r="A225" t="s">
        <v>31</v>
      </c>
      <c r="B225" t="s">
        <v>32</v>
      </c>
      <c r="C225" t="s">
        <v>33</v>
      </c>
      <c r="D225" t="s">
        <v>34</v>
      </c>
      <c r="E225" t="s">
        <v>35</v>
      </c>
      <c r="F225" t="s">
        <v>36</v>
      </c>
      <c r="G225">
        <v>1141685</v>
      </c>
      <c r="H225" t="s">
        <v>86</v>
      </c>
      <c r="I225" t="s">
        <v>42</v>
      </c>
      <c r="J225" t="s">
        <v>86</v>
      </c>
      <c r="K225" t="s">
        <v>124</v>
      </c>
      <c r="L225" s="1">
        <v>46143</v>
      </c>
      <c r="M225" s="1">
        <v>46173</v>
      </c>
      <c r="N225">
        <v>0.18681600000000001</v>
      </c>
      <c r="O225" t="s">
        <v>135</v>
      </c>
      <c r="P225" t="s">
        <v>63</v>
      </c>
      <c r="Q225" t="s">
        <v>3465</v>
      </c>
      <c r="R225" t="s">
        <v>3848</v>
      </c>
      <c r="S225" t="s">
        <v>67</v>
      </c>
      <c r="T225" t="s">
        <v>3849</v>
      </c>
      <c r="U225" t="s">
        <v>3850</v>
      </c>
      <c r="V225">
        <v>16</v>
      </c>
      <c r="W225" s="2">
        <v>64238.672291532799</v>
      </c>
    </row>
    <row r="226" spans="1:23" x14ac:dyDescent="0.25">
      <c r="A226" t="s">
        <v>31</v>
      </c>
      <c r="B226" t="s">
        <v>32</v>
      </c>
      <c r="C226" t="s">
        <v>33</v>
      </c>
      <c r="D226" t="s">
        <v>34</v>
      </c>
      <c r="E226" t="s">
        <v>35</v>
      </c>
      <c r="F226" t="s">
        <v>36</v>
      </c>
      <c r="G226">
        <v>1141685</v>
      </c>
      <c r="H226" t="s">
        <v>76</v>
      </c>
      <c r="I226" t="s">
        <v>95</v>
      </c>
      <c r="J226" t="s">
        <v>99</v>
      </c>
      <c r="K226" t="s">
        <v>109</v>
      </c>
      <c r="L226" s="1">
        <v>46143</v>
      </c>
      <c r="M226" s="1">
        <v>46173</v>
      </c>
      <c r="N226">
        <v>76</v>
      </c>
      <c r="O226" t="s">
        <v>58</v>
      </c>
      <c r="P226" t="s">
        <v>63</v>
      </c>
      <c r="Q226" t="s">
        <v>3465</v>
      </c>
      <c r="R226" t="s">
        <v>3496</v>
      </c>
      <c r="S226" t="s">
        <v>67</v>
      </c>
      <c r="T226" t="s">
        <v>3621</v>
      </c>
      <c r="U226" t="s">
        <v>3622</v>
      </c>
      <c r="V226">
        <v>16</v>
      </c>
      <c r="W226" s="2">
        <v>0</v>
      </c>
    </row>
    <row r="227" spans="1:23" x14ac:dyDescent="0.25">
      <c r="A227" t="s">
        <v>31</v>
      </c>
      <c r="B227" t="s">
        <v>32</v>
      </c>
      <c r="C227" t="s">
        <v>33</v>
      </c>
      <c r="D227" t="s">
        <v>34</v>
      </c>
      <c r="E227" t="s">
        <v>35</v>
      </c>
      <c r="F227" t="s">
        <v>36</v>
      </c>
      <c r="G227">
        <v>1141685</v>
      </c>
      <c r="H227" t="s">
        <v>76</v>
      </c>
      <c r="I227" t="s">
        <v>95</v>
      </c>
      <c r="J227" t="s">
        <v>99</v>
      </c>
      <c r="K227" t="s">
        <v>109</v>
      </c>
      <c r="L227" s="1">
        <v>46143</v>
      </c>
      <c r="M227" s="1">
        <v>46173</v>
      </c>
      <c r="N227">
        <v>77</v>
      </c>
      <c r="O227" t="s">
        <v>58</v>
      </c>
      <c r="P227" t="s">
        <v>63</v>
      </c>
      <c r="Q227" t="s">
        <v>3465</v>
      </c>
      <c r="R227" t="s">
        <v>3460</v>
      </c>
      <c r="S227" t="s">
        <v>67</v>
      </c>
      <c r="T227" t="s">
        <v>3492</v>
      </c>
      <c r="U227" t="s">
        <v>3493</v>
      </c>
      <c r="V227">
        <v>16</v>
      </c>
      <c r="W227" s="2">
        <v>0</v>
      </c>
    </row>
    <row r="228" spans="1:23" x14ac:dyDescent="0.25">
      <c r="A228" t="s">
        <v>31</v>
      </c>
      <c r="B228" t="s">
        <v>32</v>
      </c>
      <c r="C228" t="s">
        <v>33</v>
      </c>
      <c r="D228" t="s">
        <v>34</v>
      </c>
      <c r="E228" t="s">
        <v>35</v>
      </c>
      <c r="F228" t="s">
        <v>36</v>
      </c>
      <c r="G228">
        <v>1141685</v>
      </c>
      <c r="H228" t="s">
        <v>76</v>
      </c>
      <c r="I228" t="s">
        <v>95</v>
      </c>
      <c r="J228" t="s">
        <v>99</v>
      </c>
      <c r="K228" t="s">
        <v>109</v>
      </c>
      <c r="L228" s="1">
        <v>46143</v>
      </c>
      <c r="M228" s="1">
        <v>46173</v>
      </c>
      <c r="N228">
        <v>168</v>
      </c>
      <c r="O228" t="s">
        <v>58</v>
      </c>
      <c r="P228" t="s">
        <v>63</v>
      </c>
      <c r="Q228" t="s">
        <v>3465</v>
      </c>
      <c r="R228" t="s">
        <v>3460</v>
      </c>
      <c r="S228" t="s">
        <v>67</v>
      </c>
      <c r="T228" t="s">
        <v>3492</v>
      </c>
      <c r="U228" t="s">
        <v>3493</v>
      </c>
      <c r="V228">
        <v>16</v>
      </c>
      <c r="W228" s="2">
        <v>0</v>
      </c>
    </row>
    <row r="229" spans="1:23" x14ac:dyDescent="0.25">
      <c r="A229" t="s">
        <v>31</v>
      </c>
      <c r="B229" t="s">
        <v>32</v>
      </c>
      <c r="C229" t="s">
        <v>33</v>
      </c>
      <c r="D229" t="s">
        <v>34</v>
      </c>
      <c r="E229" t="s">
        <v>35</v>
      </c>
      <c r="F229" t="s">
        <v>36</v>
      </c>
      <c r="G229">
        <v>1141685</v>
      </c>
      <c r="H229" t="s">
        <v>77</v>
      </c>
      <c r="I229" t="s">
        <v>96</v>
      </c>
      <c r="J229" t="s">
        <v>77</v>
      </c>
      <c r="K229" t="s">
        <v>111</v>
      </c>
      <c r="L229" s="1">
        <v>46143</v>
      </c>
      <c r="M229" s="1">
        <v>46173</v>
      </c>
      <c r="N229">
        <v>2.012E-7</v>
      </c>
      <c r="O229" t="s">
        <v>56</v>
      </c>
      <c r="P229" t="s">
        <v>63</v>
      </c>
      <c r="Q229" t="s">
        <v>3459</v>
      </c>
      <c r="R229" t="s">
        <v>3460</v>
      </c>
      <c r="S229" t="s">
        <v>67</v>
      </c>
      <c r="T229" t="s">
        <v>3851</v>
      </c>
      <c r="U229" t="s">
        <v>3852</v>
      </c>
      <c r="V229">
        <v>16</v>
      </c>
      <c r="W229" s="2">
        <v>3.0883799999999997E-5</v>
      </c>
    </row>
    <row r="230" spans="1:23" x14ac:dyDescent="0.25">
      <c r="A230" t="s">
        <v>31</v>
      </c>
      <c r="B230" t="s">
        <v>32</v>
      </c>
      <c r="C230" t="s">
        <v>33</v>
      </c>
      <c r="D230" t="s">
        <v>34</v>
      </c>
      <c r="E230" t="s">
        <v>35</v>
      </c>
      <c r="F230" t="s">
        <v>36</v>
      </c>
      <c r="G230">
        <v>1141685</v>
      </c>
      <c r="H230" t="s">
        <v>77</v>
      </c>
      <c r="I230" t="s">
        <v>96</v>
      </c>
      <c r="J230" t="s">
        <v>77</v>
      </c>
      <c r="K230" t="s">
        <v>111</v>
      </c>
      <c r="L230" s="1">
        <v>46143</v>
      </c>
      <c r="M230" s="1">
        <v>46173</v>
      </c>
      <c r="N230">
        <v>5.03E-8</v>
      </c>
      <c r="O230" t="s">
        <v>56</v>
      </c>
      <c r="P230" t="s">
        <v>63</v>
      </c>
      <c r="Q230" t="s">
        <v>3459</v>
      </c>
      <c r="R230" t="s">
        <v>3460</v>
      </c>
      <c r="S230" t="s">
        <v>67</v>
      </c>
      <c r="T230" t="s">
        <v>3654</v>
      </c>
      <c r="U230" t="s">
        <v>3655</v>
      </c>
      <c r="V230">
        <v>16</v>
      </c>
      <c r="W230" s="2">
        <v>7.7208999999999992E-6</v>
      </c>
    </row>
    <row r="231" spans="1:23" x14ac:dyDescent="0.25">
      <c r="A231" t="s">
        <v>31</v>
      </c>
      <c r="B231" t="s">
        <v>32</v>
      </c>
      <c r="C231" t="s">
        <v>33</v>
      </c>
      <c r="D231" t="s">
        <v>34</v>
      </c>
      <c r="E231" t="s">
        <v>35</v>
      </c>
      <c r="F231" t="s">
        <v>36</v>
      </c>
      <c r="G231">
        <v>1141685</v>
      </c>
      <c r="H231" t="s">
        <v>77</v>
      </c>
      <c r="I231" t="s">
        <v>96</v>
      </c>
      <c r="J231" t="s">
        <v>77</v>
      </c>
      <c r="K231" t="s">
        <v>111</v>
      </c>
      <c r="L231" s="1">
        <v>46143</v>
      </c>
      <c r="M231" s="1">
        <v>46173</v>
      </c>
      <c r="N231">
        <v>1.8620436926999999</v>
      </c>
      <c r="O231" t="s">
        <v>56</v>
      </c>
      <c r="P231" t="s">
        <v>63</v>
      </c>
      <c r="Q231" t="s">
        <v>3459</v>
      </c>
      <c r="R231" t="s">
        <v>3496</v>
      </c>
      <c r="S231" t="s">
        <v>67</v>
      </c>
      <c r="T231" t="s">
        <v>3853</v>
      </c>
      <c r="U231" t="s">
        <v>3854</v>
      </c>
      <c r="V231">
        <v>16</v>
      </c>
      <c r="W231" s="2">
        <v>324.8498855162</v>
      </c>
    </row>
    <row r="232" spans="1:23" x14ac:dyDescent="0.25">
      <c r="A232" t="s">
        <v>31</v>
      </c>
      <c r="B232" t="s">
        <v>32</v>
      </c>
      <c r="C232" t="s">
        <v>33</v>
      </c>
      <c r="D232" t="s">
        <v>34</v>
      </c>
      <c r="E232" t="s">
        <v>35</v>
      </c>
      <c r="F232" t="s">
        <v>36</v>
      </c>
      <c r="G232">
        <v>1141685</v>
      </c>
      <c r="H232" t="s">
        <v>77</v>
      </c>
      <c r="I232" t="s">
        <v>96</v>
      </c>
      <c r="J232" t="s">
        <v>77</v>
      </c>
      <c r="K232" t="s">
        <v>111</v>
      </c>
      <c r="L232" s="1">
        <v>46143</v>
      </c>
      <c r="M232" s="1">
        <v>46173</v>
      </c>
      <c r="N232">
        <v>1.3195718685</v>
      </c>
      <c r="O232" t="s">
        <v>56</v>
      </c>
      <c r="P232" t="s">
        <v>63</v>
      </c>
      <c r="Q232" t="s">
        <v>3459</v>
      </c>
      <c r="R232" t="s">
        <v>3496</v>
      </c>
      <c r="S232" t="s">
        <v>67</v>
      </c>
      <c r="T232" t="s">
        <v>3855</v>
      </c>
      <c r="U232" t="s">
        <v>3856</v>
      </c>
      <c r="V232">
        <v>16</v>
      </c>
      <c r="W232" s="2">
        <v>230.21700719879999</v>
      </c>
    </row>
    <row r="233" spans="1:23" x14ac:dyDescent="0.25">
      <c r="A233" t="s">
        <v>31</v>
      </c>
      <c r="B233" t="s">
        <v>32</v>
      </c>
      <c r="C233" t="s">
        <v>33</v>
      </c>
      <c r="D233" t="s">
        <v>34</v>
      </c>
      <c r="E233" t="s">
        <v>35</v>
      </c>
      <c r="F233" t="s">
        <v>36</v>
      </c>
      <c r="G233">
        <v>1141685</v>
      </c>
      <c r="H233" t="s">
        <v>87</v>
      </c>
      <c r="I233" t="s">
        <v>87</v>
      </c>
      <c r="J233" t="s">
        <v>87</v>
      </c>
      <c r="K233" t="s">
        <v>125</v>
      </c>
      <c r="L233" s="1">
        <v>46143</v>
      </c>
      <c r="M233" s="1">
        <v>46173</v>
      </c>
      <c r="N233">
        <v>744</v>
      </c>
      <c r="O233" t="s">
        <v>58</v>
      </c>
      <c r="P233" t="s">
        <v>63</v>
      </c>
      <c r="Q233" t="s">
        <v>3459</v>
      </c>
      <c r="R233" t="s">
        <v>164</v>
      </c>
      <c r="S233" t="s">
        <v>67</v>
      </c>
      <c r="T233" t="s">
        <v>3857</v>
      </c>
      <c r="U233" t="s">
        <v>3858</v>
      </c>
      <c r="V233">
        <v>12</v>
      </c>
      <c r="W233" s="2">
        <v>324495.598</v>
      </c>
    </row>
    <row r="234" spans="1:23" x14ac:dyDescent="0.25">
      <c r="A234" t="s">
        <v>31</v>
      </c>
      <c r="B234" t="s">
        <v>32</v>
      </c>
      <c r="C234" t="s">
        <v>33</v>
      </c>
      <c r="D234" t="s">
        <v>34</v>
      </c>
      <c r="E234" t="s">
        <v>35</v>
      </c>
      <c r="F234" t="s">
        <v>36</v>
      </c>
      <c r="G234">
        <v>1141685</v>
      </c>
      <c r="H234" t="s">
        <v>75</v>
      </c>
      <c r="I234" t="s">
        <v>94</v>
      </c>
      <c r="J234" t="s">
        <v>98</v>
      </c>
      <c r="K234" t="s">
        <v>108</v>
      </c>
      <c r="L234" s="1">
        <v>46143</v>
      </c>
      <c r="M234" s="1">
        <v>46173</v>
      </c>
      <c r="N234">
        <v>1.6767561399999999E-2</v>
      </c>
      <c r="O234" t="s">
        <v>56</v>
      </c>
      <c r="P234" t="s">
        <v>63</v>
      </c>
      <c r="Q234" t="s">
        <v>3459</v>
      </c>
      <c r="R234" t="s">
        <v>3460</v>
      </c>
      <c r="S234" t="s">
        <v>67</v>
      </c>
      <c r="T234" t="s">
        <v>3859</v>
      </c>
      <c r="U234" t="s">
        <v>3860</v>
      </c>
      <c r="V234">
        <v>15</v>
      </c>
      <c r="W234" s="2">
        <v>31.344076265999998</v>
      </c>
    </row>
    <row r="235" spans="1:23" x14ac:dyDescent="0.25">
      <c r="A235" t="s">
        <v>31</v>
      </c>
      <c r="B235" t="s">
        <v>32</v>
      </c>
      <c r="C235" t="s">
        <v>33</v>
      </c>
      <c r="D235" t="s">
        <v>34</v>
      </c>
      <c r="E235" t="s">
        <v>35</v>
      </c>
      <c r="F235" t="s">
        <v>36</v>
      </c>
      <c r="G235">
        <v>1141685</v>
      </c>
      <c r="H235" t="s">
        <v>75</v>
      </c>
      <c r="I235" t="s">
        <v>94</v>
      </c>
      <c r="J235" t="s">
        <v>98</v>
      </c>
      <c r="K235" t="s">
        <v>108</v>
      </c>
      <c r="L235" s="1">
        <v>46143</v>
      </c>
      <c r="M235" s="1">
        <v>46173</v>
      </c>
      <c r="N235">
        <v>3.1059047199999999E-2</v>
      </c>
      <c r="O235" t="s">
        <v>56</v>
      </c>
      <c r="P235" t="s">
        <v>63</v>
      </c>
      <c r="Q235" t="s">
        <v>3459</v>
      </c>
      <c r="R235" t="s">
        <v>3460</v>
      </c>
      <c r="S235" t="s">
        <v>67</v>
      </c>
      <c r="T235" t="s">
        <v>3861</v>
      </c>
      <c r="U235" t="s">
        <v>3862</v>
      </c>
      <c r="V235">
        <v>15</v>
      </c>
      <c r="W235" s="2">
        <v>59.493184437799997</v>
      </c>
    </row>
    <row r="236" spans="1:23" x14ac:dyDescent="0.25">
      <c r="A236" t="s">
        <v>31</v>
      </c>
      <c r="B236" t="s">
        <v>32</v>
      </c>
      <c r="C236" t="s">
        <v>33</v>
      </c>
      <c r="D236" t="s">
        <v>34</v>
      </c>
      <c r="E236" t="s">
        <v>35</v>
      </c>
      <c r="F236" t="s">
        <v>36</v>
      </c>
      <c r="G236">
        <v>1141685</v>
      </c>
      <c r="H236" t="s">
        <v>82</v>
      </c>
      <c r="I236" t="s">
        <v>82</v>
      </c>
      <c r="J236" t="s">
        <v>82</v>
      </c>
      <c r="K236" t="s">
        <v>118</v>
      </c>
      <c r="L236" s="1">
        <v>46143</v>
      </c>
      <c r="M236" s="1">
        <v>46173</v>
      </c>
      <c r="N236">
        <v>0.11450100000000001</v>
      </c>
      <c r="O236" t="s">
        <v>60</v>
      </c>
      <c r="P236" t="s">
        <v>63</v>
      </c>
      <c r="Q236" t="s">
        <v>3468</v>
      </c>
      <c r="R236" t="s">
        <v>148</v>
      </c>
      <c r="S236" t="s">
        <v>68</v>
      </c>
      <c r="T236" t="s">
        <v>3863</v>
      </c>
      <c r="U236" t="s">
        <v>3864</v>
      </c>
      <c r="V236">
        <v>7</v>
      </c>
      <c r="W236" s="2">
        <v>799.02972499199996</v>
      </c>
    </row>
    <row r="237" spans="1:23" x14ac:dyDescent="0.25">
      <c r="A237" t="s">
        <v>31</v>
      </c>
      <c r="B237" t="s">
        <v>32</v>
      </c>
      <c r="C237" t="s">
        <v>33</v>
      </c>
      <c r="D237" t="s">
        <v>34</v>
      </c>
      <c r="E237" t="s">
        <v>35</v>
      </c>
      <c r="F237" t="s">
        <v>36</v>
      </c>
      <c r="G237">
        <v>1141685</v>
      </c>
      <c r="H237" t="s">
        <v>87</v>
      </c>
      <c r="I237" t="s">
        <v>87</v>
      </c>
      <c r="J237" t="s">
        <v>87</v>
      </c>
      <c r="K237" t="s">
        <v>125</v>
      </c>
      <c r="L237" s="1">
        <v>46143</v>
      </c>
      <c r="M237" s="1">
        <v>46173</v>
      </c>
      <c r="N237">
        <v>744</v>
      </c>
      <c r="O237" t="s">
        <v>58</v>
      </c>
      <c r="P237" t="s">
        <v>63</v>
      </c>
      <c r="Q237" t="s">
        <v>3459</v>
      </c>
      <c r="R237" t="s">
        <v>158</v>
      </c>
      <c r="S237" t="s">
        <v>67</v>
      </c>
      <c r="T237" t="s">
        <v>3865</v>
      </c>
      <c r="U237" t="s">
        <v>3866</v>
      </c>
      <c r="V237">
        <v>12</v>
      </c>
      <c r="W237" s="2">
        <v>324495.598</v>
      </c>
    </row>
    <row r="238" spans="1:23" x14ac:dyDescent="0.25">
      <c r="A238" t="s">
        <v>31</v>
      </c>
      <c r="B238" t="s">
        <v>32</v>
      </c>
      <c r="C238" t="s">
        <v>33</v>
      </c>
      <c r="D238" t="s">
        <v>34</v>
      </c>
      <c r="E238" t="s">
        <v>35</v>
      </c>
      <c r="F238" t="s">
        <v>36</v>
      </c>
      <c r="G238">
        <v>1141685</v>
      </c>
      <c r="H238" t="s">
        <v>81</v>
      </c>
      <c r="I238" t="s">
        <v>97</v>
      </c>
      <c r="J238" t="s">
        <v>102</v>
      </c>
      <c r="K238" t="s">
        <v>117</v>
      </c>
      <c r="L238" s="1">
        <v>46143</v>
      </c>
      <c r="M238" s="1">
        <v>46173</v>
      </c>
      <c r="N238">
        <v>432</v>
      </c>
      <c r="O238" t="s">
        <v>58</v>
      </c>
      <c r="P238" t="s">
        <v>63</v>
      </c>
      <c r="Q238" t="s">
        <v>3472</v>
      </c>
      <c r="R238" t="s">
        <v>3473</v>
      </c>
      <c r="S238" t="s">
        <v>67</v>
      </c>
      <c r="T238" t="s">
        <v>70</v>
      </c>
      <c r="U238" t="s">
        <v>73</v>
      </c>
      <c r="V238">
        <v>6</v>
      </c>
      <c r="W238" s="2">
        <v>0</v>
      </c>
    </row>
    <row r="239" spans="1:23" x14ac:dyDescent="0.25">
      <c r="A239" t="s">
        <v>31</v>
      </c>
      <c r="B239" t="s">
        <v>32</v>
      </c>
      <c r="C239" t="s">
        <v>33</v>
      </c>
      <c r="D239" t="s">
        <v>34</v>
      </c>
      <c r="E239" t="s">
        <v>35</v>
      </c>
      <c r="F239" t="s">
        <v>36</v>
      </c>
      <c r="G239">
        <v>1141685</v>
      </c>
      <c r="H239" t="s">
        <v>88</v>
      </c>
      <c r="I239" t="s">
        <v>88</v>
      </c>
      <c r="J239" t="s">
        <v>88</v>
      </c>
      <c r="K239" t="s">
        <v>134</v>
      </c>
      <c r="L239" s="1">
        <v>46143</v>
      </c>
      <c r="M239" s="1">
        <v>46173</v>
      </c>
      <c r="N239">
        <v>0.54300000000000004</v>
      </c>
      <c r="O239" t="s">
        <v>60</v>
      </c>
      <c r="P239" t="s">
        <v>63</v>
      </c>
      <c r="Q239" t="s">
        <v>3472</v>
      </c>
      <c r="R239" t="s">
        <v>3678</v>
      </c>
      <c r="S239" t="s">
        <v>67</v>
      </c>
      <c r="T239" t="s">
        <v>3867</v>
      </c>
      <c r="U239" t="s">
        <v>3868</v>
      </c>
      <c r="V239">
        <v>6</v>
      </c>
      <c r="W239" s="2">
        <v>265.24910591999998</v>
      </c>
    </row>
    <row r="240" spans="1:23" x14ac:dyDescent="0.25">
      <c r="A240" t="s">
        <v>31</v>
      </c>
      <c r="B240" t="s">
        <v>32</v>
      </c>
      <c r="C240" t="s">
        <v>33</v>
      </c>
      <c r="D240" t="s">
        <v>34</v>
      </c>
      <c r="E240" t="s">
        <v>35</v>
      </c>
      <c r="F240" t="s">
        <v>36</v>
      </c>
      <c r="G240">
        <v>1141685</v>
      </c>
      <c r="H240" t="s">
        <v>89</v>
      </c>
      <c r="I240" t="s">
        <v>89</v>
      </c>
      <c r="J240" t="s">
        <v>89</v>
      </c>
      <c r="K240" t="s">
        <v>127</v>
      </c>
      <c r="L240" s="1">
        <v>46143</v>
      </c>
      <c r="M240" s="1">
        <v>46173</v>
      </c>
      <c r="N240">
        <v>3.5799999999999997E-4</v>
      </c>
      <c r="O240" t="s">
        <v>60</v>
      </c>
      <c r="P240" t="s">
        <v>63</v>
      </c>
      <c r="Q240" t="s">
        <v>3472</v>
      </c>
      <c r="R240" t="s">
        <v>3678</v>
      </c>
      <c r="S240" t="s">
        <v>67</v>
      </c>
      <c r="T240" t="s">
        <v>3869</v>
      </c>
      <c r="U240" t="s">
        <v>3870</v>
      </c>
      <c r="V240">
        <v>6</v>
      </c>
      <c r="W240" s="2">
        <v>0</v>
      </c>
    </row>
    <row r="241" spans="1:23" x14ac:dyDescent="0.25">
      <c r="A241" t="s">
        <v>31</v>
      </c>
      <c r="B241" t="s">
        <v>32</v>
      </c>
      <c r="C241" t="s">
        <v>33</v>
      </c>
      <c r="D241" t="s">
        <v>34</v>
      </c>
      <c r="E241" t="s">
        <v>35</v>
      </c>
      <c r="F241" t="s">
        <v>36</v>
      </c>
      <c r="G241">
        <v>1141685</v>
      </c>
      <c r="H241" t="s">
        <v>76</v>
      </c>
      <c r="I241" t="s">
        <v>95</v>
      </c>
      <c r="J241" t="s">
        <v>99</v>
      </c>
      <c r="K241" t="s">
        <v>109</v>
      </c>
      <c r="L241" s="1">
        <v>46143</v>
      </c>
      <c r="M241" s="1">
        <v>46173</v>
      </c>
      <c r="N241">
        <v>0.250004</v>
      </c>
      <c r="O241" t="s">
        <v>58</v>
      </c>
      <c r="P241" t="s">
        <v>63</v>
      </c>
      <c r="Q241" t="s">
        <v>3465</v>
      </c>
      <c r="R241" t="s">
        <v>3460</v>
      </c>
      <c r="S241" t="s">
        <v>67</v>
      </c>
      <c r="T241" t="s">
        <v>3492</v>
      </c>
      <c r="U241" t="s">
        <v>3493</v>
      </c>
      <c r="V241">
        <v>16</v>
      </c>
      <c r="W241" s="2">
        <v>0</v>
      </c>
    </row>
    <row r="242" spans="1:23" x14ac:dyDescent="0.25">
      <c r="A242" t="s">
        <v>31</v>
      </c>
      <c r="B242" t="s">
        <v>32</v>
      </c>
      <c r="C242" t="s">
        <v>33</v>
      </c>
      <c r="D242" t="s">
        <v>34</v>
      </c>
      <c r="E242" t="s">
        <v>35</v>
      </c>
      <c r="F242" t="s">
        <v>36</v>
      </c>
      <c r="G242">
        <v>1141685</v>
      </c>
      <c r="H242" t="s">
        <v>76</v>
      </c>
      <c r="I242" t="s">
        <v>95</v>
      </c>
      <c r="J242" t="s">
        <v>99</v>
      </c>
      <c r="K242" t="s">
        <v>109</v>
      </c>
      <c r="L242" s="1">
        <v>46143</v>
      </c>
      <c r="M242" s="1">
        <v>46173</v>
      </c>
      <c r="N242">
        <v>359.99998199999999</v>
      </c>
      <c r="O242" t="s">
        <v>58</v>
      </c>
      <c r="P242" t="s">
        <v>63</v>
      </c>
      <c r="Q242" t="s">
        <v>3465</v>
      </c>
      <c r="R242" t="s">
        <v>3460</v>
      </c>
      <c r="S242" t="s">
        <v>67</v>
      </c>
      <c r="T242" t="s">
        <v>3492</v>
      </c>
      <c r="U242" t="s">
        <v>3493</v>
      </c>
      <c r="V242">
        <v>16</v>
      </c>
      <c r="W242" s="2">
        <v>0</v>
      </c>
    </row>
    <row r="243" spans="1:23" x14ac:dyDescent="0.25">
      <c r="A243" t="s">
        <v>31</v>
      </c>
      <c r="B243" t="s">
        <v>32</v>
      </c>
      <c r="C243" t="s">
        <v>33</v>
      </c>
      <c r="D243" t="s">
        <v>34</v>
      </c>
      <c r="E243" t="s">
        <v>35</v>
      </c>
      <c r="F243" t="s">
        <v>36</v>
      </c>
      <c r="G243">
        <v>1141685</v>
      </c>
      <c r="H243" t="s">
        <v>76</v>
      </c>
      <c r="I243" t="s">
        <v>95</v>
      </c>
      <c r="J243" t="s">
        <v>99</v>
      </c>
      <c r="K243" t="s">
        <v>109</v>
      </c>
      <c r="L243" s="1">
        <v>46143</v>
      </c>
      <c r="M243" s="1">
        <v>46173</v>
      </c>
      <c r="N243">
        <v>0.60001099999999996</v>
      </c>
      <c r="O243" t="s">
        <v>58</v>
      </c>
      <c r="P243" t="s">
        <v>63</v>
      </c>
      <c r="Q243" t="s">
        <v>3465</v>
      </c>
      <c r="R243" t="s">
        <v>3496</v>
      </c>
      <c r="S243" t="s">
        <v>67</v>
      </c>
      <c r="T243" t="s">
        <v>3621</v>
      </c>
      <c r="U243" t="s">
        <v>3622</v>
      </c>
      <c r="V243">
        <v>16</v>
      </c>
      <c r="W243" s="2">
        <v>0</v>
      </c>
    </row>
    <row r="244" spans="1:23" x14ac:dyDescent="0.25">
      <c r="A244" t="s">
        <v>31</v>
      </c>
      <c r="B244" t="s">
        <v>32</v>
      </c>
      <c r="C244" t="s">
        <v>33</v>
      </c>
      <c r="D244" t="s">
        <v>34</v>
      </c>
      <c r="E244" t="s">
        <v>35</v>
      </c>
      <c r="F244" t="s">
        <v>36</v>
      </c>
      <c r="G244">
        <v>1141685</v>
      </c>
      <c r="H244" t="s">
        <v>76</v>
      </c>
      <c r="I244" t="s">
        <v>95</v>
      </c>
      <c r="J244" t="s">
        <v>99</v>
      </c>
      <c r="K244" t="s">
        <v>109</v>
      </c>
      <c r="L244" s="1">
        <v>46143</v>
      </c>
      <c r="M244" s="1">
        <v>46173</v>
      </c>
      <c r="N244">
        <v>168</v>
      </c>
      <c r="O244" t="s">
        <v>58</v>
      </c>
      <c r="P244" t="s">
        <v>63</v>
      </c>
      <c r="Q244" t="s">
        <v>3465</v>
      </c>
      <c r="R244" t="s">
        <v>3529</v>
      </c>
      <c r="S244" t="s">
        <v>67</v>
      </c>
      <c r="T244" t="s">
        <v>3615</v>
      </c>
      <c r="U244" t="s">
        <v>3616</v>
      </c>
      <c r="V244">
        <v>17</v>
      </c>
      <c r="W244" s="2">
        <v>0</v>
      </c>
    </row>
    <row r="245" spans="1:23" x14ac:dyDescent="0.25">
      <c r="A245" t="s">
        <v>31</v>
      </c>
      <c r="B245" t="s">
        <v>32</v>
      </c>
      <c r="C245" t="s">
        <v>33</v>
      </c>
      <c r="D245" t="s">
        <v>34</v>
      </c>
      <c r="E245" t="s">
        <v>35</v>
      </c>
      <c r="F245" t="s">
        <v>36</v>
      </c>
      <c r="G245">
        <v>1141685</v>
      </c>
      <c r="H245" t="s">
        <v>76</v>
      </c>
      <c r="I245" t="s">
        <v>95</v>
      </c>
      <c r="J245" t="s">
        <v>99</v>
      </c>
      <c r="K245" t="s">
        <v>109</v>
      </c>
      <c r="L245" s="1">
        <v>46143</v>
      </c>
      <c r="M245" s="1">
        <v>46173</v>
      </c>
      <c r="N245">
        <v>167.79999599999999</v>
      </c>
      <c r="O245" t="s">
        <v>58</v>
      </c>
      <c r="P245" t="s">
        <v>63</v>
      </c>
      <c r="Q245" t="s">
        <v>3465</v>
      </c>
      <c r="R245" t="s">
        <v>3496</v>
      </c>
      <c r="S245" t="s">
        <v>67</v>
      </c>
      <c r="T245" t="s">
        <v>3621</v>
      </c>
      <c r="U245" t="s">
        <v>3622</v>
      </c>
      <c r="V245">
        <v>16</v>
      </c>
      <c r="W245" s="2">
        <v>0</v>
      </c>
    </row>
    <row r="246" spans="1:23" x14ac:dyDescent="0.25">
      <c r="A246" t="s">
        <v>31</v>
      </c>
      <c r="B246" t="s">
        <v>32</v>
      </c>
      <c r="C246" t="s">
        <v>33</v>
      </c>
      <c r="D246" t="s">
        <v>34</v>
      </c>
      <c r="E246" t="s">
        <v>35</v>
      </c>
      <c r="F246" t="s">
        <v>36</v>
      </c>
      <c r="G246">
        <v>1141685</v>
      </c>
      <c r="H246" t="s">
        <v>75</v>
      </c>
      <c r="I246" t="s">
        <v>94</v>
      </c>
      <c r="J246" t="s">
        <v>98</v>
      </c>
      <c r="K246" t="s">
        <v>108</v>
      </c>
      <c r="L246" s="1">
        <v>46143</v>
      </c>
      <c r="M246" s="1">
        <v>46173</v>
      </c>
      <c r="N246">
        <v>6.9409952999999998E-3</v>
      </c>
      <c r="O246" t="s">
        <v>56</v>
      </c>
      <c r="P246" t="s">
        <v>63</v>
      </c>
      <c r="Q246" t="s">
        <v>3459</v>
      </c>
      <c r="R246" t="s">
        <v>3529</v>
      </c>
      <c r="S246" t="s">
        <v>67</v>
      </c>
      <c r="T246" t="s">
        <v>3871</v>
      </c>
      <c r="U246" t="s">
        <v>3872</v>
      </c>
      <c r="V246">
        <v>16</v>
      </c>
      <c r="W246" s="2">
        <v>13.2765457472</v>
      </c>
    </row>
    <row r="247" spans="1:23" x14ac:dyDescent="0.25">
      <c r="A247" t="s">
        <v>31</v>
      </c>
      <c r="B247" t="s">
        <v>32</v>
      </c>
      <c r="C247" t="s">
        <v>33</v>
      </c>
      <c r="D247" t="s">
        <v>34</v>
      </c>
      <c r="E247" t="s">
        <v>35</v>
      </c>
      <c r="F247" t="s">
        <v>36</v>
      </c>
      <c r="G247">
        <v>1141685</v>
      </c>
      <c r="H247" t="s">
        <v>3065</v>
      </c>
      <c r="I247" t="s">
        <v>42</v>
      </c>
      <c r="J247" t="s">
        <v>3065</v>
      </c>
      <c r="K247" t="s">
        <v>3066</v>
      </c>
      <c r="L247" s="4">
        <v>46173</v>
      </c>
      <c r="M247" s="4">
        <v>46173</v>
      </c>
      <c r="N247">
        <v>1143.22</v>
      </c>
      <c r="O247" t="s">
        <v>59</v>
      </c>
      <c r="P247" t="s">
        <v>63</v>
      </c>
      <c r="Q247" t="s">
        <v>3876</v>
      </c>
      <c r="R247" t="s">
        <v>3877</v>
      </c>
      <c r="S247" t="s">
        <v>66</v>
      </c>
      <c r="T247" t="s">
        <v>3878</v>
      </c>
      <c r="U247" t="s">
        <v>3879</v>
      </c>
      <c r="V247">
        <v>7</v>
      </c>
      <c r="W247" s="2">
        <v>29016</v>
      </c>
    </row>
    <row r="248" spans="1:23" x14ac:dyDescent="0.25">
      <c r="A248" t="s">
        <v>31</v>
      </c>
      <c r="B248" t="s">
        <v>32</v>
      </c>
      <c r="C248" t="s">
        <v>33</v>
      </c>
      <c r="D248" t="s">
        <v>34</v>
      </c>
      <c r="E248" t="s">
        <v>35</v>
      </c>
      <c r="F248" t="s">
        <v>36</v>
      </c>
      <c r="G248">
        <v>1141685</v>
      </c>
      <c r="H248" t="s">
        <v>3065</v>
      </c>
      <c r="I248" t="s">
        <v>42</v>
      </c>
      <c r="J248" t="s">
        <v>3065</v>
      </c>
      <c r="K248" t="s">
        <v>3066</v>
      </c>
      <c r="L248" s="4">
        <v>46173</v>
      </c>
      <c r="M248" s="4">
        <v>46173</v>
      </c>
      <c r="N248">
        <v>1143.22</v>
      </c>
      <c r="O248" t="s">
        <v>59</v>
      </c>
      <c r="P248" t="s">
        <v>63</v>
      </c>
      <c r="Q248" t="s">
        <v>3876</v>
      </c>
      <c r="R248" t="s">
        <v>3877</v>
      </c>
      <c r="S248" t="s">
        <v>66</v>
      </c>
      <c r="T248" t="s">
        <v>3878</v>
      </c>
      <c r="U248" t="s">
        <v>3879</v>
      </c>
      <c r="V248">
        <v>7</v>
      </c>
      <c r="W248" s="2">
        <v>29016</v>
      </c>
    </row>
    <row r="249" spans="1:23" x14ac:dyDescent="0.25">
      <c r="A249" t="s">
        <v>31</v>
      </c>
      <c r="B249" t="s">
        <v>32</v>
      </c>
      <c r="C249" t="s">
        <v>33</v>
      </c>
      <c r="D249" t="s">
        <v>34</v>
      </c>
      <c r="E249" t="s">
        <v>35</v>
      </c>
      <c r="F249" t="s">
        <v>36</v>
      </c>
      <c r="G249">
        <v>1141685</v>
      </c>
      <c r="H249" t="s">
        <v>3065</v>
      </c>
      <c r="I249" t="s">
        <v>42</v>
      </c>
      <c r="J249" t="s">
        <v>3065</v>
      </c>
      <c r="K249" t="s">
        <v>3066</v>
      </c>
      <c r="L249" s="4">
        <v>46173</v>
      </c>
      <c r="M249" s="4">
        <v>46173</v>
      </c>
      <c r="N249">
        <v>1143.22</v>
      </c>
      <c r="O249" t="s">
        <v>59</v>
      </c>
      <c r="P249" t="s">
        <v>63</v>
      </c>
      <c r="Q249" t="s">
        <v>3876</v>
      </c>
      <c r="R249" t="s">
        <v>3877</v>
      </c>
      <c r="S249" t="s">
        <v>66</v>
      </c>
      <c r="T249" t="s">
        <v>3878</v>
      </c>
      <c r="U249" t="s">
        <v>3879</v>
      </c>
      <c r="V249">
        <v>7</v>
      </c>
      <c r="W249" s="2">
        <v>29016</v>
      </c>
    </row>
    <row r="250" spans="1:23" x14ac:dyDescent="0.25">
      <c r="A250" t="s">
        <v>31</v>
      </c>
      <c r="B250" t="s">
        <v>32</v>
      </c>
      <c r="C250" t="s">
        <v>33</v>
      </c>
      <c r="D250" t="s">
        <v>34</v>
      </c>
      <c r="E250" t="s">
        <v>35</v>
      </c>
      <c r="F250" t="s">
        <v>36</v>
      </c>
      <c r="G250">
        <v>1141685</v>
      </c>
      <c r="H250" t="s">
        <v>3065</v>
      </c>
      <c r="I250" t="s">
        <v>42</v>
      </c>
      <c r="J250" t="s">
        <v>3065</v>
      </c>
      <c r="K250" t="s">
        <v>3066</v>
      </c>
      <c r="L250" s="4">
        <v>46173</v>
      </c>
      <c r="M250" s="4">
        <v>46173</v>
      </c>
      <c r="N250">
        <v>1143.22</v>
      </c>
      <c r="O250" t="s">
        <v>59</v>
      </c>
      <c r="P250" t="s">
        <v>63</v>
      </c>
      <c r="Q250" t="s">
        <v>3876</v>
      </c>
      <c r="R250" t="s">
        <v>3877</v>
      </c>
      <c r="S250" t="s">
        <v>66</v>
      </c>
      <c r="T250" t="s">
        <v>3878</v>
      </c>
      <c r="U250" t="s">
        <v>3879</v>
      </c>
      <c r="V250">
        <v>7</v>
      </c>
      <c r="W250" s="2">
        <v>29016</v>
      </c>
    </row>
    <row r="251" spans="1:23" x14ac:dyDescent="0.25">
      <c r="A251" t="s">
        <v>31</v>
      </c>
      <c r="B251" t="s">
        <v>32</v>
      </c>
      <c r="C251" t="s">
        <v>33</v>
      </c>
      <c r="D251" t="s">
        <v>34</v>
      </c>
      <c r="E251" t="s">
        <v>35</v>
      </c>
      <c r="F251" t="s">
        <v>36</v>
      </c>
      <c r="G251">
        <v>1141685</v>
      </c>
      <c r="H251" t="s">
        <v>3065</v>
      </c>
      <c r="I251" t="s">
        <v>42</v>
      </c>
      <c r="J251" t="s">
        <v>3065</v>
      </c>
      <c r="K251" t="s">
        <v>3066</v>
      </c>
      <c r="L251" s="4">
        <v>46173</v>
      </c>
      <c r="M251" s="4">
        <v>46173</v>
      </c>
      <c r="N251">
        <v>1143.22</v>
      </c>
      <c r="O251" t="s">
        <v>59</v>
      </c>
      <c r="P251" t="s">
        <v>63</v>
      </c>
      <c r="Q251" t="s">
        <v>3876</v>
      </c>
      <c r="R251" t="s">
        <v>3877</v>
      </c>
      <c r="S251" t="s">
        <v>66</v>
      </c>
      <c r="T251" t="s">
        <v>3878</v>
      </c>
      <c r="U251" t="s">
        <v>3879</v>
      </c>
      <c r="V251">
        <v>7</v>
      </c>
      <c r="W251" s="2">
        <v>29016</v>
      </c>
    </row>
    <row r="252" spans="1:23" x14ac:dyDescent="0.25">
      <c r="A252" t="s">
        <v>31</v>
      </c>
      <c r="B252" t="s">
        <v>32</v>
      </c>
      <c r="C252" t="s">
        <v>33</v>
      </c>
      <c r="D252" t="s">
        <v>34</v>
      </c>
      <c r="E252" t="s">
        <v>35</v>
      </c>
      <c r="F252" t="s">
        <v>36</v>
      </c>
      <c r="G252">
        <v>1141685</v>
      </c>
      <c r="H252" t="s">
        <v>3065</v>
      </c>
      <c r="I252" t="s">
        <v>42</v>
      </c>
      <c r="J252" t="s">
        <v>3065</v>
      </c>
      <c r="K252" t="s">
        <v>3066</v>
      </c>
      <c r="L252" s="4">
        <v>46173</v>
      </c>
      <c r="M252" s="4">
        <v>46173</v>
      </c>
      <c r="N252">
        <v>1143.22</v>
      </c>
      <c r="O252" t="s">
        <v>59</v>
      </c>
      <c r="P252" t="s">
        <v>63</v>
      </c>
      <c r="Q252" t="s">
        <v>3876</v>
      </c>
      <c r="R252" t="s">
        <v>3877</v>
      </c>
      <c r="S252" t="s">
        <v>66</v>
      </c>
      <c r="T252" t="s">
        <v>3878</v>
      </c>
      <c r="U252" t="s">
        <v>3879</v>
      </c>
      <c r="V252">
        <v>7</v>
      </c>
      <c r="W252" s="2">
        <v>29016</v>
      </c>
    </row>
    <row r="253" spans="1:23" x14ac:dyDescent="0.25">
      <c r="A253" t="s">
        <v>31</v>
      </c>
      <c r="B253" t="s">
        <v>32</v>
      </c>
      <c r="C253" t="s">
        <v>33</v>
      </c>
      <c r="D253" t="s">
        <v>34</v>
      </c>
      <c r="E253" t="s">
        <v>35</v>
      </c>
      <c r="F253" t="s">
        <v>36</v>
      </c>
      <c r="G253">
        <v>1141685</v>
      </c>
      <c r="H253" t="s">
        <v>3065</v>
      </c>
      <c r="I253" t="s">
        <v>42</v>
      </c>
      <c r="J253" t="s">
        <v>3065</v>
      </c>
      <c r="K253" t="s">
        <v>3066</v>
      </c>
      <c r="L253" s="4">
        <v>46173</v>
      </c>
      <c r="M253" s="4">
        <v>46173</v>
      </c>
      <c r="N253">
        <v>1143.22</v>
      </c>
      <c r="O253" t="s">
        <v>59</v>
      </c>
      <c r="P253" t="s">
        <v>63</v>
      </c>
      <c r="Q253" t="s">
        <v>3876</v>
      </c>
      <c r="R253" t="s">
        <v>3877</v>
      </c>
      <c r="S253" t="s">
        <v>66</v>
      </c>
      <c r="T253" t="s">
        <v>3878</v>
      </c>
      <c r="U253" t="s">
        <v>3879</v>
      </c>
      <c r="V253">
        <v>7</v>
      </c>
      <c r="W253" s="2">
        <v>29016</v>
      </c>
    </row>
    <row r="254" spans="1:23" x14ac:dyDescent="0.25">
      <c r="A254" t="s">
        <v>31</v>
      </c>
      <c r="B254" t="s">
        <v>32</v>
      </c>
      <c r="C254" t="s">
        <v>33</v>
      </c>
      <c r="D254" t="s">
        <v>34</v>
      </c>
      <c r="E254" t="s">
        <v>35</v>
      </c>
      <c r="F254" t="s">
        <v>36</v>
      </c>
      <c r="G254">
        <v>1141685</v>
      </c>
      <c r="H254" t="s">
        <v>3065</v>
      </c>
      <c r="I254" t="s">
        <v>42</v>
      </c>
      <c r="J254" t="s">
        <v>3065</v>
      </c>
      <c r="K254" t="s">
        <v>3066</v>
      </c>
      <c r="L254" s="4">
        <v>46173</v>
      </c>
      <c r="M254" s="4">
        <v>46173</v>
      </c>
      <c r="N254">
        <v>1143.22</v>
      </c>
      <c r="O254" t="s">
        <v>59</v>
      </c>
      <c r="P254" t="s">
        <v>63</v>
      </c>
      <c r="Q254" t="s">
        <v>3876</v>
      </c>
      <c r="R254" t="s">
        <v>3877</v>
      </c>
      <c r="S254" t="s">
        <v>66</v>
      </c>
      <c r="T254" t="s">
        <v>3878</v>
      </c>
      <c r="U254" t="s">
        <v>3879</v>
      </c>
      <c r="V254">
        <v>7</v>
      </c>
      <c r="W254" s="2">
        <v>29016</v>
      </c>
    </row>
    <row r="255" spans="1:23" x14ac:dyDescent="0.25">
      <c r="A255" t="s">
        <v>31</v>
      </c>
      <c r="B255" t="s">
        <v>32</v>
      </c>
      <c r="C255" t="s">
        <v>33</v>
      </c>
      <c r="D255" t="s">
        <v>34</v>
      </c>
      <c r="E255" t="s">
        <v>35</v>
      </c>
      <c r="F255" t="s">
        <v>36</v>
      </c>
      <c r="G255">
        <v>1141685</v>
      </c>
      <c r="H255" t="s">
        <v>3065</v>
      </c>
      <c r="I255" t="s">
        <v>42</v>
      </c>
      <c r="J255" t="s">
        <v>3065</v>
      </c>
      <c r="K255" t="s">
        <v>3066</v>
      </c>
      <c r="L255" s="4">
        <v>46173</v>
      </c>
      <c r="M255" s="4">
        <v>46173</v>
      </c>
      <c r="N255">
        <v>1143.22</v>
      </c>
      <c r="O255" t="s">
        <v>59</v>
      </c>
      <c r="P255" t="s">
        <v>63</v>
      </c>
      <c r="Q255" t="s">
        <v>3876</v>
      </c>
      <c r="R255" t="s">
        <v>3877</v>
      </c>
      <c r="S255" t="s">
        <v>66</v>
      </c>
      <c r="T255" t="s">
        <v>3878</v>
      </c>
      <c r="U255" t="s">
        <v>3879</v>
      </c>
      <c r="V255">
        <v>7</v>
      </c>
      <c r="W255" s="2">
        <v>29016</v>
      </c>
    </row>
    <row r="256" spans="1:23" x14ac:dyDescent="0.25">
      <c r="A256" t="s">
        <v>31</v>
      </c>
      <c r="B256" t="s">
        <v>32</v>
      </c>
      <c r="C256" t="s">
        <v>33</v>
      </c>
      <c r="D256" t="s">
        <v>34</v>
      </c>
      <c r="E256" t="s">
        <v>35</v>
      </c>
      <c r="F256" t="s">
        <v>36</v>
      </c>
      <c r="G256">
        <v>1141685</v>
      </c>
      <c r="H256" t="s">
        <v>3065</v>
      </c>
      <c r="I256" t="s">
        <v>42</v>
      </c>
      <c r="J256" t="s">
        <v>3065</v>
      </c>
      <c r="K256" t="s">
        <v>3066</v>
      </c>
      <c r="L256" s="4">
        <v>46173</v>
      </c>
      <c r="M256" s="4">
        <v>46173</v>
      </c>
      <c r="N256">
        <v>1143.22</v>
      </c>
      <c r="O256" t="s">
        <v>59</v>
      </c>
      <c r="P256" t="s">
        <v>63</v>
      </c>
      <c r="Q256" t="s">
        <v>3876</v>
      </c>
      <c r="R256" t="s">
        <v>3877</v>
      </c>
      <c r="S256" t="s">
        <v>66</v>
      </c>
      <c r="T256" t="s">
        <v>3878</v>
      </c>
      <c r="U256" t="s">
        <v>3879</v>
      </c>
      <c r="V256">
        <v>7</v>
      </c>
      <c r="W256" s="2">
        <v>29016</v>
      </c>
    </row>
    <row r="257" spans="1:23" x14ac:dyDescent="0.25">
      <c r="A257" t="s">
        <v>31</v>
      </c>
      <c r="B257" t="s">
        <v>32</v>
      </c>
      <c r="C257" t="s">
        <v>33</v>
      </c>
      <c r="D257" t="s">
        <v>34</v>
      </c>
      <c r="E257" t="s">
        <v>35</v>
      </c>
      <c r="F257" t="s">
        <v>36</v>
      </c>
      <c r="G257">
        <v>1141685</v>
      </c>
      <c r="H257" t="s">
        <v>3065</v>
      </c>
      <c r="I257" t="s">
        <v>42</v>
      </c>
      <c r="J257" t="s">
        <v>3065</v>
      </c>
      <c r="K257" t="s">
        <v>3066</v>
      </c>
      <c r="L257" s="4">
        <v>46173</v>
      </c>
      <c r="M257" s="4">
        <v>46173</v>
      </c>
      <c r="N257">
        <v>1143.22</v>
      </c>
      <c r="O257" t="s">
        <v>59</v>
      </c>
      <c r="P257" t="s">
        <v>63</v>
      </c>
      <c r="Q257" t="s">
        <v>3876</v>
      </c>
      <c r="R257" t="s">
        <v>3877</v>
      </c>
      <c r="S257" t="s">
        <v>66</v>
      </c>
      <c r="T257" t="s">
        <v>3878</v>
      </c>
      <c r="U257" t="s">
        <v>3879</v>
      </c>
      <c r="V257">
        <v>7</v>
      </c>
      <c r="W257" s="2">
        <v>29016</v>
      </c>
    </row>
    <row r="258" spans="1:23" x14ac:dyDescent="0.25">
      <c r="A258" t="s">
        <v>31</v>
      </c>
      <c r="B258" t="s">
        <v>32</v>
      </c>
      <c r="C258" t="s">
        <v>33</v>
      </c>
      <c r="D258" t="s">
        <v>34</v>
      </c>
      <c r="E258" t="s">
        <v>35</v>
      </c>
      <c r="F258" t="s">
        <v>36</v>
      </c>
      <c r="G258">
        <v>1141685</v>
      </c>
      <c r="H258" t="s">
        <v>3065</v>
      </c>
      <c r="I258" t="s">
        <v>42</v>
      </c>
      <c r="J258" t="s">
        <v>3065</v>
      </c>
      <c r="K258" t="s">
        <v>3066</v>
      </c>
      <c r="L258" s="4">
        <v>46173</v>
      </c>
      <c r="M258" s="4">
        <v>46173</v>
      </c>
      <c r="N258">
        <v>1143.22</v>
      </c>
      <c r="O258" t="s">
        <v>59</v>
      </c>
      <c r="P258" t="s">
        <v>63</v>
      </c>
      <c r="Q258" t="s">
        <v>3876</v>
      </c>
      <c r="R258" t="s">
        <v>3877</v>
      </c>
      <c r="S258" t="s">
        <v>66</v>
      </c>
      <c r="T258" t="s">
        <v>3878</v>
      </c>
      <c r="U258" t="s">
        <v>3879</v>
      </c>
      <c r="V258">
        <v>7</v>
      </c>
      <c r="W258" s="2">
        <v>29016</v>
      </c>
    </row>
    <row r="259" spans="1:23" x14ac:dyDescent="0.25">
      <c r="A259" t="s">
        <v>31</v>
      </c>
      <c r="B259" t="s">
        <v>32</v>
      </c>
      <c r="C259" t="s">
        <v>33</v>
      </c>
      <c r="D259" t="s">
        <v>34</v>
      </c>
      <c r="E259" t="s">
        <v>35</v>
      </c>
      <c r="F259" t="s">
        <v>36</v>
      </c>
      <c r="G259">
        <v>1141685</v>
      </c>
      <c r="H259" t="s">
        <v>3065</v>
      </c>
      <c r="I259" t="s">
        <v>42</v>
      </c>
      <c r="J259" t="s">
        <v>3065</v>
      </c>
      <c r="K259" t="s">
        <v>3066</v>
      </c>
      <c r="L259" s="4">
        <v>46173</v>
      </c>
      <c r="M259" s="4">
        <v>46173</v>
      </c>
      <c r="N259">
        <v>1143.22</v>
      </c>
      <c r="O259" t="s">
        <v>59</v>
      </c>
      <c r="P259" t="s">
        <v>63</v>
      </c>
      <c r="Q259" t="s">
        <v>3876</v>
      </c>
      <c r="R259" t="s">
        <v>3877</v>
      </c>
      <c r="S259" t="s">
        <v>66</v>
      </c>
      <c r="T259" t="s">
        <v>3878</v>
      </c>
      <c r="U259" t="s">
        <v>3879</v>
      </c>
      <c r="V259">
        <v>7</v>
      </c>
      <c r="W259" s="2">
        <v>29016</v>
      </c>
    </row>
    <row r="260" spans="1:23" x14ac:dyDescent="0.25">
      <c r="A260" t="s">
        <v>31</v>
      </c>
      <c r="B260" t="s">
        <v>32</v>
      </c>
      <c r="C260" t="s">
        <v>33</v>
      </c>
      <c r="D260" t="s">
        <v>34</v>
      </c>
      <c r="E260" t="s">
        <v>35</v>
      </c>
      <c r="F260" t="s">
        <v>36</v>
      </c>
      <c r="G260">
        <v>1141685</v>
      </c>
      <c r="H260" t="s">
        <v>3065</v>
      </c>
      <c r="I260" t="s">
        <v>42</v>
      </c>
      <c r="J260" t="s">
        <v>3065</v>
      </c>
      <c r="K260" t="s">
        <v>3066</v>
      </c>
      <c r="L260" s="4">
        <v>46173</v>
      </c>
      <c r="M260" s="4">
        <v>46173</v>
      </c>
      <c r="N260">
        <v>1143.22</v>
      </c>
      <c r="O260" t="s">
        <v>59</v>
      </c>
      <c r="P260" t="s">
        <v>63</v>
      </c>
      <c r="Q260" t="s">
        <v>3876</v>
      </c>
      <c r="R260" t="s">
        <v>3877</v>
      </c>
      <c r="S260" t="s">
        <v>66</v>
      </c>
      <c r="T260" t="s">
        <v>3878</v>
      </c>
      <c r="U260" t="s">
        <v>3879</v>
      </c>
      <c r="V260">
        <v>7</v>
      </c>
      <c r="W260" s="2">
        <v>29016</v>
      </c>
    </row>
    <row r="261" spans="1:23" x14ac:dyDescent="0.25">
      <c r="A261" t="s">
        <v>31</v>
      </c>
      <c r="B261" t="s">
        <v>32</v>
      </c>
      <c r="C261" t="s">
        <v>33</v>
      </c>
      <c r="D261" t="s">
        <v>34</v>
      </c>
      <c r="E261" t="s">
        <v>35</v>
      </c>
      <c r="F261" t="s">
        <v>36</v>
      </c>
      <c r="G261">
        <v>1141685</v>
      </c>
      <c r="H261" t="s">
        <v>3065</v>
      </c>
      <c r="I261" t="s">
        <v>42</v>
      </c>
      <c r="J261" t="s">
        <v>3065</v>
      </c>
      <c r="K261" t="s">
        <v>3066</v>
      </c>
      <c r="L261" s="4">
        <v>46173</v>
      </c>
      <c r="M261" s="4">
        <v>46173</v>
      </c>
      <c r="N261">
        <v>1143.22</v>
      </c>
      <c r="O261" t="s">
        <v>59</v>
      </c>
      <c r="P261" t="s">
        <v>63</v>
      </c>
      <c r="Q261" t="s">
        <v>3876</v>
      </c>
      <c r="R261" t="s">
        <v>3877</v>
      </c>
      <c r="S261" t="s">
        <v>66</v>
      </c>
      <c r="T261" t="s">
        <v>3878</v>
      </c>
      <c r="U261" t="s">
        <v>3879</v>
      </c>
      <c r="V261">
        <v>7</v>
      </c>
      <c r="W261" s="2">
        <v>29016</v>
      </c>
    </row>
    <row r="262" spans="1:23" x14ac:dyDescent="0.25">
      <c r="A262" t="s">
        <v>31</v>
      </c>
      <c r="B262" t="s">
        <v>32</v>
      </c>
      <c r="C262" t="s">
        <v>33</v>
      </c>
      <c r="D262" t="s">
        <v>34</v>
      </c>
      <c r="E262" t="s">
        <v>35</v>
      </c>
      <c r="F262" t="s">
        <v>36</v>
      </c>
      <c r="G262">
        <v>1141685</v>
      </c>
      <c r="H262" t="s">
        <v>3065</v>
      </c>
      <c r="I262" t="s">
        <v>42</v>
      </c>
      <c r="J262" t="s">
        <v>3065</v>
      </c>
      <c r="K262" t="s">
        <v>3066</v>
      </c>
      <c r="L262" s="4">
        <v>46173</v>
      </c>
      <c r="M262" s="4">
        <v>46173</v>
      </c>
      <c r="N262">
        <v>1143.22</v>
      </c>
      <c r="O262" t="s">
        <v>59</v>
      </c>
      <c r="P262" t="s">
        <v>63</v>
      </c>
      <c r="Q262" t="s">
        <v>3876</v>
      </c>
      <c r="R262" t="s">
        <v>3877</v>
      </c>
      <c r="S262" t="s">
        <v>66</v>
      </c>
      <c r="T262" t="s">
        <v>3878</v>
      </c>
      <c r="U262" t="s">
        <v>3879</v>
      </c>
      <c r="V262">
        <v>7</v>
      </c>
      <c r="W262" s="2">
        <v>29016</v>
      </c>
    </row>
    <row r="263" spans="1:23" x14ac:dyDescent="0.25">
      <c r="A263" t="s">
        <v>31</v>
      </c>
      <c r="B263" t="s">
        <v>32</v>
      </c>
      <c r="C263" t="s">
        <v>33</v>
      </c>
      <c r="D263" t="s">
        <v>34</v>
      </c>
      <c r="E263" t="s">
        <v>35</v>
      </c>
      <c r="F263" t="s">
        <v>36</v>
      </c>
      <c r="G263">
        <v>1141685</v>
      </c>
      <c r="H263" t="s">
        <v>3065</v>
      </c>
      <c r="I263" t="s">
        <v>42</v>
      </c>
      <c r="J263" t="s">
        <v>3065</v>
      </c>
      <c r="K263" t="s">
        <v>3066</v>
      </c>
      <c r="L263" s="4">
        <v>46173</v>
      </c>
      <c r="M263" s="4">
        <v>46173</v>
      </c>
      <c r="N263">
        <v>1143.22</v>
      </c>
      <c r="O263" t="s">
        <v>59</v>
      </c>
      <c r="P263" t="s">
        <v>63</v>
      </c>
      <c r="Q263" t="s">
        <v>3876</v>
      </c>
      <c r="R263" t="s">
        <v>3877</v>
      </c>
      <c r="S263" t="s">
        <v>66</v>
      </c>
      <c r="T263" t="s">
        <v>3878</v>
      </c>
      <c r="U263" t="s">
        <v>3879</v>
      </c>
      <c r="V263">
        <v>7</v>
      </c>
      <c r="W263" s="2">
        <v>29016</v>
      </c>
    </row>
    <row r="264" spans="1:23" x14ac:dyDescent="0.25">
      <c r="A264" t="s">
        <v>31</v>
      </c>
      <c r="B264" t="s">
        <v>32</v>
      </c>
      <c r="C264" t="s">
        <v>33</v>
      </c>
      <c r="D264" t="s">
        <v>34</v>
      </c>
      <c r="E264" t="s">
        <v>35</v>
      </c>
      <c r="F264" t="s">
        <v>36</v>
      </c>
      <c r="G264">
        <v>1141685</v>
      </c>
      <c r="H264" t="s">
        <v>3065</v>
      </c>
      <c r="I264" t="s">
        <v>42</v>
      </c>
      <c r="J264" t="s">
        <v>3065</v>
      </c>
      <c r="K264" t="s">
        <v>3066</v>
      </c>
      <c r="L264" s="4">
        <v>46173</v>
      </c>
      <c r="M264" s="4">
        <v>46173</v>
      </c>
      <c r="N264">
        <v>1143.22</v>
      </c>
      <c r="O264" t="s">
        <v>59</v>
      </c>
      <c r="P264" t="s">
        <v>63</v>
      </c>
      <c r="Q264" t="s">
        <v>3876</v>
      </c>
      <c r="R264" t="s">
        <v>3877</v>
      </c>
      <c r="S264" t="s">
        <v>66</v>
      </c>
      <c r="T264" t="s">
        <v>3878</v>
      </c>
      <c r="U264" t="s">
        <v>3879</v>
      </c>
      <c r="V264">
        <v>7</v>
      </c>
      <c r="W264" s="2">
        <v>29016</v>
      </c>
    </row>
    <row r="265" spans="1:23" x14ac:dyDescent="0.25">
      <c r="A265" t="s">
        <v>31</v>
      </c>
      <c r="B265" t="s">
        <v>32</v>
      </c>
      <c r="C265" t="s">
        <v>33</v>
      </c>
      <c r="D265" t="s">
        <v>34</v>
      </c>
      <c r="E265" t="s">
        <v>35</v>
      </c>
      <c r="F265" t="s">
        <v>36</v>
      </c>
      <c r="G265">
        <v>1141685</v>
      </c>
      <c r="H265" t="s">
        <v>3065</v>
      </c>
      <c r="I265" t="s">
        <v>42</v>
      </c>
      <c r="J265" t="s">
        <v>3065</v>
      </c>
      <c r="K265" t="s">
        <v>3066</v>
      </c>
      <c r="L265" s="4">
        <v>46173</v>
      </c>
      <c r="M265" s="4">
        <v>46173</v>
      </c>
      <c r="N265">
        <v>1143.22</v>
      </c>
      <c r="O265" t="s">
        <v>59</v>
      </c>
      <c r="P265" t="s">
        <v>63</v>
      </c>
      <c r="Q265" t="s">
        <v>3876</v>
      </c>
      <c r="R265" t="s">
        <v>3877</v>
      </c>
      <c r="S265" t="s">
        <v>66</v>
      </c>
      <c r="T265" t="s">
        <v>3878</v>
      </c>
      <c r="U265" t="s">
        <v>3879</v>
      </c>
      <c r="V265">
        <v>7</v>
      </c>
      <c r="W265" s="2">
        <v>29016</v>
      </c>
    </row>
    <row r="266" spans="1:23" x14ac:dyDescent="0.25">
      <c r="A266" t="s">
        <v>31</v>
      </c>
      <c r="B266" t="s">
        <v>32</v>
      </c>
      <c r="C266" t="s">
        <v>33</v>
      </c>
      <c r="D266" t="s">
        <v>34</v>
      </c>
      <c r="E266" t="s">
        <v>35</v>
      </c>
      <c r="F266" t="s">
        <v>36</v>
      </c>
      <c r="G266">
        <v>1141685</v>
      </c>
      <c r="H266" t="s">
        <v>3065</v>
      </c>
      <c r="I266" t="s">
        <v>42</v>
      </c>
      <c r="J266" t="s">
        <v>3065</v>
      </c>
      <c r="K266" t="s">
        <v>3066</v>
      </c>
      <c r="L266" s="4">
        <v>46173</v>
      </c>
      <c r="M266" s="4">
        <v>46173</v>
      </c>
      <c r="N266">
        <v>1143.22</v>
      </c>
      <c r="O266" t="s">
        <v>59</v>
      </c>
      <c r="P266" t="s">
        <v>63</v>
      </c>
      <c r="Q266" t="s">
        <v>3876</v>
      </c>
      <c r="R266" t="s">
        <v>3877</v>
      </c>
      <c r="S266" t="s">
        <v>66</v>
      </c>
      <c r="T266" t="s">
        <v>3878</v>
      </c>
      <c r="U266" t="s">
        <v>3879</v>
      </c>
      <c r="V266">
        <v>7</v>
      </c>
      <c r="W266" s="2">
        <v>29016</v>
      </c>
    </row>
    <row r="267" spans="1:23" x14ac:dyDescent="0.25">
      <c r="A267" t="s">
        <v>31</v>
      </c>
      <c r="B267" t="s">
        <v>32</v>
      </c>
      <c r="C267" t="s">
        <v>33</v>
      </c>
      <c r="D267" t="s">
        <v>34</v>
      </c>
      <c r="E267" t="s">
        <v>35</v>
      </c>
      <c r="F267" t="s">
        <v>36</v>
      </c>
      <c r="G267">
        <v>1141685</v>
      </c>
      <c r="H267" t="s">
        <v>3065</v>
      </c>
      <c r="I267" t="s">
        <v>42</v>
      </c>
      <c r="J267" t="s">
        <v>3065</v>
      </c>
      <c r="K267" t="s">
        <v>3066</v>
      </c>
      <c r="L267" s="4">
        <v>46173</v>
      </c>
      <c r="M267" s="4">
        <v>46173</v>
      </c>
      <c r="N267">
        <v>1143.22</v>
      </c>
      <c r="O267" t="s">
        <v>59</v>
      </c>
      <c r="P267" t="s">
        <v>63</v>
      </c>
      <c r="Q267" t="s">
        <v>3876</v>
      </c>
      <c r="R267" t="s">
        <v>3877</v>
      </c>
      <c r="S267" t="s">
        <v>66</v>
      </c>
      <c r="T267" t="s">
        <v>3878</v>
      </c>
      <c r="U267" t="s">
        <v>3879</v>
      </c>
      <c r="V267">
        <v>7</v>
      </c>
      <c r="W267" s="2">
        <v>29016</v>
      </c>
    </row>
    <row r="268" spans="1:23" x14ac:dyDescent="0.25">
      <c r="A268" t="s">
        <v>31</v>
      </c>
      <c r="B268" t="s">
        <v>32</v>
      </c>
      <c r="C268" t="s">
        <v>33</v>
      </c>
      <c r="D268" t="s">
        <v>34</v>
      </c>
      <c r="E268" t="s">
        <v>35</v>
      </c>
      <c r="F268" t="s">
        <v>36</v>
      </c>
      <c r="G268">
        <v>1141685</v>
      </c>
      <c r="H268" t="s">
        <v>3065</v>
      </c>
      <c r="I268" t="s">
        <v>42</v>
      </c>
      <c r="J268" t="s">
        <v>3065</v>
      </c>
      <c r="K268" t="s">
        <v>3066</v>
      </c>
      <c r="L268" s="4">
        <v>46173</v>
      </c>
      <c r="M268" s="4">
        <v>46173</v>
      </c>
      <c r="N268">
        <v>1143.22</v>
      </c>
      <c r="O268" t="s">
        <v>59</v>
      </c>
      <c r="P268" t="s">
        <v>63</v>
      </c>
      <c r="Q268" t="s">
        <v>3876</v>
      </c>
      <c r="R268" t="s">
        <v>3877</v>
      </c>
      <c r="S268" t="s">
        <v>66</v>
      </c>
      <c r="T268" t="s">
        <v>3878</v>
      </c>
      <c r="U268" t="s">
        <v>3879</v>
      </c>
      <c r="V268">
        <v>7</v>
      </c>
      <c r="W268" s="2">
        <v>29016</v>
      </c>
    </row>
    <row r="269" spans="1:23" x14ac:dyDescent="0.25">
      <c r="A269" t="s">
        <v>31</v>
      </c>
      <c r="B269" t="s">
        <v>32</v>
      </c>
      <c r="C269" t="s">
        <v>33</v>
      </c>
      <c r="D269" t="s">
        <v>34</v>
      </c>
      <c r="E269" t="s">
        <v>35</v>
      </c>
      <c r="F269" t="s">
        <v>36</v>
      </c>
      <c r="G269">
        <v>1141685</v>
      </c>
      <c r="H269" t="s">
        <v>3065</v>
      </c>
      <c r="I269" t="s">
        <v>42</v>
      </c>
      <c r="J269" t="s">
        <v>3065</v>
      </c>
      <c r="K269" t="s">
        <v>3066</v>
      </c>
      <c r="L269" s="4">
        <v>46173</v>
      </c>
      <c r="M269" s="4">
        <v>46173</v>
      </c>
      <c r="N269">
        <v>1143.22</v>
      </c>
      <c r="O269" t="s">
        <v>59</v>
      </c>
      <c r="P269" t="s">
        <v>63</v>
      </c>
      <c r="Q269" t="s">
        <v>3876</v>
      </c>
      <c r="R269" t="s">
        <v>3877</v>
      </c>
      <c r="S269" t="s">
        <v>66</v>
      </c>
      <c r="T269" t="s">
        <v>3878</v>
      </c>
      <c r="U269" t="s">
        <v>3879</v>
      </c>
      <c r="V269">
        <v>7</v>
      </c>
      <c r="W269" s="2">
        <v>29016</v>
      </c>
    </row>
    <row r="270" spans="1:23" x14ac:dyDescent="0.25">
      <c r="A270" t="s">
        <v>31</v>
      </c>
      <c r="B270" t="s">
        <v>32</v>
      </c>
      <c r="C270" t="s">
        <v>33</v>
      </c>
      <c r="D270" t="s">
        <v>34</v>
      </c>
      <c r="E270" t="s">
        <v>35</v>
      </c>
      <c r="F270" t="s">
        <v>36</v>
      </c>
      <c r="G270">
        <v>1141685</v>
      </c>
      <c r="H270" t="s">
        <v>3065</v>
      </c>
      <c r="I270" t="s">
        <v>42</v>
      </c>
      <c r="J270" t="s">
        <v>3065</v>
      </c>
      <c r="K270" t="s">
        <v>3066</v>
      </c>
      <c r="L270" s="4">
        <v>46173</v>
      </c>
      <c r="M270" s="4">
        <v>46173</v>
      </c>
      <c r="N270">
        <v>1143.22</v>
      </c>
      <c r="O270" t="s">
        <v>59</v>
      </c>
      <c r="P270" t="s">
        <v>63</v>
      </c>
      <c r="Q270" t="s">
        <v>3876</v>
      </c>
      <c r="R270" t="s">
        <v>3877</v>
      </c>
      <c r="S270" t="s">
        <v>66</v>
      </c>
      <c r="T270" t="s">
        <v>3878</v>
      </c>
      <c r="U270" t="s">
        <v>3879</v>
      </c>
      <c r="V270">
        <v>7</v>
      </c>
      <c r="W270" s="2">
        <v>29016</v>
      </c>
    </row>
    <row r="271" spans="1:23" x14ac:dyDescent="0.25">
      <c r="A271" t="s">
        <v>31</v>
      </c>
      <c r="B271" t="s">
        <v>32</v>
      </c>
      <c r="C271" t="s">
        <v>33</v>
      </c>
      <c r="D271" t="s">
        <v>34</v>
      </c>
      <c r="E271" t="s">
        <v>35</v>
      </c>
      <c r="F271" t="s">
        <v>36</v>
      </c>
      <c r="G271">
        <v>1141685</v>
      </c>
      <c r="H271" t="s">
        <v>3065</v>
      </c>
      <c r="I271" t="s">
        <v>42</v>
      </c>
      <c r="J271" t="s">
        <v>3065</v>
      </c>
      <c r="K271" t="s">
        <v>3066</v>
      </c>
      <c r="L271" s="4">
        <v>46173</v>
      </c>
      <c r="M271" s="4">
        <v>46173</v>
      </c>
      <c r="N271">
        <v>1143.22</v>
      </c>
      <c r="O271" t="s">
        <v>59</v>
      </c>
      <c r="P271" t="s">
        <v>63</v>
      </c>
      <c r="Q271" t="s">
        <v>3876</v>
      </c>
      <c r="R271" t="s">
        <v>3877</v>
      </c>
      <c r="S271" t="s">
        <v>66</v>
      </c>
      <c r="T271" t="s">
        <v>3878</v>
      </c>
      <c r="U271" t="s">
        <v>3879</v>
      </c>
      <c r="V271">
        <v>7</v>
      </c>
      <c r="W271" s="2">
        <v>29016</v>
      </c>
    </row>
    <row r="272" spans="1:23" x14ac:dyDescent="0.25">
      <c r="A272" t="s">
        <v>31</v>
      </c>
      <c r="B272" t="s">
        <v>32</v>
      </c>
      <c r="C272" t="s">
        <v>33</v>
      </c>
      <c r="D272" t="s">
        <v>34</v>
      </c>
      <c r="E272" t="s">
        <v>35</v>
      </c>
      <c r="F272" t="s">
        <v>36</v>
      </c>
      <c r="G272">
        <v>1141685</v>
      </c>
      <c r="H272" t="s">
        <v>3065</v>
      </c>
      <c r="I272" t="s">
        <v>42</v>
      </c>
      <c r="J272" t="s">
        <v>3065</v>
      </c>
      <c r="K272" t="s">
        <v>3066</v>
      </c>
      <c r="L272" s="4">
        <v>46173</v>
      </c>
      <c r="M272" s="4">
        <v>46173</v>
      </c>
      <c r="N272">
        <v>1143.22</v>
      </c>
      <c r="O272" t="s">
        <v>59</v>
      </c>
      <c r="P272" t="s">
        <v>63</v>
      </c>
      <c r="Q272" t="s">
        <v>3876</v>
      </c>
      <c r="R272" t="s">
        <v>3877</v>
      </c>
      <c r="S272" t="s">
        <v>66</v>
      </c>
      <c r="T272" t="s">
        <v>3878</v>
      </c>
      <c r="U272" t="s">
        <v>3879</v>
      </c>
      <c r="V272">
        <v>7</v>
      </c>
      <c r="W272" s="2">
        <v>29016</v>
      </c>
    </row>
    <row r="273" spans="1:24" x14ac:dyDescent="0.25">
      <c r="A273" t="s">
        <v>31</v>
      </c>
      <c r="B273" t="s">
        <v>32</v>
      </c>
      <c r="C273" t="s">
        <v>33</v>
      </c>
      <c r="D273" t="s">
        <v>34</v>
      </c>
      <c r="E273" t="s">
        <v>35</v>
      </c>
      <c r="F273" t="s">
        <v>36</v>
      </c>
      <c r="G273">
        <v>1141685</v>
      </c>
      <c r="H273" t="s">
        <v>3065</v>
      </c>
      <c r="I273" t="s">
        <v>42</v>
      </c>
      <c r="J273" t="s">
        <v>3065</v>
      </c>
      <c r="K273" t="s">
        <v>3066</v>
      </c>
      <c r="L273" s="4">
        <v>46173</v>
      </c>
      <c r="M273" s="4">
        <v>46173</v>
      </c>
      <c r="N273">
        <v>1143.22</v>
      </c>
      <c r="O273" t="s">
        <v>59</v>
      </c>
      <c r="P273" t="s">
        <v>63</v>
      </c>
      <c r="Q273" t="s">
        <v>3876</v>
      </c>
      <c r="R273" t="s">
        <v>3877</v>
      </c>
      <c r="S273" t="s">
        <v>66</v>
      </c>
      <c r="T273" t="s">
        <v>3878</v>
      </c>
      <c r="U273" t="s">
        <v>3879</v>
      </c>
      <c r="V273">
        <v>7</v>
      </c>
      <c r="W273" s="2">
        <v>29016</v>
      </c>
    </row>
    <row r="274" spans="1:24" x14ac:dyDescent="0.25">
      <c r="A274" t="s">
        <v>31</v>
      </c>
      <c r="B274" t="s">
        <v>32</v>
      </c>
      <c r="C274" t="s">
        <v>33</v>
      </c>
      <c r="D274" t="s">
        <v>34</v>
      </c>
      <c r="E274" t="s">
        <v>35</v>
      </c>
      <c r="F274" t="s">
        <v>36</v>
      </c>
      <c r="G274">
        <v>1141685</v>
      </c>
      <c r="H274" t="s">
        <v>3065</v>
      </c>
      <c r="I274" t="s">
        <v>42</v>
      </c>
      <c r="J274" t="s">
        <v>3065</v>
      </c>
      <c r="K274" t="s">
        <v>3066</v>
      </c>
      <c r="L274" s="4">
        <v>46173</v>
      </c>
      <c r="M274" s="4">
        <v>46173</v>
      </c>
      <c r="N274">
        <v>1143.22</v>
      </c>
      <c r="O274" t="s">
        <v>59</v>
      </c>
      <c r="P274" t="s">
        <v>63</v>
      </c>
      <c r="Q274" t="s">
        <v>3876</v>
      </c>
      <c r="R274" t="s">
        <v>3877</v>
      </c>
      <c r="S274" t="s">
        <v>66</v>
      </c>
      <c r="T274" t="s">
        <v>3878</v>
      </c>
      <c r="U274" t="s">
        <v>3879</v>
      </c>
      <c r="V274">
        <v>7</v>
      </c>
      <c r="W274" s="2">
        <v>29016</v>
      </c>
    </row>
    <row r="275" spans="1:24" x14ac:dyDescent="0.25">
      <c r="A275" t="s">
        <v>31</v>
      </c>
      <c r="B275" t="s">
        <v>32</v>
      </c>
      <c r="C275" t="s">
        <v>33</v>
      </c>
      <c r="D275" t="s">
        <v>34</v>
      </c>
      <c r="E275" t="s">
        <v>35</v>
      </c>
      <c r="F275" t="s">
        <v>36</v>
      </c>
      <c r="G275">
        <v>1141685</v>
      </c>
      <c r="H275" t="s">
        <v>3065</v>
      </c>
      <c r="I275" t="s">
        <v>42</v>
      </c>
      <c r="J275" t="s">
        <v>3065</v>
      </c>
      <c r="K275" t="s">
        <v>3066</v>
      </c>
      <c r="L275" s="4">
        <v>46173</v>
      </c>
      <c r="M275" s="4">
        <v>46173</v>
      </c>
      <c r="N275">
        <v>1143.22</v>
      </c>
      <c r="O275" t="s">
        <v>59</v>
      </c>
      <c r="P275" t="s">
        <v>63</v>
      </c>
      <c r="Q275" t="s">
        <v>3876</v>
      </c>
      <c r="R275" t="s">
        <v>3877</v>
      </c>
      <c r="S275" t="s">
        <v>66</v>
      </c>
      <c r="T275" t="s">
        <v>3878</v>
      </c>
      <c r="U275" t="s">
        <v>3879</v>
      </c>
      <c r="V275">
        <v>7</v>
      </c>
      <c r="W275" s="2">
        <v>29016</v>
      </c>
    </row>
    <row r="276" spans="1:24" x14ac:dyDescent="0.25">
      <c r="A276" t="s">
        <v>31</v>
      </c>
      <c r="B276" t="s">
        <v>32</v>
      </c>
      <c r="C276" t="s">
        <v>33</v>
      </c>
      <c r="D276" t="s">
        <v>34</v>
      </c>
      <c r="E276" t="s">
        <v>35</v>
      </c>
      <c r="F276" t="s">
        <v>36</v>
      </c>
      <c r="G276">
        <v>1141685</v>
      </c>
      <c r="H276" t="s">
        <v>3065</v>
      </c>
      <c r="I276" t="s">
        <v>42</v>
      </c>
      <c r="J276" t="s">
        <v>3065</v>
      </c>
      <c r="K276" t="s">
        <v>3066</v>
      </c>
      <c r="L276" s="4">
        <v>46173</v>
      </c>
      <c r="M276" s="4">
        <v>46173</v>
      </c>
      <c r="N276">
        <v>1143.22</v>
      </c>
      <c r="O276" t="s">
        <v>59</v>
      </c>
      <c r="P276" t="s">
        <v>63</v>
      </c>
      <c r="Q276" t="s">
        <v>3876</v>
      </c>
      <c r="R276" t="s">
        <v>3877</v>
      </c>
      <c r="S276" t="s">
        <v>66</v>
      </c>
      <c r="T276" t="s">
        <v>3878</v>
      </c>
      <c r="U276" t="s">
        <v>3879</v>
      </c>
      <c r="V276">
        <v>7</v>
      </c>
      <c r="W276" s="2">
        <v>29016</v>
      </c>
    </row>
    <row r="277" spans="1:24" x14ac:dyDescent="0.25">
      <c r="A277" t="s">
        <v>31</v>
      </c>
      <c r="B277" t="s">
        <v>32</v>
      </c>
      <c r="C277" t="s">
        <v>33</v>
      </c>
      <c r="D277" t="s">
        <v>34</v>
      </c>
      <c r="E277" t="s">
        <v>35</v>
      </c>
      <c r="F277" t="s">
        <v>36</v>
      </c>
      <c r="G277">
        <v>1141685</v>
      </c>
      <c r="H277" t="s">
        <v>3065</v>
      </c>
      <c r="I277" t="s">
        <v>42</v>
      </c>
      <c r="J277" t="s">
        <v>3065</v>
      </c>
      <c r="K277" t="s">
        <v>3066</v>
      </c>
      <c r="L277" s="4">
        <v>46173</v>
      </c>
      <c r="M277" s="4">
        <v>46173</v>
      </c>
      <c r="N277">
        <v>1143.22</v>
      </c>
      <c r="O277" t="s">
        <v>59</v>
      </c>
      <c r="P277" t="s">
        <v>63</v>
      </c>
      <c r="Q277" t="s">
        <v>3876</v>
      </c>
      <c r="R277" t="s">
        <v>3877</v>
      </c>
      <c r="S277" t="s">
        <v>66</v>
      </c>
      <c r="T277" t="s">
        <v>3878</v>
      </c>
      <c r="U277" t="s">
        <v>3879</v>
      </c>
      <c r="V277">
        <v>7</v>
      </c>
      <c r="W277" s="2">
        <v>29016</v>
      </c>
    </row>
    <row r="278" spans="1:24" x14ac:dyDescent="0.25">
      <c r="A278" t="s">
        <v>31</v>
      </c>
      <c r="B278" s="5" t="s">
        <v>32</v>
      </c>
      <c r="C278" s="5" t="s">
        <v>33</v>
      </c>
      <c r="D278" s="5" t="s">
        <v>34</v>
      </c>
      <c r="E278" s="5" t="s">
        <v>35</v>
      </c>
      <c r="F278" s="5" t="s">
        <v>36</v>
      </c>
      <c r="G278" s="5">
        <v>1141685</v>
      </c>
      <c r="H278" s="5" t="s">
        <v>3880</v>
      </c>
      <c r="I278" s="5" t="str">
        <f t="shared" ref="I278:I280" si="0">IF(LEFT(K278,9)="Standard_","Reserved Instance Virtual Machine",IF(ISNUMBER(SEARCH("SQL Database Single/ElasticPool General Purpose - Compute Gen5",K278)),"Reserved Instance SQL Database",IF(ISNUMBER(SEARCH("SQL Database SingleDB/Elastic Pool Hyperscale - Compute Gen5",K278)),"Reserved Instance Hyperscale Serverless",IF(ISNUMBER(SEARCH("Azure Database for PostgreSQL Flexible Server General Purpose Ddsv4 Series Compute",K278)),"Reserved Instance PostgreSQL",IF(ISNUMBER(SEARCH("Azure Redis Cache Premium",K278)),"Reserved Instance Redis","Reserved Instance")))))</f>
        <v>Reserved Instance SQL Database</v>
      </c>
      <c r="J278" s="5" t="s">
        <v>3880</v>
      </c>
      <c r="K278" s="5" t="str">
        <f t="shared" ref="K278:K280" si="1">H278</f>
        <v>SQL Database Single/ElasticPool General Purpose - Compute Gen5</v>
      </c>
      <c r="L278" s="5" t="s">
        <v>3881</v>
      </c>
      <c r="M278" s="5" t="s">
        <v>3881</v>
      </c>
      <c r="N278" s="5">
        <f t="shared" ref="N278:N280" si="2">U278</f>
        <v>4</v>
      </c>
      <c r="O278" s="5" t="s">
        <v>3882</v>
      </c>
      <c r="P278" s="5" t="s">
        <v>63</v>
      </c>
      <c r="Q278" s="5" t="s">
        <v>3882</v>
      </c>
      <c r="R278" s="5" t="str">
        <f t="shared" ref="R278:R280" si="3">IF(LEFT(K278,9)="Standard_","Virtual Machine",IF(ISNUMBER(SEARCH("SQL Database Single/ElasticPool General Purpose - Compute Gen5",K278)),"SQL Database",IF(ISNUMBER(SEARCH("SQL Database SingleDB/Elastic Pool Hyperscale - Compute Gen5",K278)),"Hyperscale Serverless",IF(ISNUMBER(SEARCH("Azure Database for PostgreSQL Flexible Server General Purpose Ddsv4 Series Compute",K278)),"PostgreSQL",IF(ISNUMBER(SEARCH("Azure Redis Cache Premium",K278)),"Redis",K278)))))</f>
        <v>SQL Database</v>
      </c>
      <c r="S278" s="5" t="s">
        <v>67</v>
      </c>
      <c r="T278" s="5" t="s">
        <v>3882</v>
      </c>
      <c r="U278" s="5">
        <v>4</v>
      </c>
      <c r="V278" s="6">
        <v>1001385</v>
      </c>
      <c r="W278" s="6">
        <f>U278*V278</f>
        <v>4005540</v>
      </c>
      <c r="X278" t="s">
        <v>3896</v>
      </c>
    </row>
    <row r="279" spans="1:24" x14ac:dyDescent="0.25">
      <c r="A279" t="s">
        <v>31</v>
      </c>
      <c r="B279" s="5" t="s">
        <v>32</v>
      </c>
      <c r="C279" s="5" t="s">
        <v>33</v>
      </c>
      <c r="D279" s="5" t="s">
        <v>34</v>
      </c>
      <c r="E279" s="5" t="s">
        <v>3884</v>
      </c>
      <c r="F279" s="5" t="s">
        <v>36</v>
      </c>
      <c r="G279" s="5">
        <v>1141685</v>
      </c>
      <c r="H279" s="5" t="s">
        <v>3885</v>
      </c>
      <c r="I279" s="5" t="str">
        <f t="shared" si="0"/>
        <v>Reserved Instance Virtual Machine</v>
      </c>
      <c r="J279" s="5" t="s">
        <v>3885</v>
      </c>
      <c r="K279" s="5" t="str">
        <f t="shared" si="1"/>
        <v>Standard_D2s_v3</v>
      </c>
      <c r="L279" s="5" t="s">
        <v>3881</v>
      </c>
      <c r="M279" s="5" t="s">
        <v>3881</v>
      </c>
      <c r="N279" s="5">
        <f t="shared" si="2"/>
        <v>2</v>
      </c>
      <c r="O279" s="5" t="s">
        <v>3882</v>
      </c>
      <c r="P279" s="5" t="s">
        <v>63</v>
      </c>
      <c r="Q279" s="5" t="s">
        <v>3882</v>
      </c>
      <c r="R279" s="5" t="str">
        <f t="shared" si="3"/>
        <v>Virtual Machine</v>
      </c>
      <c r="S279" s="5" t="s">
        <v>67</v>
      </c>
      <c r="T279" s="5" t="s">
        <v>3882</v>
      </c>
      <c r="U279" s="5">
        <v>2</v>
      </c>
      <c r="V279" s="6">
        <v>565908.75</v>
      </c>
      <c r="W279" s="6">
        <f t="shared" ref="W279:W280" si="4">U279*V279</f>
        <v>1131817.5</v>
      </c>
      <c r="X279" t="s">
        <v>3896</v>
      </c>
    </row>
    <row r="280" spans="1:24" x14ac:dyDescent="0.25">
      <c r="A280" t="s">
        <v>31</v>
      </c>
      <c r="B280" s="5" t="s">
        <v>32</v>
      </c>
      <c r="C280" s="5" t="s">
        <v>33</v>
      </c>
      <c r="D280" s="5" t="s">
        <v>34</v>
      </c>
      <c r="E280" s="5" t="s">
        <v>3886</v>
      </c>
      <c r="F280" s="5" t="s">
        <v>36</v>
      </c>
      <c r="G280" s="5">
        <v>1141685</v>
      </c>
      <c r="H280" s="5" t="s">
        <v>3887</v>
      </c>
      <c r="I280" s="5" t="str">
        <f t="shared" si="0"/>
        <v>Reserved Instance Virtual Machine</v>
      </c>
      <c r="J280" s="5" t="s">
        <v>3887</v>
      </c>
      <c r="K280" s="5" t="str">
        <f t="shared" si="1"/>
        <v>Standard_D4s_v3</v>
      </c>
      <c r="L280" s="5" t="s">
        <v>3881</v>
      </c>
      <c r="M280" s="5" t="s">
        <v>3881</v>
      </c>
      <c r="N280" s="5">
        <f t="shared" si="2"/>
        <v>3</v>
      </c>
      <c r="O280" s="5" t="s">
        <v>3882</v>
      </c>
      <c r="P280" s="5" t="s">
        <v>63</v>
      </c>
      <c r="Q280" s="5" t="s">
        <v>3882</v>
      </c>
      <c r="R280" s="5" t="str">
        <f t="shared" si="3"/>
        <v>Virtual Machine</v>
      </c>
      <c r="S280" s="5" t="s">
        <v>67</v>
      </c>
      <c r="T280" s="5" t="s">
        <v>3882</v>
      </c>
      <c r="U280" s="5">
        <v>3</v>
      </c>
      <c r="V280" s="6">
        <v>1131817.5</v>
      </c>
      <c r="W280" s="6">
        <f t="shared" si="4"/>
        <v>3395452.5</v>
      </c>
      <c r="X280" t="s">
        <v>3896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D78F-7904-4E90-9DA3-701EDD835078}">
  <dimension ref="A3:B69"/>
  <sheetViews>
    <sheetView topLeftCell="A50" workbookViewId="0">
      <selection activeCell="A3" sqref="A3:B69"/>
    </sheetView>
  </sheetViews>
  <sheetFormatPr defaultRowHeight="15" x14ac:dyDescent="0.25"/>
  <cols>
    <col min="1" max="1" width="73.5703125" bestFit="1" customWidth="1"/>
    <col min="2" max="2" width="14" bestFit="1" customWidth="1"/>
  </cols>
  <sheetData>
    <row r="3" spans="1:2" x14ac:dyDescent="0.25">
      <c r="A3" s="8" t="s">
        <v>3897</v>
      </c>
      <c r="B3" t="s">
        <v>3899</v>
      </c>
    </row>
    <row r="4" spans="1:2" x14ac:dyDescent="0.25">
      <c r="A4" s="9" t="s">
        <v>44</v>
      </c>
      <c r="B4" s="3">
        <v>0</v>
      </c>
    </row>
    <row r="5" spans="1:2" x14ac:dyDescent="0.25">
      <c r="A5" s="10" t="s">
        <v>40</v>
      </c>
      <c r="B5" s="3">
        <v>0</v>
      </c>
    </row>
    <row r="6" spans="1:2" x14ac:dyDescent="0.25">
      <c r="A6" s="9" t="s">
        <v>4206</v>
      </c>
      <c r="B6" s="3">
        <v>8.1956655999999999</v>
      </c>
    </row>
    <row r="7" spans="1:2" x14ac:dyDescent="0.25">
      <c r="A7" s="10" t="s">
        <v>4206</v>
      </c>
      <c r="B7" s="3">
        <v>8.1956655999999999</v>
      </c>
    </row>
    <row r="8" spans="1:2" x14ac:dyDescent="0.25">
      <c r="A8" s="9" t="s">
        <v>4512</v>
      </c>
      <c r="B8" s="3">
        <v>253560.16432000001</v>
      </c>
    </row>
    <row r="9" spans="1:2" x14ac:dyDescent="0.25">
      <c r="A9" s="10" t="s">
        <v>4513</v>
      </c>
      <c r="B9" s="3">
        <v>253560.16432000001</v>
      </c>
    </row>
    <row r="10" spans="1:2" x14ac:dyDescent="0.25">
      <c r="A10" s="9" t="s">
        <v>3913</v>
      </c>
      <c r="B10" s="3">
        <v>706532.99301837641</v>
      </c>
    </row>
    <row r="11" spans="1:2" x14ac:dyDescent="0.25">
      <c r="A11" s="10" t="s">
        <v>3914</v>
      </c>
      <c r="B11" s="3">
        <v>706532.99301837641</v>
      </c>
    </row>
    <row r="12" spans="1:2" x14ac:dyDescent="0.25">
      <c r="A12" s="9" t="s">
        <v>82</v>
      </c>
      <c r="B12" s="3">
        <v>29720.979117153191</v>
      </c>
    </row>
    <row r="13" spans="1:2" x14ac:dyDescent="0.25">
      <c r="A13" s="10" t="s">
        <v>82</v>
      </c>
      <c r="B13" s="3">
        <v>29720.979117153191</v>
      </c>
    </row>
    <row r="14" spans="1:2" x14ac:dyDescent="0.25">
      <c r="A14" s="9" t="s">
        <v>1353</v>
      </c>
      <c r="B14" s="3">
        <v>13058255.235764075</v>
      </c>
    </row>
    <row r="15" spans="1:2" x14ac:dyDescent="0.25">
      <c r="A15" s="10" t="s">
        <v>1351</v>
      </c>
      <c r="B15" s="3">
        <v>13058255.235764075</v>
      </c>
    </row>
    <row r="16" spans="1:2" x14ac:dyDescent="0.25">
      <c r="A16" s="9" t="s">
        <v>93</v>
      </c>
      <c r="B16" s="3">
        <v>1297935.009489377</v>
      </c>
    </row>
    <row r="17" spans="1:2" x14ac:dyDescent="0.25">
      <c r="A17" s="10" t="s">
        <v>93</v>
      </c>
      <c r="B17" s="3">
        <v>1297935.009489377</v>
      </c>
    </row>
    <row r="18" spans="1:2" x14ac:dyDescent="0.25">
      <c r="A18" s="9" t="s">
        <v>94</v>
      </c>
      <c r="B18" s="3">
        <v>446715.58181472425</v>
      </c>
    </row>
    <row r="19" spans="1:2" x14ac:dyDescent="0.25">
      <c r="A19" s="10" t="s">
        <v>101</v>
      </c>
      <c r="B19" s="3">
        <v>72595.0106515855</v>
      </c>
    </row>
    <row r="20" spans="1:2" x14ac:dyDescent="0.25">
      <c r="A20" s="10" t="s">
        <v>98</v>
      </c>
      <c r="B20" s="3">
        <v>374120.57116313878</v>
      </c>
    </row>
    <row r="21" spans="1:2" x14ac:dyDescent="0.25">
      <c r="A21" s="9" t="s">
        <v>88</v>
      </c>
      <c r="B21" s="3">
        <v>389394.72360000003</v>
      </c>
    </row>
    <row r="22" spans="1:2" x14ac:dyDescent="0.25">
      <c r="A22" s="10" t="s">
        <v>88</v>
      </c>
      <c r="B22" s="3">
        <v>389394.72360000003</v>
      </c>
    </row>
    <row r="23" spans="1:2" x14ac:dyDescent="0.25">
      <c r="A23" s="9" t="s">
        <v>41</v>
      </c>
      <c r="B23" s="3">
        <v>834643.03150223999</v>
      </c>
    </row>
    <row r="24" spans="1:2" x14ac:dyDescent="0.25">
      <c r="A24" s="10" t="s">
        <v>41</v>
      </c>
      <c r="B24" s="3">
        <v>834643.03150223999</v>
      </c>
    </row>
    <row r="25" spans="1:2" x14ac:dyDescent="0.25">
      <c r="A25" s="9" t="s">
        <v>87</v>
      </c>
      <c r="B25" s="3">
        <v>2253619.7003536848</v>
      </c>
    </row>
    <row r="26" spans="1:2" x14ac:dyDescent="0.25">
      <c r="A26" s="10" t="s">
        <v>87</v>
      </c>
      <c r="B26" s="3">
        <v>2253619.7003536848</v>
      </c>
    </row>
    <row r="27" spans="1:2" x14ac:dyDescent="0.25">
      <c r="A27" s="9" t="s">
        <v>38</v>
      </c>
      <c r="B27" s="3">
        <v>528611.25536939839</v>
      </c>
    </row>
    <row r="28" spans="1:2" x14ac:dyDescent="0.25">
      <c r="A28" s="10" t="s">
        <v>38</v>
      </c>
      <c r="B28" s="3">
        <v>528611.25536939839</v>
      </c>
    </row>
    <row r="29" spans="1:2" x14ac:dyDescent="0.25">
      <c r="A29" s="9" t="s">
        <v>43</v>
      </c>
      <c r="B29" s="3">
        <v>3771125.2459308463</v>
      </c>
    </row>
    <row r="30" spans="1:2" x14ac:dyDescent="0.25">
      <c r="A30" s="10" t="s">
        <v>46</v>
      </c>
      <c r="B30" s="3">
        <v>3312816.0101243998</v>
      </c>
    </row>
    <row r="31" spans="1:2" x14ac:dyDescent="0.25">
      <c r="A31" s="10" t="s">
        <v>4088</v>
      </c>
      <c r="B31" s="3">
        <v>196619.2358064494</v>
      </c>
    </row>
    <row r="32" spans="1:2" x14ac:dyDescent="0.25">
      <c r="A32" s="10" t="s">
        <v>105</v>
      </c>
      <c r="B32" s="3">
        <v>261689.99999999709</v>
      </c>
    </row>
    <row r="33" spans="1:2" x14ac:dyDescent="0.25">
      <c r="A33" s="9" t="s">
        <v>4079</v>
      </c>
      <c r="B33" s="3">
        <v>7790.4126033105003</v>
      </c>
    </row>
    <row r="34" spans="1:2" x14ac:dyDescent="0.25">
      <c r="A34" s="10" t="s">
        <v>4079</v>
      </c>
      <c r="B34" s="3">
        <v>7790.4126033105003</v>
      </c>
    </row>
    <row r="35" spans="1:2" x14ac:dyDescent="0.25">
      <c r="A35" s="9" t="s">
        <v>1352</v>
      </c>
      <c r="B35" s="3">
        <v>711011.73239999998</v>
      </c>
    </row>
    <row r="36" spans="1:2" x14ac:dyDescent="0.25">
      <c r="A36" s="10" t="s">
        <v>4450</v>
      </c>
      <c r="B36" s="3">
        <v>711011.73239999998</v>
      </c>
    </row>
    <row r="37" spans="1:2" x14ac:dyDescent="0.25">
      <c r="A37" s="10" t="s">
        <v>1350</v>
      </c>
      <c r="B37" s="3">
        <v>0</v>
      </c>
    </row>
    <row r="38" spans="1:2" x14ac:dyDescent="0.25">
      <c r="A38" s="9" t="s">
        <v>89</v>
      </c>
      <c r="B38" s="3">
        <v>0</v>
      </c>
    </row>
    <row r="39" spans="1:2" x14ac:dyDescent="0.25">
      <c r="A39" s="10" t="s">
        <v>89</v>
      </c>
      <c r="B39" s="3">
        <v>0</v>
      </c>
    </row>
    <row r="40" spans="1:2" x14ac:dyDescent="0.25">
      <c r="A40" s="9" t="s">
        <v>97</v>
      </c>
      <c r="B40" s="3">
        <v>18312918.035095342</v>
      </c>
    </row>
    <row r="41" spans="1:2" x14ac:dyDescent="0.25">
      <c r="A41" s="10" t="s">
        <v>102</v>
      </c>
      <c r="B41" s="3">
        <v>0</v>
      </c>
    </row>
    <row r="42" spans="1:2" x14ac:dyDescent="0.25">
      <c r="A42" s="10" t="s">
        <v>4545</v>
      </c>
      <c r="B42" s="3">
        <v>5200710.3854137603</v>
      </c>
    </row>
    <row r="43" spans="1:2" x14ac:dyDescent="0.25">
      <c r="A43" s="10" t="s">
        <v>2673</v>
      </c>
      <c r="B43" s="3">
        <v>2617056.972320002</v>
      </c>
    </row>
    <row r="44" spans="1:2" x14ac:dyDescent="0.25">
      <c r="A44" s="10" t="s">
        <v>103</v>
      </c>
      <c r="B44" s="3">
        <v>10380328.68532736</v>
      </c>
    </row>
    <row r="45" spans="1:2" x14ac:dyDescent="0.25">
      <c r="A45" s="10" t="s">
        <v>104</v>
      </c>
      <c r="B45" s="3">
        <v>61731.896621421402</v>
      </c>
    </row>
    <row r="46" spans="1:2" x14ac:dyDescent="0.25">
      <c r="A46" s="10" t="s">
        <v>4096</v>
      </c>
      <c r="B46" s="3">
        <v>53090.095412800001</v>
      </c>
    </row>
    <row r="47" spans="1:2" x14ac:dyDescent="0.25">
      <c r="A47" s="9" t="s">
        <v>42</v>
      </c>
      <c r="B47" s="3">
        <v>16213555.726780916</v>
      </c>
    </row>
    <row r="48" spans="1:2" x14ac:dyDescent="0.25">
      <c r="A48" s="10" t="s">
        <v>4619</v>
      </c>
      <c r="B48" s="3">
        <v>66093.89832226251</v>
      </c>
    </row>
    <row r="49" spans="1:2" x14ac:dyDescent="0.25">
      <c r="A49" s="10" t="s">
        <v>3065</v>
      </c>
      <c r="B49" s="3">
        <v>15373367.593793329</v>
      </c>
    </row>
    <row r="50" spans="1:2" x14ac:dyDescent="0.25">
      <c r="A50" s="10" t="s">
        <v>3934</v>
      </c>
      <c r="B50" s="3">
        <v>325.293898216</v>
      </c>
    </row>
    <row r="51" spans="1:2" x14ac:dyDescent="0.25">
      <c r="A51" s="10" t="s">
        <v>4872</v>
      </c>
      <c r="B51" s="3">
        <v>169.88477399999999</v>
      </c>
    </row>
    <row r="52" spans="1:2" x14ac:dyDescent="0.25">
      <c r="A52" s="10" t="s">
        <v>4672</v>
      </c>
      <c r="B52" s="3">
        <v>0.84459527999999995</v>
      </c>
    </row>
    <row r="53" spans="1:2" x14ac:dyDescent="0.25">
      <c r="A53" s="10" t="s">
        <v>86</v>
      </c>
      <c r="B53" s="3">
        <v>715411.43523146072</v>
      </c>
    </row>
    <row r="54" spans="1:2" x14ac:dyDescent="0.25">
      <c r="A54" s="10" t="s">
        <v>4579</v>
      </c>
      <c r="B54" s="3">
        <v>32.445612799999999</v>
      </c>
    </row>
    <row r="55" spans="1:2" x14ac:dyDescent="0.25">
      <c r="A55" s="10" t="s">
        <v>45</v>
      </c>
      <c r="B55" s="3">
        <v>5075.854928064</v>
      </c>
    </row>
    <row r="56" spans="1:2" x14ac:dyDescent="0.25">
      <c r="A56" s="10" t="s">
        <v>3928</v>
      </c>
      <c r="B56" s="3">
        <v>52062.469071872001</v>
      </c>
    </row>
    <row r="57" spans="1:2" x14ac:dyDescent="0.25">
      <c r="A57" s="10" t="s">
        <v>4100</v>
      </c>
      <c r="B57" s="3">
        <v>987.97063535040002</v>
      </c>
    </row>
    <row r="58" spans="1:2" x14ac:dyDescent="0.25">
      <c r="A58" s="10" t="s">
        <v>4188</v>
      </c>
      <c r="B58" s="3">
        <v>28.035918284099999</v>
      </c>
    </row>
    <row r="59" spans="1:2" x14ac:dyDescent="0.25">
      <c r="A59" s="9" t="s">
        <v>95</v>
      </c>
      <c r="B59" s="3">
        <v>13063071.074768476</v>
      </c>
    </row>
    <row r="60" spans="1:2" x14ac:dyDescent="0.25">
      <c r="A60" s="10" t="s">
        <v>4775</v>
      </c>
      <c r="B60" s="3">
        <v>69991.975071782392</v>
      </c>
    </row>
    <row r="61" spans="1:2" x14ac:dyDescent="0.25">
      <c r="A61" s="10" t="s">
        <v>4035</v>
      </c>
      <c r="B61" s="3">
        <v>565262.05868483835</v>
      </c>
    </row>
    <row r="62" spans="1:2" x14ac:dyDescent="0.25">
      <c r="A62" s="10" t="s">
        <v>3947</v>
      </c>
      <c r="B62" s="3">
        <v>367989.17706295999</v>
      </c>
    </row>
    <row r="63" spans="1:2" x14ac:dyDescent="0.25">
      <c r="A63" s="10" t="s">
        <v>106</v>
      </c>
      <c r="B63" s="3">
        <v>12059827.863948895</v>
      </c>
    </row>
    <row r="64" spans="1:2" x14ac:dyDescent="0.25">
      <c r="A64" s="10" t="s">
        <v>99</v>
      </c>
      <c r="B64" s="3">
        <v>0</v>
      </c>
    </row>
    <row r="65" spans="1:2" x14ac:dyDescent="0.25">
      <c r="A65" s="9" t="s">
        <v>96</v>
      </c>
      <c r="B65" s="3">
        <v>1496062.4173825718</v>
      </c>
    </row>
    <row r="66" spans="1:2" x14ac:dyDescent="0.25">
      <c r="A66" s="10" t="s">
        <v>100</v>
      </c>
      <c r="B66" s="3">
        <v>272942.6496</v>
      </c>
    </row>
    <row r="67" spans="1:2" x14ac:dyDescent="0.25">
      <c r="A67" s="10" t="s">
        <v>80</v>
      </c>
      <c r="B67" s="3">
        <v>77837.722123920932</v>
      </c>
    </row>
    <row r="68" spans="1:2" x14ac:dyDescent="0.25">
      <c r="A68" s="10" t="s">
        <v>77</v>
      </c>
      <c r="B68" s="3">
        <v>1145282.045658651</v>
      </c>
    </row>
    <row r="69" spans="1:2" x14ac:dyDescent="0.25">
      <c r="A69" s="9" t="s">
        <v>3898</v>
      </c>
      <c r="B69" s="3">
        <v>73374531.514976099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DC62-1BA2-4B9A-8A91-9F9764E24193}">
  <dimension ref="A1:AA894"/>
  <sheetViews>
    <sheetView workbookViewId="0">
      <selection sqref="A1:W894"/>
    </sheetView>
  </sheetViews>
  <sheetFormatPr defaultRowHeight="15" x14ac:dyDescent="0.25"/>
  <cols>
    <col min="23" max="23" width="15.5703125" bestFit="1" customWidth="1"/>
  </cols>
  <sheetData>
    <row r="1" spans="1:2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9</v>
      </c>
      <c r="S1" t="s">
        <v>27</v>
      </c>
      <c r="T1" t="s">
        <v>28</v>
      </c>
      <c r="U1" t="s">
        <v>29</v>
      </c>
      <c r="V1" t="s">
        <v>30</v>
      </c>
      <c r="W1" t="s">
        <v>8</v>
      </c>
    </row>
    <row r="2" spans="1:23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1141685</v>
      </c>
      <c r="H2" t="s">
        <v>80</v>
      </c>
      <c r="I2" t="s">
        <v>96</v>
      </c>
      <c r="J2" t="s">
        <v>80</v>
      </c>
      <c r="K2" t="s">
        <v>122</v>
      </c>
      <c r="L2" s="1">
        <v>46143</v>
      </c>
      <c r="M2" s="1">
        <v>46173</v>
      </c>
      <c r="N2">
        <v>2.3860416561000002</v>
      </c>
      <c r="O2" t="s">
        <v>56</v>
      </c>
      <c r="P2" t="s">
        <v>63</v>
      </c>
      <c r="Q2" t="s">
        <v>2616</v>
      </c>
      <c r="R2" t="s">
        <v>2617</v>
      </c>
      <c r="S2" t="s">
        <v>67</v>
      </c>
      <c r="T2" t="s">
        <v>2618</v>
      </c>
      <c r="U2" t="s">
        <v>2619</v>
      </c>
      <c r="V2">
        <v>16</v>
      </c>
      <c r="W2" s="2">
        <v>416.2665680476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1141685</v>
      </c>
      <c r="H3" t="s">
        <v>80</v>
      </c>
      <c r="I3" t="s">
        <v>96</v>
      </c>
      <c r="J3" t="s">
        <v>80</v>
      </c>
      <c r="K3" t="s">
        <v>122</v>
      </c>
      <c r="L3" s="1">
        <v>46143</v>
      </c>
      <c r="M3" s="1">
        <v>46173</v>
      </c>
      <c r="N3">
        <v>18.179710047299999</v>
      </c>
      <c r="O3" t="s">
        <v>56</v>
      </c>
      <c r="P3" t="s">
        <v>63</v>
      </c>
      <c r="Q3" t="s">
        <v>2616</v>
      </c>
      <c r="R3" t="s">
        <v>2620</v>
      </c>
      <c r="S3" t="s">
        <v>67</v>
      </c>
      <c r="T3" t="s">
        <v>2621</v>
      </c>
      <c r="U3" t="s">
        <v>2622</v>
      </c>
      <c r="V3">
        <v>16</v>
      </c>
      <c r="W3" s="2">
        <v>3171.6363490726999</v>
      </c>
    </row>
    <row r="4" spans="1:2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1141685</v>
      </c>
      <c r="H4" t="s">
        <v>79</v>
      </c>
      <c r="I4" t="s">
        <v>94</v>
      </c>
      <c r="J4" t="s">
        <v>101</v>
      </c>
      <c r="K4" t="s">
        <v>116</v>
      </c>
      <c r="L4" s="1">
        <v>46143</v>
      </c>
      <c r="M4" s="1">
        <v>46173</v>
      </c>
      <c r="N4">
        <v>3.7989019999999998E-4</v>
      </c>
      <c r="O4" t="s">
        <v>56</v>
      </c>
      <c r="P4" t="s">
        <v>63</v>
      </c>
      <c r="Q4" t="s">
        <v>2616</v>
      </c>
      <c r="R4" t="s">
        <v>2620</v>
      </c>
      <c r="S4" t="s">
        <v>67</v>
      </c>
      <c r="T4" t="s">
        <v>2623</v>
      </c>
      <c r="U4" t="s">
        <v>2624</v>
      </c>
      <c r="V4">
        <v>16</v>
      </c>
      <c r="W4" s="2">
        <v>0.52658053999999999</v>
      </c>
    </row>
    <row r="5" spans="1:23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1141685</v>
      </c>
      <c r="H5" t="s">
        <v>80</v>
      </c>
      <c r="I5" t="s">
        <v>96</v>
      </c>
      <c r="J5" t="s">
        <v>80</v>
      </c>
      <c r="K5" t="s">
        <v>122</v>
      </c>
      <c r="L5" s="1">
        <v>46143</v>
      </c>
      <c r="M5" s="1">
        <v>46173</v>
      </c>
      <c r="N5">
        <v>2.1919760127000001</v>
      </c>
      <c r="O5" t="s">
        <v>56</v>
      </c>
      <c r="P5" t="s">
        <v>63</v>
      </c>
      <c r="Q5" t="s">
        <v>2616</v>
      </c>
      <c r="R5" t="s">
        <v>2620</v>
      </c>
      <c r="S5" t="s">
        <v>67</v>
      </c>
      <c r="T5" t="s">
        <v>2625</v>
      </c>
      <c r="U5" t="s">
        <v>2626</v>
      </c>
      <c r="V5">
        <v>16</v>
      </c>
      <c r="W5" s="2">
        <v>382.41267894790002</v>
      </c>
    </row>
    <row r="6" spans="1:23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1141685</v>
      </c>
      <c r="H6" t="s">
        <v>80</v>
      </c>
      <c r="I6" t="s">
        <v>96</v>
      </c>
      <c r="J6" t="s">
        <v>80</v>
      </c>
      <c r="K6" t="s">
        <v>122</v>
      </c>
      <c r="L6" s="1">
        <v>46143</v>
      </c>
      <c r="M6" s="1">
        <v>46173</v>
      </c>
      <c r="N6">
        <v>3.0335985086999999</v>
      </c>
      <c r="O6" t="s">
        <v>56</v>
      </c>
      <c r="P6" t="s">
        <v>63</v>
      </c>
      <c r="Q6" t="s">
        <v>2616</v>
      </c>
      <c r="R6" t="s">
        <v>2620</v>
      </c>
      <c r="S6" t="s">
        <v>67</v>
      </c>
      <c r="T6" t="s">
        <v>2627</v>
      </c>
      <c r="U6" t="s">
        <v>2628</v>
      </c>
      <c r="V6">
        <v>16</v>
      </c>
      <c r="W6" s="2">
        <v>529.24260432480003</v>
      </c>
    </row>
    <row r="7" spans="1:23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1141685</v>
      </c>
      <c r="H7" t="s">
        <v>80</v>
      </c>
      <c r="I7" t="s">
        <v>96</v>
      </c>
      <c r="J7" t="s">
        <v>80</v>
      </c>
      <c r="K7" t="s">
        <v>122</v>
      </c>
      <c r="L7" s="1">
        <v>46143</v>
      </c>
      <c r="M7" s="1">
        <v>46173</v>
      </c>
      <c r="N7">
        <v>4.7532647512999997</v>
      </c>
      <c r="O7" t="s">
        <v>56</v>
      </c>
      <c r="P7" t="s">
        <v>63</v>
      </c>
      <c r="Q7" t="s">
        <v>2616</v>
      </c>
      <c r="R7" t="s">
        <v>2620</v>
      </c>
      <c r="S7" t="s">
        <v>67</v>
      </c>
      <c r="T7" t="s">
        <v>2629</v>
      </c>
      <c r="U7" t="s">
        <v>2630</v>
      </c>
      <c r="V7">
        <v>16</v>
      </c>
      <c r="W7" s="2">
        <v>829.25402028769997</v>
      </c>
    </row>
    <row r="8" spans="1:23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1141685</v>
      </c>
      <c r="H8" t="s">
        <v>80</v>
      </c>
      <c r="I8" t="s">
        <v>96</v>
      </c>
      <c r="J8" t="s">
        <v>80</v>
      </c>
      <c r="K8" t="s">
        <v>115</v>
      </c>
      <c r="L8" s="1">
        <v>46143</v>
      </c>
      <c r="M8" s="1">
        <v>46173</v>
      </c>
      <c r="N8">
        <v>0.67573443430000002</v>
      </c>
      <c r="O8" t="s">
        <v>56</v>
      </c>
      <c r="P8" t="s">
        <v>63</v>
      </c>
      <c r="Q8" t="s">
        <v>2616</v>
      </c>
      <c r="R8" t="s">
        <v>2620</v>
      </c>
      <c r="S8" t="s">
        <v>67</v>
      </c>
      <c r="T8" t="s">
        <v>2631</v>
      </c>
      <c r="U8" t="s">
        <v>2632</v>
      </c>
      <c r="V8">
        <v>16</v>
      </c>
      <c r="W8" s="2">
        <v>117.8919938753</v>
      </c>
    </row>
    <row r="9" spans="1:23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1141685</v>
      </c>
      <c r="H9" t="s">
        <v>80</v>
      </c>
      <c r="I9" t="s">
        <v>96</v>
      </c>
      <c r="J9" t="s">
        <v>80</v>
      </c>
      <c r="K9" t="s">
        <v>115</v>
      </c>
      <c r="L9" s="1">
        <v>46143</v>
      </c>
      <c r="M9" s="1">
        <v>46173</v>
      </c>
      <c r="N9">
        <v>29.1848144326</v>
      </c>
      <c r="O9" t="s">
        <v>56</v>
      </c>
      <c r="P9" t="s">
        <v>63</v>
      </c>
      <c r="Q9" t="s">
        <v>2616</v>
      </c>
      <c r="R9" t="s">
        <v>2620</v>
      </c>
      <c r="S9" t="s">
        <v>67</v>
      </c>
      <c r="T9" t="s">
        <v>2633</v>
      </c>
      <c r="U9" t="s">
        <v>2634</v>
      </c>
      <c r="V9">
        <v>16</v>
      </c>
      <c r="W9" s="2">
        <v>5091.5827988045994</v>
      </c>
    </row>
    <row r="10" spans="1:23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1141685</v>
      </c>
      <c r="H10" t="s">
        <v>76</v>
      </c>
      <c r="I10" t="s">
        <v>95</v>
      </c>
      <c r="J10" t="s">
        <v>99</v>
      </c>
      <c r="K10" t="s">
        <v>109</v>
      </c>
      <c r="L10" s="1">
        <v>46143</v>
      </c>
      <c r="M10" s="1">
        <v>46173</v>
      </c>
      <c r="N10">
        <v>1.9667060000000001</v>
      </c>
      <c r="O10" t="s">
        <v>58</v>
      </c>
      <c r="P10" t="s">
        <v>63</v>
      </c>
      <c r="Q10" t="s">
        <v>2635</v>
      </c>
      <c r="R10" t="s">
        <v>2617</v>
      </c>
      <c r="S10" t="s">
        <v>67</v>
      </c>
      <c r="T10" t="s">
        <v>2636</v>
      </c>
      <c r="U10" t="s">
        <v>2637</v>
      </c>
      <c r="V10">
        <v>16</v>
      </c>
      <c r="W10" s="2">
        <v>0</v>
      </c>
    </row>
    <row r="11" spans="1:23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1141685</v>
      </c>
      <c r="H11" t="s">
        <v>79</v>
      </c>
      <c r="I11" t="s">
        <v>94</v>
      </c>
      <c r="J11" t="s">
        <v>101</v>
      </c>
      <c r="K11" t="s">
        <v>116</v>
      </c>
      <c r="L11" s="1">
        <v>46143</v>
      </c>
      <c r="M11" s="1">
        <v>46173</v>
      </c>
      <c r="N11">
        <v>5.10043409E-2</v>
      </c>
      <c r="O11" t="s">
        <v>56</v>
      </c>
      <c r="P11" t="s">
        <v>63</v>
      </c>
      <c r="Q11" t="s">
        <v>2616</v>
      </c>
      <c r="R11" t="s">
        <v>2620</v>
      </c>
      <c r="S11" t="s">
        <v>67</v>
      </c>
      <c r="T11" t="s">
        <v>2638</v>
      </c>
      <c r="U11" t="s">
        <v>2639</v>
      </c>
      <c r="V11">
        <v>16</v>
      </c>
      <c r="W11" s="2">
        <v>71.183449851799992</v>
      </c>
    </row>
    <row r="12" spans="1:23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1141685</v>
      </c>
      <c r="H12" t="s">
        <v>75</v>
      </c>
      <c r="I12" t="s">
        <v>94</v>
      </c>
      <c r="J12" t="s">
        <v>98</v>
      </c>
      <c r="K12" t="s">
        <v>108</v>
      </c>
      <c r="L12" s="1">
        <v>46143</v>
      </c>
      <c r="M12" s="1">
        <v>46173</v>
      </c>
      <c r="N12">
        <v>7.1121284699999995E-2</v>
      </c>
      <c r="O12" t="s">
        <v>56</v>
      </c>
      <c r="P12" t="s">
        <v>63</v>
      </c>
      <c r="Q12" t="s">
        <v>2616</v>
      </c>
      <c r="R12" t="s">
        <v>2620</v>
      </c>
      <c r="S12" t="s">
        <v>67</v>
      </c>
      <c r="T12" t="s">
        <v>2640</v>
      </c>
      <c r="U12" t="s">
        <v>2641</v>
      </c>
      <c r="V12">
        <v>16</v>
      </c>
      <c r="W12" s="2">
        <v>148.89657218139999</v>
      </c>
    </row>
    <row r="13" spans="1:23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1141685</v>
      </c>
      <c r="H13" t="s">
        <v>75</v>
      </c>
      <c r="I13" t="s">
        <v>94</v>
      </c>
      <c r="J13" t="s">
        <v>98</v>
      </c>
      <c r="K13" t="s">
        <v>108</v>
      </c>
      <c r="L13" s="1">
        <v>46143</v>
      </c>
      <c r="M13" s="1">
        <v>46173</v>
      </c>
      <c r="N13">
        <v>0.27218404689999998</v>
      </c>
      <c r="O13" t="s">
        <v>56</v>
      </c>
      <c r="P13" t="s">
        <v>63</v>
      </c>
      <c r="Q13" t="s">
        <v>2616</v>
      </c>
      <c r="R13" t="s">
        <v>2620</v>
      </c>
      <c r="S13" t="s">
        <v>67</v>
      </c>
      <c r="T13" t="s">
        <v>2642</v>
      </c>
      <c r="U13" t="s">
        <v>2643</v>
      </c>
      <c r="V13">
        <v>16</v>
      </c>
      <c r="W13" s="2">
        <v>569.82401639070008</v>
      </c>
    </row>
    <row r="14" spans="1:23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1141685</v>
      </c>
      <c r="H14" t="s">
        <v>91</v>
      </c>
      <c r="I14" t="s">
        <v>95</v>
      </c>
      <c r="J14" t="s">
        <v>106</v>
      </c>
      <c r="K14" t="s">
        <v>479</v>
      </c>
      <c r="L14" s="1">
        <v>46143</v>
      </c>
      <c r="M14" s="1">
        <v>46173</v>
      </c>
      <c r="N14">
        <v>1</v>
      </c>
      <c r="O14" t="s">
        <v>58</v>
      </c>
      <c r="P14" t="s">
        <v>63</v>
      </c>
      <c r="Q14" t="s">
        <v>2635</v>
      </c>
      <c r="R14" t="s">
        <v>2620</v>
      </c>
      <c r="S14" t="s">
        <v>67</v>
      </c>
      <c r="T14" t="s">
        <v>2644</v>
      </c>
      <c r="U14" t="s">
        <v>2645</v>
      </c>
      <c r="V14">
        <v>16</v>
      </c>
      <c r="W14" s="2">
        <v>4361.5</v>
      </c>
    </row>
    <row r="15" spans="1:23" x14ac:dyDescent="0.2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1141685</v>
      </c>
      <c r="H15" t="s">
        <v>76</v>
      </c>
      <c r="I15" t="s">
        <v>95</v>
      </c>
      <c r="J15" t="s">
        <v>99</v>
      </c>
      <c r="K15" t="s">
        <v>109</v>
      </c>
      <c r="L15" s="1">
        <v>46143</v>
      </c>
      <c r="M15" s="1">
        <v>46173</v>
      </c>
      <c r="N15">
        <v>0.75001399999999996</v>
      </c>
      <c r="O15" t="s">
        <v>58</v>
      </c>
      <c r="P15" t="s">
        <v>63</v>
      </c>
      <c r="Q15" t="s">
        <v>2635</v>
      </c>
      <c r="R15" t="s">
        <v>2620</v>
      </c>
      <c r="S15" t="s">
        <v>67</v>
      </c>
      <c r="T15" t="s">
        <v>2646</v>
      </c>
      <c r="U15" t="s">
        <v>2647</v>
      </c>
      <c r="V15">
        <v>16</v>
      </c>
      <c r="W15" s="2">
        <v>0</v>
      </c>
    </row>
    <row r="16" spans="1:23" x14ac:dyDescent="0.25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1141685</v>
      </c>
      <c r="H16" t="s">
        <v>79</v>
      </c>
      <c r="I16" t="s">
        <v>94</v>
      </c>
      <c r="J16" t="s">
        <v>101</v>
      </c>
      <c r="K16" t="s">
        <v>116</v>
      </c>
      <c r="L16" s="1">
        <v>46143</v>
      </c>
      <c r="M16" s="1">
        <v>46173</v>
      </c>
      <c r="N16">
        <v>0.17159356079999999</v>
      </c>
      <c r="O16" t="s">
        <v>56</v>
      </c>
      <c r="P16" t="s">
        <v>63</v>
      </c>
      <c r="Q16" t="s">
        <v>2616</v>
      </c>
      <c r="R16" t="s">
        <v>2617</v>
      </c>
      <c r="S16" t="s">
        <v>67</v>
      </c>
      <c r="T16" t="s">
        <v>2648</v>
      </c>
      <c r="U16" t="s">
        <v>2649</v>
      </c>
      <c r="V16">
        <v>16</v>
      </c>
      <c r="W16" s="2">
        <v>239.49093686800001</v>
      </c>
    </row>
    <row r="17" spans="1:23" x14ac:dyDescent="0.25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1141685</v>
      </c>
      <c r="H17" t="s">
        <v>79</v>
      </c>
      <c r="I17" t="s">
        <v>94</v>
      </c>
      <c r="J17" t="s">
        <v>101</v>
      </c>
      <c r="K17" t="s">
        <v>116</v>
      </c>
      <c r="L17" s="1">
        <v>46143</v>
      </c>
      <c r="M17" s="1">
        <v>46173</v>
      </c>
      <c r="N17">
        <v>0.17460339890000001</v>
      </c>
      <c r="O17" t="s">
        <v>56</v>
      </c>
      <c r="P17" t="s">
        <v>63</v>
      </c>
      <c r="Q17" t="s">
        <v>2616</v>
      </c>
      <c r="R17" t="s">
        <v>2620</v>
      </c>
      <c r="S17" t="s">
        <v>67</v>
      </c>
      <c r="T17" t="s">
        <v>2650</v>
      </c>
      <c r="U17" t="s">
        <v>2651</v>
      </c>
      <c r="V17">
        <v>16</v>
      </c>
      <c r="W17" s="2">
        <v>243.68761514799999</v>
      </c>
    </row>
    <row r="18" spans="1:23" x14ac:dyDescent="0.2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1141685</v>
      </c>
      <c r="H18" t="s">
        <v>79</v>
      </c>
      <c r="I18" t="s">
        <v>94</v>
      </c>
      <c r="J18" t="s">
        <v>101</v>
      </c>
      <c r="K18" t="s">
        <v>116</v>
      </c>
      <c r="L18" s="1">
        <v>46143</v>
      </c>
      <c r="M18" s="1">
        <v>46173</v>
      </c>
      <c r="N18">
        <v>0.11864874979999999</v>
      </c>
      <c r="O18" t="s">
        <v>56</v>
      </c>
      <c r="P18" t="s">
        <v>63</v>
      </c>
      <c r="Q18" t="s">
        <v>2616</v>
      </c>
      <c r="R18" t="s">
        <v>2620</v>
      </c>
      <c r="S18" t="s">
        <v>67</v>
      </c>
      <c r="T18" t="s">
        <v>2652</v>
      </c>
      <c r="U18" t="s">
        <v>2653</v>
      </c>
      <c r="V18">
        <v>16</v>
      </c>
      <c r="W18" s="2">
        <v>165.5942046351</v>
      </c>
    </row>
    <row r="19" spans="1:23" x14ac:dyDescent="0.25">
      <c r="A19" t="s">
        <v>31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1141685</v>
      </c>
      <c r="H19" t="s">
        <v>76</v>
      </c>
      <c r="I19" t="s">
        <v>95</v>
      </c>
      <c r="J19" t="s">
        <v>99</v>
      </c>
      <c r="K19" t="s">
        <v>109</v>
      </c>
      <c r="L19" s="1">
        <v>46143</v>
      </c>
      <c r="M19" s="1">
        <v>46173</v>
      </c>
      <c r="N19">
        <v>126</v>
      </c>
      <c r="O19" t="s">
        <v>58</v>
      </c>
      <c r="P19" t="s">
        <v>63</v>
      </c>
      <c r="Q19" t="s">
        <v>2635</v>
      </c>
      <c r="R19" t="s">
        <v>2620</v>
      </c>
      <c r="S19" t="s">
        <v>67</v>
      </c>
      <c r="T19" t="s">
        <v>2646</v>
      </c>
      <c r="U19" t="s">
        <v>2647</v>
      </c>
      <c r="V19">
        <v>16</v>
      </c>
      <c r="W19" s="2">
        <v>0</v>
      </c>
    </row>
    <row r="20" spans="1:23" x14ac:dyDescent="0.25">
      <c r="A20" t="s">
        <v>31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1141685</v>
      </c>
      <c r="H20" t="s">
        <v>76</v>
      </c>
      <c r="I20" t="s">
        <v>95</v>
      </c>
      <c r="J20" t="s">
        <v>99</v>
      </c>
      <c r="K20" t="s">
        <v>109</v>
      </c>
      <c r="L20" s="1">
        <v>46143</v>
      </c>
      <c r="M20" s="1">
        <v>46173</v>
      </c>
      <c r="N20">
        <v>1.966704</v>
      </c>
      <c r="O20" t="s">
        <v>58</v>
      </c>
      <c r="P20" t="s">
        <v>63</v>
      </c>
      <c r="Q20" t="s">
        <v>2635</v>
      </c>
      <c r="R20" t="s">
        <v>2620</v>
      </c>
      <c r="S20" t="s">
        <v>67</v>
      </c>
      <c r="T20" t="s">
        <v>2646</v>
      </c>
      <c r="U20" t="s">
        <v>2647</v>
      </c>
      <c r="V20">
        <v>16</v>
      </c>
      <c r="W20" s="2">
        <v>0</v>
      </c>
    </row>
    <row r="21" spans="1:23" x14ac:dyDescent="0.2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1141685</v>
      </c>
      <c r="H21" t="s">
        <v>91</v>
      </c>
      <c r="I21" t="s">
        <v>95</v>
      </c>
      <c r="J21" t="s">
        <v>106</v>
      </c>
      <c r="K21" t="s">
        <v>479</v>
      </c>
      <c r="L21" s="1">
        <v>46143</v>
      </c>
      <c r="M21" s="1">
        <v>46173</v>
      </c>
      <c r="N21">
        <v>145.63346000000001</v>
      </c>
      <c r="O21" t="s">
        <v>58</v>
      </c>
      <c r="P21" t="s">
        <v>63</v>
      </c>
      <c r="Q21" t="s">
        <v>2635</v>
      </c>
      <c r="R21" t="s">
        <v>2620</v>
      </c>
      <c r="S21" t="s">
        <v>67</v>
      </c>
      <c r="T21" t="s">
        <v>2654</v>
      </c>
      <c r="U21" t="s">
        <v>2655</v>
      </c>
      <c r="V21">
        <v>16</v>
      </c>
      <c r="W21" s="2">
        <v>635180.33549520001</v>
      </c>
    </row>
    <row r="22" spans="1:23" x14ac:dyDescent="0.25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1141685</v>
      </c>
      <c r="H22" t="s">
        <v>91</v>
      </c>
      <c r="I22" t="s">
        <v>95</v>
      </c>
      <c r="J22" t="s">
        <v>106</v>
      </c>
      <c r="K22" t="s">
        <v>479</v>
      </c>
      <c r="L22" s="1">
        <v>46143</v>
      </c>
      <c r="M22" s="1">
        <v>46173</v>
      </c>
      <c r="N22">
        <v>108.91674999999999</v>
      </c>
      <c r="O22" t="s">
        <v>58</v>
      </c>
      <c r="P22" t="s">
        <v>63</v>
      </c>
      <c r="Q22" t="s">
        <v>2635</v>
      </c>
      <c r="R22" t="s">
        <v>2620</v>
      </c>
      <c r="S22" t="s">
        <v>67</v>
      </c>
      <c r="T22" t="s">
        <v>2656</v>
      </c>
      <c r="U22" t="s">
        <v>2657</v>
      </c>
      <c r="V22">
        <v>16</v>
      </c>
      <c r="W22" s="2">
        <v>475040.40651</v>
      </c>
    </row>
    <row r="23" spans="1:23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1141685</v>
      </c>
      <c r="H23" t="s">
        <v>80</v>
      </c>
      <c r="I23" t="s">
        <v>96</v>
      </c>
      <c r="J23" t="s">
        <v>80</v>
      </c>
      <c r="K23" t="s">
        <v>122</v>
      </c>
      <c r="L23" s="1">
        <v>46143</v>
      </c>
      <c r="M23" s="1">
        <v>46173</v>
      </c>
      <c r="N23">
        <v>1.289452171</v>
      </c>
      <c r="O23" t="s">
        <v>56</v>
      </c>
      <c r="P23" t="s">
        <v>63</v>
      </c>
      <c r="Q23" t="s">
        <v>2616</v>
      </c>
      <c r="R23" t="s">
        <v>2617</v>
      </c>
      <c r="S23" t="s">
        <v>67</v>
      </c>
      <c r="T23" t="s">
        <v>2658</v>
      </c>
      <c r="U23" t="s">
        <v>2659</v>
      </c>
      <c r="V23">
        <v>16</v>
      </c>
      <c r="W23" s="2">
        <v>224.9528866542</v>
      </c>
    </row>
    <row r="24" spans="1:23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1141685</v>
      </c>
      <c r="H24" t="s">
        <v>77</v>
      </c>
      <c r="I24" t="s">
        <v>96</v>
      </c>
      <c r="J24" t="s">
        <v>77</v>
      </c>
      <c r="K24" t="s">
        <v>113</v>
      </c>
      <c r="L24" s="1">
        <v>46143</v>
      </c>
      <c r="M24" s="1">
        <v>46173</v>
      </c>
      <c r="N24">
        <v>1.0947632E-3</v>
      </c>
      <c r="O24" t="s">
        <v>56</v>
      </c>
      <c r="P24" t="s">
        <v>63</v>
      </c>
      <c r="Q24" t="s">
        <v>2616</v>
      </c>
      <c r="R24" t="s">
        <v>2617</v>
      </c>
      <c r="S24" t="s">
        <v>67</v>
      </c>
      <c r="T24" t="s">
        <v>2660</v>
      </c>
      <c r="U24" t="s">
        <v>2661</v>
      </c>
      <c r="V24">
        <v>16</v>
      </c>
      <c r="W24" s="2">
        <v>0.18807329519999999</v>
      </c>
    </row>
    <row r="25" spans="1:23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1141685</v>
      </c>
      <c r="H25" t="s">
        <v>1351</v>
      </c>
      <c r="I25" t="s">
        <v>1353</v>
      </c>
      <c r="J25" t="s">
        <v>1351</v>
      </c>
      <c r="K25" t="s">
        <v>1356</v>
      </c>
      <c r="L25" s="1">
        <v>46143</v>
      </c>
      <c r="M25" s="1">
        <v>46173</v>
      </c>
      <c r="N25">
        <v>0.83640000000000003</v>
      </c>
      <c r="O25" t="s">
        <v>59</v>
      </c>
      <c r="P25" t="s">
        <v>63</v>
      </c>
      <c r="Q25" t="s">
        <v>2662</v>
      </c>
      <c r="R25" t="s">
        <v>2663</v>
      </c>
      <c r="S25" t="s">
        <v>68</v>
      </c>
      <c r="T25" t="s">
        <v>2664</v>
      </c>
      <c r="U25" t="s">
        <v>2665</v>
      </c>
      <c r="V25">
        <v>8</v>
      </c>
      <c r="W25" s="2">
        <v>252.43608690560001</v>
      </c>
    </row>
    <row r="26" spans="1:23" x14ac:dyDescent="0.25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1141685</v>
      </c>
      <c r="H26" t="s">
        <v>79</v>
      </c>
      <c r="I26" t="s">
        <v>94</v>
      </c>
      <c r="J26" t="s">
        <v>101</v>
      </c>
      <c r="K26" t="s">
        <v>114</v>
      </c>
      <c r="L26" s="1">
        <v>46143</v>
      </c>
      <c r="M26" s="1">
        <v>46173</v>
      </c>
      <c r="N26">
        <v>9.1216530000000004E-4</v>
      </c>
      <c r="O26" t="s">
        <v>56</v>
      </c>
      <c r="P26" t="s">
        <v>63</v>
      </c>
      <c r="Q26" t="s">
        <v>2616</v>
      </c>
      <c r="R26" t="s">
        <v>2617</v>
      </c>
      <c r="S26" t="s">
        <v>67</v>
      </c>
      <c r="T26" t="s">
        <v>2666</v>
      </c>
      <c r="U26" t="s">
        <v>2667</v>
      </c>
      <c r="V26">
        <v>16</v>
      </c>
      <c r="W26" s="2">
        <v>1.2703199235</v>
      </c>
    </row>
    <row r="27" spans="1:23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1141685</v>
      </c>
      <c r="H27" t="s">
        <v>79</v>
      </c>
      <c r="I27" t="s">
        <v>94</v>
      </c>
      <c r="J27" t="s">
        <v>101</v>
      </c>
      <c r="K27" t="s">
        <v>114</v>
      </c>
      <c r="L27" s="1">
        <v>46143</v>
      </c>
      <c r="M27" s="1">
        <v>46173</v>
      </c>
      <c r="N27">
        <v>8.4176749999999995E-4</v>
      </c>
      <c r="O27" t="s">
        <v>56</v>
      </c>
      <c r="P27" t="s">
        <v>63</v>
      </c>
      <c r="Q27" t="s">
        <v>2616</v>
      </c>
      <c r="R27" t="s">
        <v>2617</v>
      </c>
      <c r="S27" t="s">
        <v>67</v>
      </c>
      <c r="T27" t="s">
        <v>2668</v>
      </c>
      <c r="U27" t="s">
        <v>2669</v>
      </c>
      <c r="V27">
        <v>16</v>
      </c>
      <c r="W27" s="2">
        <v>1.1738575294</v>
      </c>
    </row>
    <row r="28" spans="1:23" x14ac:dyDescent="0.25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1141685</v>
      </c>
      <c r="H28" t="s">
        <v>79</v>
      </c>
      <c r="I28" t="s">
        <v>94</v>
      </c>
      <c r="J28" t="s">
        <v>101</v>
      </c>
      <c r="K28" t="s">
        <v>114</v>
      </c>
      <c r="L28" s="1">
        <v>46143</v>
      </c>
      <c r="M28" s="1">
        <v>46173</v>
      </c>
      <c r="N28">
        <v>5.2602780000000004E-4</v>
      </c>
      <c r="O28" t="s">
        <v>56</v>
      </c>
      <c r="P28" t="s">
        <v>63</v>
      </c>
      <c r="Q28" t="s">
        <v>2616</v>
      </c>
      <c r="R28" t="s">
        <v>2620</v>
      </c>
      <c r="S28" t="s">
        <v>67</v>
      </c>
      <c r="T28" t="s">
        <v>2670</v>
      </c>
      <c r="U28" t="s">
        <v>2671</v>
      </c>
      <c r="V28">
        <v>16</v>
      </c>
      <c r="W28" s="2">
        <v>0.73606644539999999</v>
      </c>
    </row>
    <row r="29" spans="1:23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1141685</v>
      </c>
      <c r="H29" t="s">
        <v>2672</v>
      </c>
      <c r="I29" t="s">
        <v>97</v>
      </c>
      <c r="J29" t="s">
        <v>2673</v>
      </c>
      <c r="K29" t="s">
        <v>2674</v>
      </c>
      <c r="L29" s="1">
        <v>46143</v>
      </c>
      <c r="M29" s="1">
        <v>46173</v>
      </c>
      <c r="N29">
        <v>31</v>
      </c>
      <c r="O29" t="s">
        <v>2675</v>
      </c>
      <c r="P29" t="s">
        <v>63</v>
      </c>
      <c r="Q29" t="s">
        <v>2676</v>
      </c>
      <c r="R29" t="s">
        <v>2677</v>
      </c>
      <c r="S29" t="s">
        <v>2678</v>
      </c>
      <c r="T29" t="s">
        <v>2679</v>
      </c>
      <c r="U29" t="s">
        <v>2680</v>
      </c>
      <c r="V29">
        <v>6</v>
      </c>
      <c r="W29" s="2">
        <v>261705.69723200021</v>
      </c>
    </row>
    <row r="30" spans="1:23" x14ac:dyDescent="0.25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1141685</v>
      </c>
      <c r="H30" t="s">
        <v>2672</v>
      </c>
      <c r="I30" t="s">
        <v>97</v>
      </c>
      <c r="J30" t="s">
        <v>2673</v>
      </c>
      <c r="K30" t="s">
        <v>2674</v>
      </c>
      <c r="L30" s="1">
        <v>46143</v>
      </c>
      <c r="M30" s="1">
        <v>46173</v>
      </c>
      <c r="N30">
        <v>31</v>
      </c>
      <c r="O30" t="s">
        <v>2675</v>
      </c>
      <c r="P30" t="s">
        <v>63</v>
      </c>
      <c r="Q30" t="s">
        <v>2676</v>
      </c>
      <c r="R30" t="s">
        <v>2681</v>
      </c>
      <c r="S30" t="s">
        <v>2678</v>
      </c>
      <c r="T30" t="s">
        <v>2679</v>
      </c>
      <c r="U30" t="s">
        <v>2680</v>
      </c>
      <c r="V30">
        <v>6</v>
      </c>
      <c r="W30" s="2">
        <v>261705.69723200021</v>
      </c>
    </row>
    <row r="31" spans="1:23" x14ac:dyDescent="0.25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1141685</v>
      </c>
      <c r="H31" t="s">
        <v>77</v>
      </c>
      <c r="I31" t="s">
        <v>96</v>
      </c>
      <c r="J31" t="s">
        <v>77</v>
      </c>
      <c r="K31" t="s">
        <v>111</v>
      </c>
      <c r="L31" s="1">
        <v>46143</v>
      </c>
      <c r="M31" s="1">
        <v>46173</v>
      </c>
      <c r="N31">
        <v>1.3703980500000001E-2</v>
      </c>
      <c r="O31" t="s">
        <v>56</v>
      </c>
      <c r="P31" t="s">
        <v>63</v>
      </c>
      <c r="Q31" t="s">
        <v>2616</v>
      </c>
      <c r="R31" t="s">
        <v>2620</v>
      </c>
      <c r="S31" t="s">
        <v>67</v>
      </c>
      <c r="T31" t="s">
        <v>2682</v>
      </c>
      <c r="U31" t="s">
        <v>2683</v>
      </c>
      <c r="V31">
        <v>16</v>
      </c>
      <c r="W31" s="2">
        <v>2.3939008625999998</v>
      </c>
    </row>
    <row r="32" spans="1:23" x14ac:dyDescent="0.25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1141685</v>
      </c>
      <c r="H32" t="s">
        <v>77</v>
      </c>
      <c r="I32" t="s">
        <v>96</v>
      </c>
      <c r="J32" t="s">
        <v>77</v>
      </c>
      <c r="K32" t="s">
        <v>113</v>
      </c>
      <c r="L32" s="1">
        <v>46143</v>
      </c>
      <c r="M32" s="1">
        <v>46173</v>
      </c>
      <c r="N32">
        <v>1.9940668999999999E-3</v>
      </c>
      <c r="O32" t="s">
        <v>56</v>
      </c>
      <c r="P32" t="s">
        <v>63</v>
      </c>
      <c r="Q32" t="s">
        <v>2616</v>
      </c>
      <c r="R32" t="s">
        <v>2620</v>
      </c>
      <c r="S32" t="s">
        <v>67</v>
      </c>
      <c r="T32" t="s">
        <v>2684</v>
      </c>
      <c r="U32" t="s">
        <v>2685</v>
      </c>
      <c r="V32">
        <v>16</v>
      </c>
      <c r="W32" s="2">
        <v>0.34613871750000003</v>
      </c>
    </row>
    <row r="33" spans="1:23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1141685</v>
      </c>
      <c r="H33" t="s">
        <v>79</v>
      </c>
      <c r="I33" t="s">
        <v>94</v>
      </c>
      <c r="J33" t="s">
        <v>101</v>
      </c>
      <c r="K33" t="s">
        <v>114</v>
      </c>
      <c r="L33" s="1">
        <v>46143</v>
      </c>
      <c r="M33" s="1">
        <v>46173</v>
      </c>
      <c r="N33">
        <v>8.3007100000000004E-4</v>
      </c>
      <c r="O33" t="s">
        <v>56</v>
      </c>
      <c r="P33" t="s">
        <v>63</v>
      </c>
      <c r="Q33" t="s">
        <v>2616</v>
      </c>
      <c r="R33" t="s">
        <v>2620</v>
      </c>
      <c r="S33" t="s">
        <v>67</v>
      </c>
      <c r="T33" t="s">
        <v>2686</v>
      </c>
      <c r="U33" t="s">
        <v>2687</v>
      </c>
      <c r="V33">
        <v>16</v>
      </c>
      <c r="W33" s="2">
        <v>1.1594919312</v>
      </c>
    </row>
    <row r="34" spans="1:23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>
        <v>1141685</v>
      </c>
      <c r="H34" t="s">
        <v>79</v>
      </c>
      <c r="I34" t="s">
        <v>94</v>
      </c>
      <c r="J34" t="s">
        <v>101</v>
      </c>
      <c r="K34" t="s">
        <v>114</v>
      </c>
      <c r="L34" s="1">
        <v>46143</v>
      </c>
      <c r="M34" s="1">
        <v>46173</v>
      </c>
      <c r="N34">
        <v>2.8840769E-3</v>
      </c>
      <c r="O34" t="s">
        <v>56</v>
      </c>
      <c r="P34" t="s">
        <v>63</v>
      </c>
      <c r="Q34" t="s">
        <v>2616</v>
      </c>
      <c r="R34" t="s">
        <v>2617</v>
      </c>
      <c r="S34" t="s">
        <v>67</v>
      </c>
      <c r="T34" t="s">
        <v>2688</v>
      </c>
      <c r="U34" t="s">
        <v>2689</v>
      </c>
      <c r="V34">
        <v>16</v>
      </c>
      <c r="W34" s="2">
        <v>4.0222186420000003</v>
      </c>
    </row>
    <row r="35" spans="1:23" x14ac:dyDescent="0.25">
      <c r="A35" t="s">
        <v>31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>
        <v>1141685</v>
      </c>
      <c r="H35" t="s">
        <v>77</v>
      </c>
      <c r="I35" t="s">
        <v>96</v>
      </c>
      <c r="J35" t="s">
        <v>77</v>
      </c>
      <c r="K35" t="s">
        <v>111</v>
      </c>
      <c r="L35" s="1">
        <v>46143</v>
      </c>
      <c r="M35" s="1">
        <v>46173</v>
      </c>
      <c r="N35">
        <v>7.1669561649000002</v>
      </c>
      <c r="O35" t="s">
        <v>56</v>
      </c>
      <c r="P35" t="s">
        <v>63</v>
      </c>
      <c r="Q35" t="s">
        <v>2616</v>
      </c>
      <c r="R35" t="s">
        <v>2620</v>
      </c>
      <c r="S35" t="s">
        <v>67</v>
      </c>
      <c r="T35" t="s">
        <v>2690</v>
      </c>
      <c r="U35" t="s">
        <v>2691</v>
      </c>
      <c r="V35">
        <v>16</v>
      </c>
      <c r="W35" s="2">
        <v>1250.3455118188999</v>
      </c>
    </row>
    <row r="36" spans="1:23" x14ac:dyDescent="0.25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>
        <v>1141685</v>
      </c>
      <c r="H36" t="s">
        <v>79</v>
      </c>
      <c r="I36" t="s">
        <v>94</v>
      </c>
      <c r="J36" t="s">
        <v>101</v>
      </c>
      <c r="K36" t="s">
        <v>114</v>
      </c>
      <c r="L36" s="1">
        <v>46143</v>
      </c>
      <c r="M36" s="1">
        <v>46173</v>
      </c>
      <c r="N36">
        <v>1.9965395E-3</v>
      </c>
      <c r="O36" t="s">
        <v>56</v>
      </c>
      <c r="P36" t="s">
        <v>63</v>
      </c>
      <c r="Q36" t="s">
        <v>2616</v>
      </c>
      <c r="R36" t="s">
        <v>2620</v>
      </c>
      <c r="S36" t="s">
        <v>67</v>
      </c>
      <c r="T36" t="s">
        <v>2692</v>
      </c>
      <c r="U36" t="s">
        <v>2693</v>
      </c>
      <c r="V36">
        <v>16</v>
      </c>
      <c r="W36" s="2">
        <v>2.7821466584999999</v>
      </c>
    </row>
    <row r="37" spans="1:23" x14ac:dyDescent="0.25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>
        <v>1141685</v>
      </c>
      <c r="H37" t="s">
        <v>82</v>
      </c>
      <c r="I37" t="s">
        <v>82</v>
      </c>
      <c r="J37" t="s">
        <v>82</v>
      </c>
      <c r="K37" t="s">
        <v>118</v>
      </c>
      <c r="L37" s="1">
        <v>46143</v>
      </c>
      <c r="M37" s="1">
        <v>46173</v>
      </c>
      <c r="N37">
        <v>0.14887800000000001</v>
      </c>
      <c r="O37" t="s">
        <v>60</v>
      </c>
      <c r="P37" t="s">
        <v>63</v>
      </c>
      <c r="Q37" t="s">
        <v>2662</v>
      </c>
      <c r="R37" t="s">
        <v>147</v>
      </c>
      <c r="S37" t="s">
        <v>68</v>
      </c>
      <c r="T37" t="s">
        <v>2694</v>
      </c>
      <c r="U37" t="s">
        <v>2695</v>
      </c>
      <c r="V37">
        <v>6</v>
      </c>
      <c r="W37" s="2">
        <v>1038.9286069704001</v>
      </c>
    </row>
    <row r="38" spans="1:23" x14ac:dyDescent="0.25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>
        <v>1141685</v>
      </c>
      <c r="H38" t="s">
        <v>1351</v>
      </c>
      <c r="I38" t="s">
        <v>1353</v>
      </c>
      <c r="J38" t="s">
        <v>1351</v>
      </c>
      <c r="K38" t="s">
        <v>2696</v>
      </c>
      <c r="L38" s="1">
        <v>46143</v>
      </c>
      <c r="M38" s="1">
        <v>46173</v>
      </c>
      <c r="N38">
        <v>447.75048921299998</v>
      </c>
      <c r="O38" t="s">
        <v>56</v>
      </c>
      <c r="P38" t="s">
        <v>63</v>
      </c>
      <c r="Q38" t="s">
        <v>2662</v>
      </c>
      <c r="R38" t="s">
        <v>2663</v>
      </c>
      <c r="S38" t="s">
        <v>68</v>
      </c>
      <c r="T38" t="s">
        <v>2697</v>
      </c>
      <c r="U38" t="s">
        <v>2698</v>
      </c>
      <c r="V38">
        <v>8</v>
      </c>
      <c r="W38" s="2">
        <v>468687.3058379679</v>
      </c>
    </row>
    <row r="39" spans="1:23" x14ac:dyDescent="0.25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>
        <v>1141685</v>
      </c>
      <c r="H39" t="s">
        <v>87</v>
      </c>
      <c r="I39" t="s">
        <v>87</v>
      </c>
      <c r="J39" t="s">
        <v>87</v>
      </c>
      <c r="K39" t="s">
        <v>125</v>
      </c>
      <c r="L39" s="1">
        <v>46143</v>
      </c>
      <c r="M39" s="1">
        <v>46173</v>
      </c>
      <c r="N39">
        <v>744</v>
      </c>
      <c r="O39" t="s">
        <v>58</v>
      </c>
      <c r="P39" t="s">
        <v>63</v>
      </c>
      <c r="Q39" t="s">
        <v>2616</v>
      </c>
      <c r="R39" t="s">
        <v>158</v>
      </c>
      <c r="S39" t="s">
        <v>67</v>
      </c>
      <c r="T39" t="s">
        <v>2699</v>
      </c>
      <c r="U39" t="s">
        <v>2700</v>
      </c>
      <c r="V39">
        <v>12</v>
      </c>
      <c r="W39" s="2">
        <v>324495.598</v>
      </c>
    </row>
    <row r="40" spans="1:23" x14ac:dyDescent="0.25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>
        <v>1141685</v>
      </c>
      <c r="H40" t="s">
        <v>75</v>
      </c>
      <c r="I40" t="s">
        <v>94</v>
      </c>
      <c r="J40" t="s">
        <v>98</v>
      </c>
      <c r="K40" t="s">
        <v>108</v>
      </c>
      <c r="L40" s="1">
        <v>46143</v>
      </c>
      <c r="M40" s="1">
        <v>46173</v>
      </c>
      <c r="N40">
        <v>0.1013326468</v>
      </c>
      <c r="O40" t="s">
        <v>56</v>
      </c>
      <c r="P40" t="s">
        <v>63</v>
      </c>
      <c r="Q40" t="s">
        <v>2616</v>
      </c>
      <c r="R40" t="s">
        <v>2620</v>
      </c>
      <c r="S40" t="s">
        <v>67</v>
      </c>
      <c r="T40" t="s">
        <v>2701</v>
      </c>
      <c r="U40" t="s">
        <v>2702</v>
      </c>
      <c r="V40">
        <v>16</v>
      </c>
      <c r="W40" s="2">
        <v>212.1448919906</v>
      </c>
    </row>
    <row r="41" spans="1:23" x14ac:dyDescent="0.25">
      <c r="A41" t="s">
        <v>31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>
        <v>1141685</v>
      </c>
      <c r="H41" t="s">
        <v>75</v>
      </c>
      <c r="I41" t="s">
        <v>94</v>
      </c>
      <c r="J41" t="s">
        <v>98</v>
      </c>
      <c r="K41" t="s">
        <v>108</v>
      </c>
      <c r="L41" s="1">
        <v>46143</v>
      </c>
      <c r="M41" s="1">
        <v>46173</v>
      </c>
      <c r="N41">
        <v>0.27210703400000003</v>
      </c>
      <c r="O41" t="s">
        <v>56</v>
      </c>
      <c r="P41" t="s">
        <v>63</v>
      </c>
      <c r="Q41" t="s">
        <v>2616</v>
      </c>
      <c r="R41" t="s">
        <v>2620</v>
      </c>
      <c r="S41" t="s">
        <v>67</v>
      </c>
      <c r="T41" t="s">
        <v>2703</v>
      </c>
      <c r="U41" t="s">
        <v>2704</v>
      </c>
      <c r="V41">
        <v>16</v>
      </c>
      <c r="W41" s="2">
        <v>526.40629365929999</v>
      </c>
    </row>
    <row r="42" spans="1:23" x14ac:dyDescent="0.25">
      <c r="A42" t="s">
        <v>31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>
        <v>1141685</v>
      </c>
      <c r="H42" t="s">
        <v>38</v>
      </c>
      <c r="I42" t="s">
        <v>38</v>
      </c>
      <c r="J42" t="s">
        <v>38</v>
      </c>
      <c r="K42" t="s">
        <v>53</v>
      </c>
      <c r="L42" s="1">
        <v>46143</v>
      </c>
      <c r="M42" s="1">
        <v>46173</v>
      </c>
      <c r="N42">
        <v>9.0836192999999999E-3</v>
      </c>
      <c r="O42" t="s">
        <v>57</v>
      </c>
      <c r="P42" t="s">
        <v>63</v>
      </c>
      <c r="Q42" t="s">
        <v>2676</v>
      </c>
      <c r="R42" t="s">
        <v>2705</v>
      </c>
      <c r="S42" t="s">
        <v>67</v>
      </c>
      <c r="T42" t="s">
        <v>2706</v>
      </c>
      <c r="U42" t="s">
        <v>2707</v>
      </c>
      <c r="V42">
        <v>6</v>
      </c>
      <c r="W42" s="2">
        <v>19.014730108999998</v>
      </c>
    </row>
    <row r="43" spans="1:23" x14ac:dyDescent="0.25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>
        <v>1141685</v>
      </c>
      <c r="H43" t="s">
        <v>2672</v>
      </c>
      <c r="I43" t="s">
        <v>97</v>
      </c>
      <c r="J43" t="s">
        <v>2673</v>
      </c>
      <c r="K43" t="s">
        <v>2674</v>
      </c>
      <c r="L43" s="1">
        <v>46143</v>
      </c>
      <c r="M43" s="1">
        <v>46173</v>
      </c>
      <c r="N43">
        <v>31</v>
      </c>
      <c r="O43" t="s">
        <v>2675</v>
      </c>
      <c r="P43" t="s">
        <v>63</v>
      </c>
      <c r="Q43" t="s">
        <v>2676</v>
      </c>
      <c r="R43" t="s">
        <v>2708</v>
      </c>
      <c r="S43" t="s">
        <v>2678</v>
      </c>
      <c r="T43" t="s">
        <v>2679</v>
      </c>
      <c r="U43" t="s">
        <v>2680</v>
      </c>
      <c r="V43">
        <v>6</v>
      </c>
      <c r="W43" s="2">
        <v>261705.69723200021</v>
      </c>
    </row>
    <row r="44" spans="1:23" x14ac:dyDescent="0.25">
      <c r="A44" t="s">
        <v>31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>
        <v>1141685</v>
      </c>
      <c r="H44" t="s">
        <v>87</v>
      </c>
      <c r="I44" t="s">
        <v>87</v>
      </c>
      <c r="J44" t="s">
        <v>87</v>
      </c>
      <c r="K44" t="s">
        <v>125</v>
      </c>
      <c r="L44" s="1">
        <v>46143</v>
      </c>
      <c r="M44" s="1">
        <v>46173</v>
      </c>
      <c r="N44">
        <v>744</v>
      </c>
      <c r="O44" t="s">
        <v>58</v>
      </c>
      <c r="P44" t="s">
        <v>63</v>
      </c>
      <c r="Q44" t="s">
        <v>2616</v>
      </c>
      <c r="R44" t="s">
        <v>164</v>
      </c>
      <c r="S44" t="s">
        <v>67</v>
      </c>
      <c r="T44" t="s">
        <v>2709</v>
      </c>
      <c r="U44" t="s">
        <v>2710</v>
      </c>
      <c r="V44">
        <v>12</v>
      </c>
      <c r="W44" s="2">
        <v>324495.598</v>
      </c>
    </row>
    <row r="45" spans="1:23" x14ac:dyDescent="0.25">
      <c r="A45" t="s">
        <v>31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>
        <v>1141685</v>
      </c>
      <c r="H45" t="s">
        <v>2672</v>
      </c>
      <c r="I45" t="s">
        <v>97</v>
      </c>
      <c r="J45" t="s">
        <v>2673</v>
      </c>
      <c r="K45" t="s">
        <v>2674</v>
      </c>
      <c r="L45" s="1">
        <v>46143</v>
      </c>
      <c r="M45" s="1">
        <v>46173</v>
      </c>
      <c r="N45">
        <v>31</v>
      </c>
      <c r="O45" t="s">
        <v>2675</v>
      </c>
      <c r="P45" t="s">
        <v>63</v>
      </c>
      <c r="Q45" t="s">
        <v>2676</v>
      </c>
      <c r="R45" t="s">
        <v>2711</v>
      </c>
      <c r="S45" t="s">
        <v>2678</v>
      </c>
      <c r="T45" t="s">
        <v>2679</v>
      </c>
      <c r="U45" t="s">
        <v>2680</v>
      </c>
      <c r="V45">
        <v>6</v>
      </c>
      <c r="W45" s="2">
        <v>261705.69723200021</v>
      </c>
    </row>
    <row r="46" spans="1:23" x14ac:dyDescent="0.25">
      <c r="A46" t="s">
        <v>31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>
        <v>1141685</v>
      </c>
      <c r="H46" t="s">
        <v>77</v>
      </c>
      <c r="I46" t="s">
        <v>96</v>
      </c>
      <c r="J46" t="s">
        <v>77</v>
      </c>
      <c r="K46" t="s">
        <v>110</v>
      </c>
      <c r="L46" s="1">
        <v>46143</v>
      </c>
      <c r="M46" s="1">
        <v>46173</v>
      </c>
      <c r="N46">
        <v>744</v>
      </c>
      <c r="O46" t="s">
        <v>58</v>
      </c>
      <c r="P46" t="s">
        <v>63</v>
      </c>
      <c r="Q46" t="s">
        <v>2662</v>
      </c>
      <c r="R46" t="s">
        <v>2712</v>
      </c>
      <c r="S46" t="s">
        <v>67</v>
      </c>
      <c r="T46" t="s">
        <v>1361</v>
      </c>
      <c r="U46" t="s">
        <v>1364</v>
      </c>
      <c r="V46">
        <v>6</v>
      </c>
      <c r="W46" s="2">
        <v>129798.2412</v>
      </c>
    </row>
    <row r="47" spans="1:23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>
        <v>1141685</v>
      </c>
      <c r="H47" t="s">
        <v>80</v>
      </c>
      <c r="I47" t="s">
        <v>96</v>
      </c>
      <c r="J47" t="s">
        <v>80</v>
      </c>
      <c r="K47" t="s">
        <v>122</v>
      </c>
      <c r="L47" s="1">
        <v>46143</v>
      </c>
      <c r="M47" s="1">
        <v>46173</v>
      </c>
      <c r="N47">
        <v>2.6704491731000002</v>
      </c>
      <c r="O47" t="s">
        <v>56</v>
      </c>
      <c r="P47" t="s">
        <v>63</v>
      </c>
      <c r="Q47" t="s">
        <v>2616</v>
      </c>
      <c r="R47" t="s">
        <v>2620</v>
      </c>
      <c r="S47" t="s">
        <v>67</v>
      </c>
      <c r="T47" t="s">
        <v>2713</v>
      </c>
      <c r="U47" t="s">
        <v>2714</v>
      </c>
      <c r="V47">
        <v>16</v>
      </c>
      <c r="W47" s="2">
        <v>465.89017520590011</v>
      </c>
    </row>
    <row r="48" spans="1:23" x14ac:dyDescent="0.25">
      <c r="A48" t="s">
        <v>31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>
        <v>1141685</v>
      </c>
      <c r="H48" t="s">
        <v>80</v>
      </c>
      <c r="I48" t="s">
        <v>96</v>
      </c>
      <c r="J48" t="s">
        <v>80</v>
      </c>
      <c r="K48" t="s">
        <v>122</v>
      </c>
      <c r="L48" s="1">
        <v>46143</v>
      </c>
      <c r="M48" s="1">
        <v>46173</v>
      </c>
      <c r="N48">
        <v>53.080887821499999</v>
      </c>
      <c r="O48" t="s">
        <v>56</v>
      </c>
      <c r="P48" t="s">
        <v>63</v>
      </c>
      <c r="Q48" t="s">
        <v>2616</v>
      </c>
      <c r="R48" t="s">
        <v>2620</v>
      </c>
      <c r="S48" t="s">
        <v>67</v>
      </c>
      <c r="T48" t="s">
        <v>2715</v>
      </c>
      <c r="U48" t="s">
        <v>2716</v>
      </c>
      <c r="V48">
        <v>16</v>
      </c>
      <c r="W48" s="2">
        <v>9260.4926866186997</v>
      </c>
    </row>
    <row r="49" spans="1:23" x14ac:dyDescent="0.25">
      <c r="A49" t="s">
        <v>31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>
        <v>1141685</v>
      </c>
      <c r="H49" t="s">
        <v>80</v>
      </c>
      <c r="I49" t="s">
        <v>96</v>
      </c>
      <c r="J49" t="s">
        <v>80</v>
      </c>
      <c r="K49" t="s">
        <v>122</v>
      </c>
      <c r="L49" s="1">
        <v>46143</v>
      </c>
      <c r="M49" s="1">
        <v>46173</v>
      </c>
      <c r="N49">
        <v>5.7423607999999996E-3</v>
      </c>
      <c r="O49" t="s">
        <v>56</v>
      </c>
      <c r="P49" t="s">
        <v>63</v>
      </c>
      <c r="Q49" t="s">
        <v>2616</v>
      </c>
      <c r="R49" t="s">
        <v>2620</v>
      </c>
      <c r="S49" t="s">
        <v>67</v>
      </c>
      <c r="T49" t="s">
        <v>2717</v>
      </c>
      <c r="U49" t="s">
        <v>2718</v>
      </c>
      <c r="V49">
        <v>16</v>
      </c>
      <c r="W49" s="2">
        <v>1.0015947991</v>
      </c>
    </row>
    <row r="50" spans="1:23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>
        <v>1141685</v>
      </c>
      <c r="H50" t="s">
        <v>77</v>
      </c>
      <c r="I50" t="s">
        <v>96</v>
      </c>
      <c r="J50" t="s">
        <v>77</v>
      </c>
      <c r="K50" t="s">
        <v>111</v>
      </c>
      <c r="L50" s="1">
        <v>46143</v>
      </c>
      <c r="M50" s="1">
        <v>46173</v>
      </c>
      <c r="N50">
        <v>1.9871946000000001E-3</v>
      </c>
      <c r="O50" t="s">
        <v>56</v>
      </c>
      <c r="P50" t="s">
        <v>63</v>
      </c>
      <c r="Q50" t="s">
        <v>2616</v>
      </c>
      <c r="R50" t="s">
        <v>2620</v>
      </c>
      <c r="S50" t="s">
        <v>67</v>
      </c>
      <c r="T50" t="s">
        <v>2719</v>
      </c>
      <c r="U50" t="s">
        <v>2720</v>
      </c>
      <c r="V50">
        <v>16</v>
      </c>
      <c r="W50" s="2">
        <v>0.3450836598</v>
      </c>
    </row>
    <row r="51" spans="1:23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>
        <v>1141685</v>
      </c>
      <c r="H51" t="s">
        <v>77</v>
      </c>
      <c r="I51" t="s">
        <v>96</v>
      </c>
      <c r="J51" t="s">
        <v>77</v>
      </c>
      <c r="K51" t="s">
        <v>111</v>
      </c>
      <c r="L51" s="1">
        <v>46143</v>
      </c>
      <c r="M51" s="1">
        <v>46173</v>
      </c>
      <c r="N51">
        <v>7.5800545499999997E-2</v>
      </c>
      <c r="O51" t="s">
        <v>56</v>
      </c>
      <c r="P51" t="s">
        <v>63</v>
      </c>
      <c r="Q51" t="s">
        <v>2616</v>
      </c>
      <c r="R51" t="s">
        <v>2620</v>
      </c>
      <c r="S51" t="s">
        <v>67</v>
      </c>
      <c r="T51" t="s">
        <v>2721</v>
      </c>
      <c r="U51" t="s">
        <v>2722</v>
      </c>
      <c r="V51">
        <v>16</v>
      </c>
      <c r="W51" s="2">
        <v>13.2272635892</v>
      </c>
    </row>
    <row r="52" spans="1:23" x14ac:dyDescent="0.25">
      <c r="A52" t="s">
        <v>31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>
        <v>1141685</v>
      </c>
      <c r="H52" t="s">
        <v>76</v>
      </c>
      <c r="I52" t="s">
        <v>95</v>
      </c>
      <c r="J52" t="s">
        <v>99</v>
      </c>
      <c r="K52" t="s">
        <v>109</v>
      </c>
      <c r="L52" s="1">
        <v>46143</v>
      </c>
      <c r="M52" s="1">
        <v>46173</v>
      </c>
      <c r="N52">
        <v>75.966703999999993</v>
      </c>
      <c r="O52" t="s">
        <v>58</v>
      </c>
      <c r="P52" t="s">
        <v>63</v>
      </c>
      <c r="Q52" t="s">
        <v>2635</v>
      </c>
      <c r="R52" t="s">
        <v>2620</v>
      </c>
      <c r="S52" t="s">
        <v>67</v>
      </c>
      <c r="T52" t="s">
        <v>2646</v>
      </c>
      <c r="U52" t="s">
        <v>2647</v>
      </c>
      <c r="V52">
        <v>16</v>
      </c>
      <c r="W52" s="2">
        <v>0</v>
      </c>
    </row>
    <row r="53" spans="1:23" x14ac:dyDescent="0.25">
      <c r="A53" t="s">
        <v>31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>
        <v>1141685</v>
      </c>
      <c r="H53" t="s">
        <v>76</v>
      </c>
      <c r="I53" t="s">
        <v>95</v>
      </c>
      <c r="J53" t="s">
        <v>99</v>
      </c>
      <c r="K53" t="s">
        <v>109</v>
      </c>
      <c r="L53" s="1">
        <v>46143</v>
      </c>
      <c r="M53" s="1">
        <v>46173</v>
      </c>
      <c r="N53">
        <v>0.983352</v>
      </c>
      <c r="O53" t="s">
        <v>58</v>
      </c>
      <c r="P53" t="s">
        <v>63</v>
      </c>
      <c r="Q53" t="s">
        <v>2635</v>
      </c>
      <c r="R53" t="s">
        <v>2620</v>
      </c>
      <c r="S53" t="s">
        <v>67</v>
      </c>
      <c r="T53" t="s">
        <v>2646</v>
      </c>
      <c r="U53" t="s">
        <v>2647</v>
      </c>
      <c r="V53">
        <v>16</v>
      </c>
      <c r="W53" s="2">
        <v>0</v>
      </c>
    </row>
    <row r="54" spans="1:23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>
        <v>1141685</v>
      </c>
      <c r="H54" t="s">
        <v>75</v>
      </c>
      <c r="I54" t="s">
        <v>94</v>
      </c>
      <c r="J54" t="s">
        <v>98</v>
      </c>
      <c r="K54" t="s">
        <v>108</v>
      </c>
      <c r="L54" s="1">
        <v>46143</v>
      </c>
      <c r="M54" s="1">
        <v>46173</v>
      </c>
      <c r="N54">
        <v>0.31537642890000001</v>
      </c>
      <c r="O54" t="s">
        <v>56</v>
      </c>
      <c r="P54" t="s">
        <v>63</v>
      </c>
      <c r="Q54" t="s">
        <v>2616</v>
      </c>
      <c r="R54" t="s">
        <v>2617</v>
      </c>
      <c r="S54" t="s">
        <v>67</v>
      </c>
      <c r="T54" t="s">
        <v>2723</v>
      </c>
      <c r="U54" t="s">
        <v>2724</v>
      </c>
      <c r="V54">
        <v>16</v>
      </c>
      <c r="W54" s="2">
        <v>615.58223707009995</v>
      </c>
    </row>
    <row r="55" spans="1:23" x14ac:dyDescent="0.25">
      <c r="A55" t="s">
        <v>31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>
        <v>1141685</v>
      </c>
      <c r="H55" t="s">
        <v>75</v>
      </c>
      <c r="I55" t="s">
        <v>94</v>
      </c>
      <c r="J55" t="s">
        <v>98</v>
      </c>
      <c r="K55" t="s">
        <v>108</v>
      </c>
      <c r="L55" s="1">
        <v>46143</v>
      </c>
      <c r="M55" s="1">
        <v>46173</v>
      </c>
      <c r="N55">
        <v>7.3594247900000007E-2</v>
      </c>
      <c r="O55" t="s">
        <v>56</v>
      </c>
      <c r="P55" t="s">
        <v>63</v>
      </c>
      <c r="Q55" t="s">
        <v>2616</v>
      </c>
      <c r="R55" t="s">
        <v>2617</v>
      </c>
      <c r="S55" t="s">
        <v>67</v>
      </c>
      <c r="T55" t="s">
        <v>2725</v>
      </c>
      <c r="U55" t="s">
        <v>2726</v>
      </c>
      <c r="V55">
        <v>16</v>
      </c>
      <c r="W55" s="2">
        <v>145.61201918270001</v>
      </c>
    </row>
    <row r="56" spans="1:23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>
        <v>1141685</v>
      </c>
      <c r="H56" t="s">
        <v>80</v>
      </c>
      <c r="I56" t="s">
        <v>96</v>
      </c>
      <c r="J56" t="s">
        <v>80</v>
      </c>
      <c r="K56" t="s">
        <v>115</v>
      </c>
      <c r="L56" s="1">
        <v>46143</v>
      </c>
      <c r="M56" s="1">
        <v>46173</v>
      </c>
      <c r="N56">
        <v>13.472227443</v>
      </c>
      <c r="O56" t="s">
        <v>56</v>
      </c>
      <c r="P56" t="s">
        <v>63</v>
      </c>
      <c r="Q56" t="s">
        <v>2616</v>
      </c>
      <c r="R56" t="s">
        <v>2620</v>
      </c>
      <c r="S56" t="s">
        <v>67</v>
      </c>
      <c r="T56" t="s">
        <v>2727</v>
      </c>
      <c r="U56" t="s">
        <v>2728</v>
      </c>
      <c r="V56">
        <v>16</v>
      </c>
      <c r="W56" s="2">
        <v>2350.3610237426001</v>
      </c>
    </row>
    <row r="57" spans="1:23" x14ac:dyDescent="0.25">
      <c r="A57" t="s">
        <v>31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>
        <v>1141685</v>
      </c>
      <c r="H57" t="s">
        <v>80</v>
      </c>
      <c r="I57" t="s">
        <v>96</v>
      </c>
      <c r="J57" t="s">
        <v>80</v>
      </c>
      <c r="K57" t="s">
        <v>115</v>
      </c>
      <c r="L57" s="1">
        <v>46143</v>
      </c>
      <c r="M57" s="1">
        <v>46173</v>
      </c>
      <c r="N57">
        <v>2.0564112799999999E-2</v>
      </c>
      <c r="O57" t="s">
        <v>56</v>
      </c>
      <c r="P57" t="s">
        <v>63</v>
      </c>
      <c r="Q57" t="s">
        <v>2616</v>
      </c>
      <c r="R57" t="s">
        <v>2620</v>
      </c>
      <c r="S57" t="s">
        <v>67</v>
      </c>
      <c r="T57" t="s">
        <v>2729</v>
      </c>
      <c r="U57" t="s">
        <v>2730</v>
      </c>
      <c r="V57">
        <v>16</v>
      </c>
      <c r="W57" s="2">
        <v>3.5871013066000002</v>
      </c>
    </row>
    <row r="58" spans="1:23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>
        <v>1141685</v>
      </c>
      <c r="H58" t="s">
        <v>80</v>
      </c>
      <c r="I58" t="s">
        <v>96</v>
      </c>
      <c r="J58" t="s">
        <v>80</v>
      </c>
      <c r="K58" t="s">
        <v>115</v>
      </c>
      <c r="L58" s="1">
        <v>46143</v>
      </c>
      <c r="M58" s="1">
        <v>46173</v>
      </c>
      <c r="N58">
        <v>11.010627008</v>
      </c>
      <c r="O58" t="s">
        <v>56</v>
      </c>
      <c r="P58" t="s">
        <v>63</v>
      </c>
      <c r="Q58" t="s">
        <v>2616</v>
      </c>
      <c r="R58" t="s">
        <v>2620</v>
      </c>
      <c r="S58" t="s">
        <v>67</v>
      </c>
      <c r="T58" t="s">
        <v>2731</v>
      </c>
      <c r="U58" t="s">
        <v>2732</v>
      </c>
      <c r="V58">
        <v>16</v>
      </c>
      <c r="W58" s="2">
        <v>1920.9143092833001</v>
      </c>
    </row>
    <row r="59" spans="1:23" x14ac:dyDescent="0.25">
      <c r="A59" t="s">
        <v>31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>
        <v>1141685</v>
      </c>
      <c r="H59" t="s">
        <v>80</v>
      </c>
      <c r="I59" t="s">
        <v>96</v>
      </c>
      <c r="J59" t="s">
        <v>80</v>
      </c>
      <c r="K59" t="s">
        <v>115</v>
      </c>
      <c r="L59" s="1">
        <v>46143</v>
      </c>
      <c r="M59" s="1">
        <v>46173</v>
      </c>
      <c r="N59">
        <v>15.0450052358</v>
      </c>
      <c r="O59" t="s">
        <v>56</v>
      </c>
      <c r="P59" t="s">
        <v>63</v>
      </c>
      <c r="Q59" t="s">
        <v>2616</v>
      </c>
      <c r="R59" t="s">
        <v>2620</v>
      </c>
      <c r="S59" t="s">
        <v>67</v>
      </c>
      <c r="T59" t="s">
        <v>2733</v>
      </c>
      <c r="U59" t="s">
        <v>2734</v>
      </c>
      <c r="V59">
        <v>16</v>
      </c>
      <c r="W59" s="2">
        <v>2624.7514198269</v>
      </c>
    </row>
    <row r="60" spans="1:23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>
        <v>1141685</v>
      </c>
      <c r="H60" t="s">
        <v>80</v>
      </c>
      <c r="I60" t="s">
        <v>96</v>
      </c>
      <c r="J60" t="s">
        <v>80</v>
      </c>
      <c r="K60" t="s">
        <v>115</v>
      </c>
      <c r="L60" s="1">
        <v>46143</v>
      </c>
      <c r="M60" s="1">
        <v>46173</v>
      </c>
      <c r="N60">
        <v>5.8000337761000003</v>
      </c>
      <c r="O60" t="s">
        <v>56</v>
      </c>
      <c r="P60" t="s">
        <v>63</v>
      </c>
      <c r="Q60" t="s">
        <v>2616</v>
      </c>
      <c r="R60" t="s">
        <v>2617</v>
      </c>
      <c r="S60" t="s">
        <v>67</v>
      </c>
      <c r="T60" t="s">
        <v>2735</v>
      </c>
      <c r="U60" t="s">
        <v>2736</v>
      </c>
      <c r="V60">
        <v>16</v>
      </c>
      <c r="W60" s="2">
        <v>1011.8690254668001</v>
      </c>
    </row>
    <row r="61" spans="1:23" x14ac:dyDescent="0.25">
      <c r="A61" t="s">
        <v>31</v>
      </c>
      <c r="B61" t="s">
        <v>32</v>
      </c>
      <c r="C61" t="s">
        <v>33</v>
      </c>
      <c r="D61" t="s">
        <v>34</v>
      </c>
      <c r="E61" t="s">
        <v>35</v>
      </c>
      <c r="F61" t="s">
        <v>36</v>
      </c>
      <c r="G61">
        <v>1141685</v>
      </c>
      <c r="H61" t="s">
        <v>80</v>
      </c>
      <c r="I61" t="s">
        <v>96</v>
      </c>
      <c r="J61" t="s">
        <v>80</v>
      </c>
      <c r="K61" t="s">
        <v>115</v>
      </c>
      <c r="L61" s="1">
        <v>46143</v>
      </c>
      <c r="M61" s="1">
        <v>46173</v>
      </c>
      <c r="N61">
        <v>10.9031932428</v>
      </c>
      <c r="O61" t="s">
        <v>56</v>
      </c>
      <c r="P61" t="s">
        <v>63</v>
      </c>
      <c r="Q61" t="s">
        <v>2616</v>
      </c>
      <c r="R61" t="s">
        <v>2617</v>
      </c>
      <c r="S61" t="s">
        <v>67</v>
      </c>
      <c r="T61" t="s">
        <v>2737</v>
      </c>
      <c r="U61" t="s">
        <v>2738</v>
      </c>
      <c r="V61">
        <v>16</v>
      </c>
      <c r="W61" s="2">
        <v>1902.1705619674001</v>
      </c>
    </row>
    <row r="62" spans="1:23" x14ac:dyDescent="0.25">
      <c r="A62" t="s">
        <v>31</v>
      </c>
      <c r="B62" t="s">
        <v>32</v>
      </c>
      <c r="C62" t="s">
        <v>33</v>
      </c>
      <c r="D62" t="s">
        <v>34</v>
      </c>
      <c r="E62" t="s">
        <v>35</v>
      </c>
      <c r="F62" t="s">
        <v>36</v>
      </c>
      <c r="G62">
        <v>1141685</v>
      </c>
      <c r="H62" t="s">
        <v>75</v>
      </c>
      <c r="I62" t="s">
        <v>94</v>
      </c>
      <c r="J62" t="s">
        <v>98</v>
      </c>
      <c r="K62" t="s">
        <v>108</v>
      </c>
      <c r="L62" s="1">
        <v>46143</v>
      </c>
      <c r="M62" s="1">
        <v>46173</v>
      </c>
      <c r="N62">
        <v>6.6718004600000005E-2</v>
      </c>
      <c r="O62" t="s">
        <v>56</v>
      </c>
      <c r="P62" t="s">
        <v>63</v>
      </c>
      <c r="Q62" t="s">
        <v>2616</v>
      </c>
      <c r="R62" t="s">
        <v>2620</v>
      </c>
      <c r="S62" t="s">
        <v>67</v>
      </c>
      <c r="T62" t="s">
        <v>2739</v>
      </c>
      <c r="U62" t="s">
        <v>2740</v>
      </c>
      <c r="V62">
        <v>16</v>
      </c>
      <c r="W62" s="2">
        <v>127.971508024</v>
      </c>
    </row>
    <row r="63" spans="1:23" x14ac:dyDescent="0.25">
      <c r="A63" t="s">
        <v>31</v>
      </c>
      <c r="B63" t="s">
        <v>32</v>
      </c>
      <c r="C63" t="s">
        <v>33</v>
      </c>
      <c r="D63" t="s">
        <v>34</v>
      </c>
      <c r="E63" t="s">
        <v>35</v>
      </c>
      <c r="F63" t="s">
        <v>36</v>
      </c>
      <c r="G63">
        <v>1141685</v>
      </c>
      <c r="H63" t="s">
        <v>75</v>
      </c>
      <c r="I63" t="s">
        <v>94</v>
      </c>
      <c r="J63" t="s">
        <v>98</v>
      </c>
      <c r="K63" t="s">
        <v>108</v>
      </c>
      <c r="L63" s="1">
        <v>46143</v>
      </c>
      <c r="M63" s="1">
        <v>46173</v>
      </c>
      <c r="N63">
        <v>4.544649E-4</v>
      </c>
      <c r="O63" t="s">
        <v>56</v>
      </c>
      <c r="P63" t="s">
        <v>63</v>
      </c>
      <c r="Q63" t="s">
        <v>2616</v>
      </c>
      <c r="R63" t="s">
        <v>2620</v>
      </c>
      <c r="S63" t="s">
        <v>67</v>
      </c>
      <c r="T63" t="s">
        <v>2741</v>
      </c>
      <c r="U63" t="s">
        <v>2742</v>
      </c>
      <c r="V63">
        <v>16</v>
      </c>
      <c r="W63" s="2">
        <v>0.94725964480000002</v>
      </c>
    </row>
    <row r="64" spans="1:23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36</v>
      </c>
      <c r="G64">
        <v>1141685</v>
      </c>
      <c r="H64" t="s">
        <v>80</v>
      </c>
      <c r="I64" t="s">
        <v>96</v>
      </c>
      <c r="J64" t="s">
        <v>80</v>
      </c>
      <c r="K64" t="s">
        <v>115</v>
      </c>
      <c r="L64" s="1">
        <v>46143</v>
      </c>
      <c r="M64" s="1">
        <v>46173</v>
      </c>
      <c r="N64">
        <v>15.364166598800001</v>
      </c>
      <c r="O64" t="s">
        <v>56</v>
      </c>
      <c r="P64" t="s">
        <v>63</v>
      </c>
      <c r="Q64" t="s">
        <v>2616</v>
      </c>
      <c r="R64" t="s">
        <v>2620</v>
      </c>
      <c r="S64" t="s">
        <v>67</v>
      </c>
      <c r="T64" t="s">
        <v>2743</v>
      </c>
      <c r="U64" t="s">
        <v>2744</v>
      </c>
      <c r="V64">
        <v>16</v>
      </c>
      <c r="W64" s="2">
        <v>2680.4306042408998</v>
      </c>
    </row>
    <row r="65" spans="1:23" x14ac:dyDescent="0.25">
      <c r="A65" t="s">
        <v>31</v>
      </c>
      <c r="B65" t="s">
        <v>32</v>
      </c>
      <c r="C65" t="s">
        <v>33</v>
      </c>
      <c r="D65" t="s">
        <v>34</v>
      </c>
      <c r="E65" t="s">
        <v>35</v>
      </c>
      <c r="F65" t="s">
        <v>36</v>
      </c>
      <c r="G65">
        <v>1141685</v>
      </c>
      <c r="H65" t="s">
        <v>80</v>
      </c>
      <c r="I65" t="s">
        <v>96</v>
      </c>
      <c r="J65" t="s">
        <v>80</v>
      </c>
      <c r="K65" t="s">
        <v>115</v>
      </c>
      <c r="L65" s="1">
        <v>46143</v>
      </c>
      <c r="M65" s="1">
        <v>46173</v>
      </c>
      <c r="N65">
        <v>24.6272448217</v>
      </c>
      <c r="O65" t="s">
        <v>56</v>
      </c>
      <c r="P65" t="s">
        <v>63</v>
      </c>
      <c r="Q65" t="s">
        <v>2616</v>
      </c>
      <c r="R65" t="s">
        <v>2620</v>
      </c>
      <c r="S65" t="s">
        <v>67</v>
      </c>
      <c r="T65" t="s">
        <v>2745</v>
      </c>
      <c r="U65" t="s">
        <v>2746</v>
      </c>
      <c r="V65">
        <v>16</v>
      </c>
      <c r="W65" s="2">
        <v>4296.4728358101002</v>
      </c>
    </row>
    <row r="66" spans="1:23" x14ac:dyDescent="0.25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s">
        <v>36</v>
      </c>
      <c r="G66">
        <v>1141685</v>
      </c>
      <c r="H66" t="s">
        <v>80</v>
      </c>
      <c r="I66" t="s">
        <v>96</v>
      </c>
      <c r="J66" t="s">
        <v>80</v>
      </c>
      <c r="K66" t="s">
        <v>115</v>
      </c>
      <c r="L66" s="1">
        <v>46143</v>
      </c>
      <c r="M66" s="1">
        <v>46173</v>
      </c>
      <c r="N66">
        <v>16.596685325700001</v>
      </c>
      <c r="O66" t="s">
        <v>56</v>
      </c>
      <c r="P66" t="s">
        <v>63</v>
      </c>
      <c r="Q66" t="s">
        <v>2616</v>
      </c>
      <c r="R66" t="s">
        <v>2620</v>
      </c>
      <c r="S66" t="s">
        <v>67</v>
      </c>
      <c r="T66" t="s">
        <v>2747</v>
      </c>
      <c r="U66" t="s">
        <v>2748</v>
      </c>
      <c r="V66">
        <v>16</v>
      </c>
      <c r="W66" s="2">
        <v>2895.4527952951998</v>
      </c>
    </row>
    <row r="67" spans="1:23" x14ac:dyDescent="0.25">
      <c r="A67" t="s">
        <v>31</v>
      </c>
      <c r="B67" t="s">
        <v>32</v>
      </c>
      <c r="C67" t="s">
        <v>33</v>
      </c>
      <c r="D67" t="s">
        <v>34</v>
      </c>
      <c r="E67" t="s">
        <v>35</v>
      </c>
      <c r="F67" t="s">
        <v>36</v>
      </c>
      <c r="G67">
        <v>1141685</v>
      </c>
      <c r="H67" t="s">
        <v>87</v>
      </c>
      <c r="I67" t="s">
        <v>87</v>
      </c>
      <c r="J67" t="s">
        <v>87</v>
      </c>
      <c r="K67" t="s">
        <v>131</v>
      </c>
      <c r="L67" s="1">
        <v>46143</v>
      </c>
      <c r="M67" s="1">
        <v>46173</v>
      </c>
      <c r="N67">
        <v>1608.2719154321001</v>
      </c>
      <c r="O67" t="s">
        <v>56</v>
      </c>
      <c r="P67" t="s">
        <v>63</v>
      </c>
      <c r="Q67" t="s">
        <v>2616</v>
      </c>
      <c r="R67" t="s">
        <v>164</v>
      </c>
      <c r="S67" t="s">
        <v>67</v>
      </c>
      <c r="T67" t="s">
        <v>2749</v>
      </c>
      <c r="U67" t="s">
        <v>2750</v>
      </c>
      <c r="V67">
        <v>12</v>
      </c>
      <c r="W67" s="2">
        <v>140289.56208116241</v>
      </c>
    </row>
    <row r="68" spans="1:23" x14ac:dyDescent="0.25">
      <c r="A68" t="s">
        <v>31</v>
      </c>
      <c r="B68" t="s">
        <v>32</v>
      </c>
      <c r="C68" t="s">
        <v>33</v>
      </c>
      <c r="D68" t="s">
        <v>34</v>
      </c>
      <c r="E68" t="s">
        <v>35</v>
      </c>
      <c r="F68" t="s">
        <v>36</v>
      </c>
      <c r="G68">
        <v>1141685</v>
      </c>
      <c r="H68" t="s">
        <v>75</v>
      </c>
      <c r="I68" t="s">
        <v>94</v>
      </c>
      <c r="J68" t="s">
        <v>98</v>
      </c>
      <c r="K68" t="s">
        <v>108</v>
      </c>
      <c r="L68" s="1">
        <v>46143</v>
      </c>
      <c r="M68" s="1">
        <v>46173</v>
      </c>
      <c r="N68">
        <v>2.2018608000000002E-3</v>
      </c>
      <c r="O68" t="s">
        <v>56</v>
      </c>
      <c r="P68" t="s">
        <v>63</v>
      </c>
      <c r="Q68" t="s">
        <v>2616</v>
      </c>
      <c r="R68" t="s">
        <v>2620</v>
      </c>
      <c r="S68" t="s">
        <v>67</v>
      </c>
      <c r="T68" t="s">
        <v>2751</v>
      </c>
      <c r="U68" t="s">
        <v>2752</v>
      </c>
      <c r="V68">
        <v>16</v>
      </c>
      <c r="W68" s="2">
        <v>4.6064828130000004</v>
      </c>
    </row>
    <row r="69" spans="1:23" x14ac:dyDescent="0.25">
      <c r="A69" t="s">
        <v>31</v>
      </c>
      <c r="B69" t="s">
        <v>32</v>
      </c>
      <c r="C69" t="s">
        <v>33</v>
      </c>
      <c r="D69" t="s">
        <v>34</v>
      </c>
      <c r="E69" t="s">
        <v>35</v>
      </c>
      <c r="F69" t="s">
        <v>36</v>
      </c>
      <c r="G69">
        <v>1141685</v>
      </c>
      <c r="H69" t="s">
        <v>80</v>
      </c>
      <c r="I69" t="s">
        <v>96</v>
      </c>
      <c r="J69" t="s">
        <v>80</v>
      </c>
      <c r="K69" t="s">
        <v>115</v>
      </c>
      <c r="L69" s="1">
        <v>46143</v>
      </c>
      <c r="M69" s="1">
        <v>46173</v>
      </c>
      <c r="N69">
        <v>7.0231530797000001</v>
      </c>
      <c r="O69" t="s">
        <v>56</v>
      </c>
      <c r="P69" t="s">
        <v>63</v>
      </c>
      <c r="Q69" t="s">
        <v>2616</v>
      </c>
      <c r="R69" t="s">
        <v>2617</v>
      </c>
      <c r="S69" t="s">
        <v>67</v>
      </c>
      <c r="T69" t="s">
        <v>2753</v>
      </c>
      <c r="U69" t="s">
        <v>2754</v>
      </c>
      <c r="V69">
        <v>16</v>
      </c>
      <c r="W69" s="2">
        <v>1225.2581719242</v>
      </c>
    </row>
    <row r="70" spans="1:23" x14ac:dyDescent="0.25">
      <c r="A70" t="s">
        <v>31</v>
      </c>
      <c r="B70" t="s">
        <v>32</v>
      </c>
      <c r="C70" t="s">
        <v>33</v>
      </c>
      <c r="D70" t="s">
        <v>34</v>
      </c>
      <c r="E70" t="s">
        <v>35</v>
      </c>
      <c r="F70" t="s">
        <v>36</v>
      </c>
      <c r="G70">
        <v>1141685</v>
      </c>
      <c r="H70" t="s">
        <v>80</v>
      </c>
      <c r="I70" t="s">
        <v>96</v>
      </c>
      <c r="J70" t="s">
        <v>80</v>
      </c>
      <c r="K70" t="s">
        <v>115</v>
      </c>
      <c r="L70" s="1">
        <v>46143</v>
      </c>
      <c r="M70" s="1">
        <v>46173</v>
      </c>
      <c r="N70">
        <v>12.197030811599999</v>
      </c>
      <c r="O70" t="s">
        <v>56</v>
      </c>
      <c r="P70" t="s">
        <v>63</v>
      </c>
      <c r="Q70" t="s">
        <v>2616</v>
      </c>
      <c r="R70" t="s">
        <v>2620</v>
      </c>
      <c r="S70" t="s">
        <v>67</v>
      </c>
      <c r="T70" t="s">
        <v>2755</v>
      </c>
      <c r="U70" t="s">
        <v>2756</v>
      </c>
      <c r="V70">
        <v>16</v>
      </c>
      <c r="W70" s="2">
        <v>2127.8967159402</v>
      </c>
    </row>
    <row r="71" spans="1:23" x14ac:dyDescent="0.25">
      <c r="A71" t="s">
        <v>31</v>
      </c>
      <c r="B71" t="s">
        <v>32</v>
      </c>
      <c r="C71" t="s">
        <v>33</v>
      </c>
      <c r="D71" t="s">
        <v>34</v>
      </c>
      <c r="E71" t="s">
        <v>35</v>
      </c>
      <c r="F71" t="s">
        <v>36</v>
      </c>
      <c r="G71">
        <v>1141685</v>
      </c>
      <c r="H71" t="s">
        <v>80</v>
      </c>
      <c r="I71" t="s">
        <v>96</v>
      </c>
      <c r="J71" t="s">
        <v>80</v>
      </c>
      <c r="K71" t="s">
        <v>115</v>
      </c>
      <c r="L71" s="1">
        <v>46143</v>
      </c>
      <c r="M71" s="1">
        <v>46173</v>
      </c>
      <c r="N71">
        <v>22.182437233600002</v>
      </c>
      <c r="O71" t="s">
        <v>56</v>
      </c>
      <c r="P71" t="s">
        <v>63</v>
      </c>
      <c r="Q71" t="s">
        <v>2616</v>
      </c>
      <c r="R71" t="s">
        <v>2620</v>
      </c>
      <c r="S71" t="s">
        <v>67</v>
      </c>
      <c r="T71" t="s">
        <v>2757</v>
      </c>
      <c r="U71" t="s">
        <v>2758</v>
      </c>
      <c r="V71">
        <v>16</v>
      </c>
      <c r="W71" s="2">
        <v>3869.9442398029</v>
      </c>
    </row>
    <row r="72" spans="1:23" x14ac:dyDescent="0.25">
      <c r="A72" t="s">
        <v>31</v>
      </c>
      <c r="B72" t="s">
        <v>32</v>
      </c>
      <c r="C72" t="s">
        <v>33</v>
      </c>
      <c r="D72" t="s">
        <v>34</v>
      </c>
      <c r="E72" t="s">
        <v>35</v>
      </c>
      <c r="F72" t="s">
        <v>36</v>
      </c>
      <c r="G72">
        <v>1141685</v>
      </c>
      <c r="H72" t="s">
        <v>91</v>
      </c>
      <c r="I72" t="s">
        <v>95</v>
      </c>
      <c r="J72" t="s">
        <v>106</v>
      </c>
      <c r="K72" t="s">
        <v>479</v>
      </c>
      <c r="L72" s="1">
        <v>46143</v>
      </c>
      <c r="M72" s="1">
        <v>46173</v>
      </c>
      <c r="N72">
        <v>0.150003</v>
      </c>
      <c r="O72" t="s">
        <v>58</v>
      </c>
      <c r="P72" t="s">
        <v>63</v>
      </c>
      <c r="Q72" t="s">
        <v>2635</v>
      </c>
      <c r="R72" t="s">
        <v>2620</v>
      </c>
      <c r="S72" t="s">
        <v>67</v>
      </c>
      <c r="T72" t="s">
        <v>2759</v>
      </c>
      <c r="U72" t="s">
        <v>2760</v>
      </c>
      <c r="V72">
        <v>16</v>
      </c>
      <c r="W72" s="2">
        <v>654.23951436000004</v>
      </c>
    </row>
    <row r="73" spans="1:23" x14ac:dyDescent="0.25">
      <c r="A73" t="s">
        <v>31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>
        <v>1141685</v>
      </c>
      <c r="H73" t="s">
        <v>91</v>
      </c>
      <c r="I73" t="s">
        <v>95</v>
      </c>
      <c r="J73" t="s">
        <v>106</v>
      </c>
      <c r="K73" t="s">
        <v>479</v>
      </c>
      <c r="L73" s="1">
        <v>46143</v>
      </c>
      <c r="M73" s="1">
        <v>46173</v>
      </c>
      <c r="N73">
        <v>174.95005</v>
      </c>
      <c r="O73" t="s">
        <v>58</v>
      </c>
      <c r="P73" t="s">
        <v>63</v>
      </c>
      <c r="Q73" t="s">
        <v>2635</v>
      </c>
      <c r="R73" t="s">
        <v>2620</v>
      </c>
      <c r="S73" t="s">
        <v>67</v>
      </c>
      <c r="T73" t="s">
        <v>2761</v>
      </c>
      <c r="U73" t="s">
        <v>2762</v>
      </c>
      <c r="V73">
        <v>16</v>
      </c>
      <c r="W73" s="2">
        <v>763044.64590599993</v>
      </c>
    </row>
    <row r="74" spans="1:23" x14ac:dyDescent="0.25">
      <c r="A74" t="s">
        <v>31</v>
      </c>
      <c r="B74" t="s">
        <v>32</v>
      </c>
      <c r="C74" t="s">
        <v>33</v>
      </c>
      <c r="D74" t="s">
        <v>34</v>
      </c>
      <c r="E74" t="s">
        <v>35</v>
      </c>
      <c r="F74" t="s">
        <v>36</v>
      </c>
      <c r="G74">
        <v>1141685</v>
      </c>
      <c r="H74" t="s">
        <v>91</v>
      </c>
      <c r="I74" t="s">
        <v>95</v>
      </c>
      <c r="J74" t="s">
        <v>106</v>
      </c>
      <c r="K74" t="s">
        <v>479</v>
      </c>
      <c r="L74" s="1">
        <v>46143</v>
      </c>
      <c r="M74" s="1">
        <v>46173</v>
      </c>
      <c r="N74">
        <v>0.91668400000000005</v>
      </c>
      <c r="O74" t="s">
        <v>58</v>
      </c>
      <c r="P74" t="s">
        <v>63</v>
      </c>
      <c r="Q74" t="s">
        <v>2635</v>
      </c>
      <c r="R74" t="s">
        <v>2620</v>
      </c>
      <c r="S74" t="s">
        <v>67</v>
      </c>
      <c r="T74" t="s">
        <v>2763</v>
      </c>
      <c r="U74" t="s">
        <v>2764</v>
      </c>
      <c r="V74">
        <v>16</v>
      </c>
      <c r="W74" s="2">
        <v>3998.1131940800001</v>
      </c>
    </row>
    <row r="75" spans="1:23" x14ac:dyDescent="0.25">
      <c r="A75" t="s">
        <v>31</v>
      </c>
      <c r="B75" t="s">
        <v>32</v>
      </c>
      <c r="C75" t="s">
        <v>33</v>
      </c>
      <c r="D75" t="s">
        <v>34</v>
      </c>
      <c r="E75" t="s">
        <v>35</v>
      </c>
      <c r="F75" t="s">
        <v>36</v>
      </c>
      <c r="G75">
        <v>1141685</v>
      </c>
      <c r="H75" t="s">
        <v>91</v>
      </c>
      <c r="I75" t="s">
        <v>95</v>
      </c>
      <c r="J75" t="s">
        <v>106</v>
      </c>
      <c r="K75" t="s">
        <v>479</v>
      </c>
      <c r="L75" s="1">
        <v>46143</v>
      </c>
      <c r="M75" s="1">
        <v>46173</v>
      </c>
      <c r="N75">
        <v>75.966700000000003</v>
      </c>
      <c r="O75" t="s">
        <v>58</v>
      </c>
      <c r="P75" t="s">
        <v>63</v>
      </c>
      <c r="Q75" t="s">
        <v>2635</v>
      </c>
      <c r="R75" t="s">
        <v>2620</v>
      </c>
      <c r="S75" t="s">
        <v>67</v>
      </c>
      <c r="T75" t="s">
        <v>2765</v>
      </c>
      <c r="U75" t="s">
        <v>2766</v>
      </c>
      <c r="V75">
        <v>16</v>
      </c>
      <c r="W75" s="2">
        <v>331328.76060400001</v>
      </c>
    </row>
    <row r="76" spans="1:23" x14ac:dyDescent="0.25">
      <c r="A76" t="s">
        <v>31</v>
      </c>
      <c r="B76" t="s">
        <v>32</v>
      </c>
      <c r="C76" t="s">
        <v>33</v>
      </c>
      <c r="D76" t="s">
        <v>34</v>
      </c>
      <c r="E76" t="s">
        <v>35</v>
      </c>
      <c r="F76" t="s">
        <v>36</v>
      </c>
      <c r="G76">
        <v>1141685</v>
      </c>
      <c r="H76" t="s">
        <v>91</v>
      </c>
      <c r="I76" t="s">
        <v>95</v>
      </c>
      <c r="J76" t="s">
        <v>106</v>
      </c>
      <c r="K76" t="s">
        <v>479</v>
      </c>
      <c r="L76" s="1">
        <v>46143</v>
      </c>
      <c r="M76" s="1">
        <v>46173</v>
      </c>
      <c r="N76">
        <v>33</v>
      </c>
      <c r="O76" t="s">
        <v>58</v>
      </c>
      <c r="P76" t="s">
        <v>63</v>
      </c>
      <c r="Q76" t="s">
        <v>2635</v>
      </c>
      <c r="R76" t="s">
        <v>2620</v>
      </c>
      <c r="S76" t="s">
        <v>67</v>
      </c>
      <c r="T76" t="s">
        <v>2767</v>
      </c>
      <c r="U76" t="s">
        <v>2768</v>
      </c>
      <c r="V76">
        <v>16</v>
      </c>
      <c r="W76" s="2">
        <v>143929.5</v>
      </c>
    </row>
    <row r="77" spans="1:23" x14ac:dyDescent="0.25">
      <c r="A77" t="s">
        <v>31</v>
      </c>
      <c r="B77" t="s">
        <v>32</v>
      </c>
      <c r="C77" t="s">
        <v>33</v>
      </c>
      <c r="D77" t="s">
        <v>34</v>
      </c>
      <c r="E77" t="s">
        <v>35</v>
      </c>
      <c r="F77" t="s">
        <v>36</v>
      </c>
      <c r="G77">
        <v>1141685</v>
      </c>
      <c r="H77" t="s">
        <v>91</v>
      </c>
      <c r="I77" t="s">
        <v>95</v>
      </c>
      <c r="J77" t="s">
        <v>106</v>
      </c>
      <c r="K77" t="s">
        <v>479</v>
      </c>
      <c r="L77" s="1">
        <v>46143</v>
      </c>
      <c r="M77" s="1">
        <v>46173</v>
      </c>
      <c r="N77">
        <v>2.0000000000000002E-5</v>
      </c>
      <c r="O77" t="s">
        <v>58</v>
      </c>
      <c r="P77" t="s">
        <v>63</v>
      </c>
      <c r="Q77" t="s">
        <v>2635</v>
      </c>
      <c r="R77" t="s">
        <v>2620</v>
      </c>
      <c r="S77" t="s">
        <v>67</v>
      </c>
      <c r="T77" t="s">
        <v>2769</v>
      </c>
      <c r="U77" t="s">
        <v>2770</v>
      </c>
      <c r="V77">
        <v>16</v>
      </c>
      <c r="W77" s="2">
        <v>8.676239999999999E-2</v>
      </c>
    </row>
    <row r="78" spans="1:23" x14ac:dyDescent="0.25">
      <c r="A78" t="s">
        <v>31</v>
      </c>
      <c r="B78" t="s">
        <v>32</v>
      </c>
      <c r="C78" t="s">
        <v>33</v>
      </c>
      <c r="D78" t="s">
        <v>34</v>
      </c>
      <c r="E78" t="s">
        <v>35</v>
      </c>
      <c r="F78" t="s">
        <v>36</v>
      </c>
      <c r="G78">
        <v>1141685</v>
      </c>
      <c r="H78" t="s">
        <v>91</v>
      </c>
      <c r="I78" t="s">
        <v>95</v>
      </c>
      <c r="J78" t="s">
        <v>106</v>
      </c>
      <c r="K78" t="s">
        <v>479</v>
      </c>
      <c r="L78" s="1">
        <v>46143</v>
      </c>
      <c r="M78" s="1">
        <v>46173</v>
      </c>
      <c r="N78">
        <v>0.10000199999999999</v>
      </c>
      <c r="O78" t="s">
        <v>58</v>
      </c>
      <c r="P78" t="s">
        <v>63</v>
      </c>
      <c r="Q78" t="s">
        <v>2635</v>
      </c>
      <c r="R78" t="s">
        <v>2620</v>
      </c>
      <c r="S78" t="s">
        <v>67</v>
      </c>
      <c r="T78" t="s">
        <v>2771</v>
      </c>
      <c r="U78" t="s">
        <v>2772</v>
      </c>
      <c r="V78">
        <v>16</v>
      </c>
      <c r="W78" s="2">
        <v>436.15967624000001</v>
      </c>
    </row>
    <row r="79" spans="1:23" x14ac:dyDescent="0.25">
      <c r="A79" t="s">
        <v>31</v>
      </c>
      <c r="B79" t="s">
        <v>32</v>
      </c>
      <c r="C79" t="s">
        <v>33</v>
      </c>
      <c r="D79" t="s">
        <v>34</v>
      </c>
      <c r="E79" t="s">
        <v>35</v>
      </c>
      <c r="F79" t="s">
        <v>36</v>
      </c>
      <c r="G79">
        <v>1141685</v>
      </c>
      <c r="H79" t="s">
        <v>80</v>
      </c>
      <c r="I79" t="s">
        <v>96</v>
      </c>
      <c r="J79" t="s">
        <v>80</v>
      </c>
      <c r="K79" t="s">
        <v>115</v>
      </c>
      <c r="L79" s="1">
        <v>46143</v>
      </c>
      <c r="M79" s="1">
        <v>46173</v>
      </c>
      <c r="N79">
        <v>65.743946845599993</v>
      </c>
      <c r="O79" t="s">
        <v>56</v>
      </c>
      <c r="P79" t="s">
        <v>63</v>
      </c>
      <c r="Q79" t="s">
        <v>2616</v>
      </c>
      <c r="R79" t="s">
        <v>2620</v>
      </c>
      <c r="S79" t="s">
        <v>67</v>
      </c>
      <c r="T79" t="s">
        <v>2773</v>
      </c>
      <c r="U79" t="s">
        <v>2774</v>
      </c>
      <c r="V79">
        <v>16</v>
      </c>
      <c r="W79" s="2">
        <v>11469.686290688</v>
      </c>
    </row>
    <row r="80" spans="1:23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36</v>
      </c>
      <c r="G80">
        <v>1141685</v>
      </c>
      <c r="H80" t="s">
        <v>91</v>
      </c>
      <c r="I80" t="s">
        <v>95</v>
      </c>
      <c r="J80" t="s">
        <v>106</v>
      </c>
      <c r="K80" t="s">
        <v>479</v>
      </c>
      <c r="L80" s="1">
        <v>46143</v>
      </c>
      <c r="M80" s="1">
        <v>46173</v>
      </c>
      <c r="N80">
        <v>0.16667000000000001</v>
      </c>
      <c r="O80" t="s">
        <v>58</v>
      </c>
      <c r="P80" t="s">
        <v>63</v>
      </c>
      <c r="Q80" t="s">
        <v>2635</v>
      </c>
      <c r="R80" t="s">
        <v>2620</v>
      </c>
      <c r="S80" t="s">
        <v>67</v>
      </c>
      <c r="T80" t="s">
        <v>2775</v>
      </c>
      <c r="U80" t="s">
        <v>2776</v>
      </c>
      <c r="V80">
        <v>16</v>
      </c>
      <c r="W80" s="2">
        <v>726.92946040000004</v>
      </c>
    </row>
    <row r="81" spans="1:23" x14ac:dyDescent="0.25">
      <c r="A81" t="s">
        <v>31</v>
      </c>
      <c r="B81" t="s">
        <v>32</v>
      </c>
      <c r="C81" t="s">
        <v>33</v>
      </c>
      <c r="D81" t="s">
        <v>34</v>
      </c>
      <c r="E81" t="s">
        <v>35</v>
      </c>
      <c r="F81" t="s">
        <v>36</v>
      </c>
      <c r="G81">
        <v>1141685</v>
      </c>
      <c r="H81" t="s">
        <v>91</v>
      </c>
      <c r="I81" t="s">
        <v>95</v>
      </c>
      <c r="J81" t="s">
        <v>106</v>
      </c>
      <c r="K81" t="s">
        <v>479</v>
      </c>
      <c r="L81" s="1">
        <v>46143</v>
      </c>
      <c r="M81" s="1">
        <v>46173</v>
      </c>
      <c r="N81">
        <v>0.983352</v>
      </c>
      <c r="O81" t="s">
        <v>58</v>
      </c>
      <c r="P81" t="s">
        <v>63</v>
      </c>
      <c r="Q81" t="s">
        <v>2635</v>
      </c>
      <c r="R81" t="s">
        <v>2620</v>
      </c>
      <c r="S81" t="s">
        <v>67</v>
      </c>
      <c r="T81" t="s">
        <v>2777</v>
      </c>
      <c r="U81" t="s">
        <v>2778</v>
      </c>
      <c r="V81">
        <v>16</v>
      </c>
      <c r="W81" s="2">
        <v>4288.89297824</v>
      </c>
    </row>
    <row r="82" spans="1:23" x14ac:dyDescent="0.25">
      <c r="A82" t="s">
        <v>31</v>
      </c>
      <c r="B82" t="s">
        <v>32</v>
      </c>
      <c r="C82" t="s">
        <v>33</v>
      </c>
      <c r="D82" t="s">
        <v>34</v>
      </c>
      <c r="E82" t="s">
        <v>35</v>
      </c>
      <c r="F82" t="s">
        <v>36</v>
      </c>
      <c r="G82">
        <v>1141685</v>
      </c>
      <c r="H82" t="s">
        <v>76</v>
      </c>
      <c r="I82" t="s">
        <v>95</v>
      </c>
      <c r="J82" t="s">
        <v>99</v>
      </c>
      <c r="K82" t="s">
        <v>109</v>
      </c>
      <c r="L82" s="1">
        <v>46143</v>
      </c>
      <c r="M82" s="1">
        <v>46173</v>
      </c>
      <c r="N82">
        <v>0.98335300000000003</v>
      </c>
      <c r="O82" t="s">
        <v>58</v>
      </c>
      <c r="P82" t="s">
        <v>63</v>
      </c>
      <c r="Q82" t="s">
        <v>2635</v>
      </c>
      <c r="R82" t="s">
        <v>2620</v>
      </c>
      <c r="S82" t="s">
        <v>67</v>
      </c>
      <c r="T82" t="s">
        <v>2779</v>
      </c>
      <c r="U82" t="s">
        <v>2780</v>
      </c>
      <c r="V82">
        <v>16</v>
      </c>
      <c r="W82" s="2">
        <v>0</v>
      </c>
    </row>
    <row r="83" spans="1:23" x14ac:dyDescent="0.25">
      <c r="A83" t="s">
        <v>31</v>
      </c>
      <c r="B83" t="s">
        <v>32</v>
      </c>
      <c r="C83" t="s">
        <v>33</v>
      </c>
      <c r="D83" t="s">
        <v>34</v>
      </c>
      <c r="E83" t="s">
        <v>35</v>
      </c>
      <c r="F83" t="s">
        <v>36</v>
      </c>
      <c r="G83">
        <v>1141685</v>
      </c>
      <c r="H83" t="s">
        <v>76</v>
      </c>
      <c r="I83" t="s">
        <v>95</v>
      </c>
      <c r="J83" t="s">
        <v>99</v>
      </c>
      <c r="K83" t="s">
        <v>109</v>
      </c>
      <c r="L83" s="1">
        <v>46143</v>
      </c>
      <c r="M83" s="1">
        <v>46173</v>
      </c>
      <c r="N83">
        <v>1.6646999999999999E-2</v>
      </c>
      <c r="O83" t="s">
        <v>58</v>
      </c>
      <c r="P83" t="s">
        <v>63</v>
      </c>
      <c r="Q83" t="s">
        <v>2635</v>
      </c>
      <c r="R83" t="s">
        <v>2620</v>
      </c>
      <c r="S83" t="s">
        <v>67</v>
      </c>
      <c r="T83" t="s">
        <v>2779</v>
      </c>
      <c r="U83" t="s">
        <v>2780</v>
      </c>
      <c r="V83">
        <v>16</v>
      </c>
      <c r="W83" s="2">
        <v>0</v>
      </c>
    </row>
    <row r="84" spans="1:23" x14ac:dyDescent="0.25">
      <c r="A84" t="s">
        <v>31</v>
      </c>
      <c r="B84" t="s">
        <v>32</v>
      </c>
      <c r="C84" t="s">
        <v>33</v>
      </c>
      <c r="D84" t="s">
        <v>34</v>
      </c>
      <c r="E84" t="s">
        <v>35</v>
      </c>
      <c r="F84" t="s">
        <v>36</v>
      </c>
      <c r="G84">
        <v>1141685</v>
      </c>
      <c r="H84" t="s">
        <v>76</v>
      </c>
      <c r="I84" t="s">
        <v>95</v>
      </c>
      <c r="J84" t="s">
        <v>99</v>
      </c>
      <c r="K84" t="s">
        <v>109</v>
      </c>
      <c r="L84" s="1">
        <v>46143</v>
      </c>
      <c r="M84" s="1">
        <v>46173</v>
      </c>
      <c r="N84">
        <v>4.9940999999999999E-2</v>
      </c>
      <c r="O84" t="s">
        <v>58</v>
      </c>
      <c r="P84" t="s">
        <v>63</v>
      </c>
      <c r="Q84" t="s">
        <v>2635</v>
      </c>
      <c r="R84" t="s">
        <v>2620</v>
      </c>
      <c r="S84" t="s">
        <v>67</v>
      </c>
      <c r="T84" t="s">
        <v>2779</v>
      </c>
      <c r="U84" t="s">
        <v>2780</v>
      </c>
      <c r="V84">
        <v>16</v>
      </c>
      <c r="W84" s="2">
        <v>0</v>
      </c>
    </row>
    <row r="85" spans="1:23" x14ac:dyDescent="0.25">
      <c r="A85" t="s">
        <v>31</v>
      </c>
      <c r="B85" t="s">
        <v>32</v>
      </c>
      <c r="C85" t="s">
        <v>33</v>
      </c>
      <c r="D85" t="s">
        <v>34</v>
      </c>
      <c r="E85" t="s">
        <v>35</v>
      </c>
      <c r="F85" t="s">
        <v>36</v>
      </c>
      <c r="G85">
        <v>1141685</v>
      </c>
      <c r="H85" t="s">
        <v>76</v>
      </c>
      <c r="I85" t="s">
        <v>95</v>
      </c>
      <c r="J85" t="s">
        <v>99</v>
      </c>
      <c r="K85" t="s">
        <v>109</v>
      </c>
      <c r="L85" s="1">
        <v>46143</v>
      </c>
      <c r="M85" s="1">
        <v>46173</v>
      </c>
      <c r="N85">
        <v>0.98335300000000003</v>
      </c>
      <c r="O85" t="s">
        <v>58</v>
      </c>
      <c r="P85" t="s">
        <v>63</v>
      </c>
      <c r="Q85" t="s">
        <v>2635</v>
      </c>
      <c r="R85" t="s">
        <v>2620</v>
      </c>
      <c r="S85" t="s">
        <v>67</v>
      </c>
      <c r="T85" t="s">
        <v>2646</v>
      </c>
      <c r="U85" t="s">
        <v>2647</v>
      </c>
      <c r="V85">
        <v>16</v>
      </c>
      <c r="W85" s="2">
        <v>0</v>
      </c>
    </row>
    <row r="86" spans="1:23" x14ac:dyDescent="0.25">
      <c r="A86" t="s">
        <v>31</v>
      </c>
      <c r="B86" t="s">
        <v>32</v>
      </c>
      <c r="C86" t="s">
        <v>33</v>
      </c>
      <c r="D86" t="s">
        <v>34</v>
      </c>
      <c r="E86" t="s">
        <v>35</v>
      </c>
      <c r="F86" t="s">
        <v>36</v>
      </c>
      <c r="G86">
        <v>1141685</v>
      </c>
      <c r="H86" t="s">
        <v>76</v>
      </c>
      <c r="I86" t="s">
        <v>95</v>
      </c>
      <c r="J86" t="s">
        <v>99</v>
      </c>
      <c r="K86" t="s">
        <v>109</v>
      </c>
      <c r="L86" s="1">
        <v>46143</v>
      </c>
      <c r="M86" s="1">
        <v>46173</v>
      </c>
      <c r="N86">
        <v>360</v>
      </c>
      <c r="O86" t="s">
        <v>58</v>
      </c>
      <c r="P86" t="s">
        <v>63</v>
      </c>
      <c r="Q86" t="s">
        <v>2635</v>
      </c>
      <c r="R86" t="s">
        <v>2620</v>
      </c>
      <c r="S86" t="s">
        <v>67</v>
      </c>
      <c r="T86" t="s">
        <v>2646</v>
      </c>
      <c r="U86" t="s">
        <v>2647</v>
      </c>
      <c r="V86">
        <v>16</v>
      </c>
      <c r="W86" s="2">
        <v>0</v>
      </c>
    </row>
    <row r="87" spans="1:23" x14ac:dyDescent="0.25">
      <c r="A87" t="s">
        <v>31</v>
      </c>
      <c r="B87" t="s">
        <v>32</v>
      </c>
      <c r="C87" t="s">
        <v>33</v>
      </c>
      <c r="D87" t="s">
        <v>34</v>
      </c>
      <c r="E87" t="s">
        <v>35</v>
      </c>
      <c r="F87" t="s">
        <v>36</v>
      </c>
      <c r="G87">
        <v>1141685</v>
      </c>
      <c r="H87" t="s">
        <v>76</v>
      </c>
      <c r="I87" t="s">
        <v>95</v>
      </c>
      <c r="J87" t="s">
        <v>99</v>
      </c>
      <c r="K87" t="s">
        <v>109</v>
      </c>
      <c r="L87" s="1">
        <v>46143</v>
      </c>
      <c r="M87" s="1">
        <v>46173</v>
      </c>
      <c r="N87">
        <v>176</v>
      </c>
      <c r="O87" t="s">
        <v>58</v>
      </c>
      <c r="P87" t="s">
        <v>63</v>
      </c>
      <c r="Q87" t="s">
        <v>2635</v>
      </c>
      <c r="R87" t="s">
        <v>2620</v>
      </c>
      <c r="S87" t="s">
        <v>67</v>
      </c>
      <c r="T87" t="s">
        <v>2646</v>
      </c>
      <c r="U87" t="s">
        <v>2647</v>
      </c>
      <c r="V87">
        <v>16</v>
      </c>
      <c r="W87" s="2">
        <v>0</v>
      </c>
    </row>
    <row r="88" spans="1:23" x14ac:dyDescent="0.25">
      <c r="A88" t="s">
        <v>31</v>
      </c>
      <c r="B88" t="s">
        <v>32</v>
      </c>
      <c r="C88" t="s">
        <v>33</v>
      </c>
      <c r="D88" t="s">
        <v>34</v>
      </c>
      <c r="E88" t="s">
        <v>35</v>
      </c>
      <c r="F88" t="s">
        <v>36</v>
      </c>
      <c r="G88">
        <v>1141685</v>
      </c>
      <c r="H88" t="s">
        <v>76</v>
      </c>
      <c r="I88" t="s">
        <v>95</v>
      </c>
      <c r="J88" t="s">
        <v>99</v>
      </c>
      <c r="K88" t="s">
        <v>109</v>
      </c>
      <c r="L88" s="1">
        <v>46143</v>
      </c>
      <c r="M88" s="1">
        <v>46173</v>
      </c>
      <c r="N88">
        <v>3.9334120000000001</v>
      </c>
      <c r="O88" t="s">
        <v>58</v>
      </c>
      <c r="P88" t="s">
        <v>63</v>
      </c>
      <c r="Q88" t="s">
        <v>2635</v>
      </c>
      <c r="R88" t="s">
        <v>2620</v>
      </c>
      <c r="S88" t="s">
        <v>67</v>
      </c>
      <c r="T88" t="s">
        <v>2646</v>
      </c>
      <c r="U88" t="s">
        <v>2647</v>
      </c>
      <c r="V88">
        <v>16</v>
      </c>
      <c r="W88" s="2">
        <v>0</v>
      </c>
    </row>
    <row r="89" spans="1:23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36</v>
      </c>
      <c r="G89">
        <v>1141685</v>
      </c>
      <c r="H89" t="s">
        <v>76</v>
      </c>
      <c r="I89" t="s">
        <v>95</v>
      </c>
      <c r="J89" t="s">
        <v>99</v>
      </c>
      <c r="K89" t="s">
        <v>109</v>
      </c>
      <c r="L89" s="1">
        <v>46143</v>
      </c>
      <c r="M89" s="1">
        <v>46173</v>
      </c>
      <c r="N89">
        <v>0.96668500000000002</v>
      </c>
      <c r="O89" t="s">
        <v>58</v>
      </c>
      <c r="P89" t="s">
        <v>63</v>
      </c>
      <c r="Q89" t="s">
        <v>2635</v>
      </c>
      <c r="R89" t="s">
        <v>2617</v>
      </c>
      <c r="S89" t="s">
        <v>67</v>
      </c>
      <c r="T89" t="s">
        <v>2781</v>
      </c>
      <c r="U89" t="s">
        <v>2782</v>
      </c>
      <c r="V89">
        <v>16</v>
      </c>
      <c r="W89" s="2">
        <v>0</v>
      </c>
    </row>
    <row r="90" spans="1:23" x14ac:dyDescent="0.25">
      <c r="A90" t="s">
        <v>31</v>
      </c>
      <c r="B90" t="s">
        <v>32</v>
      </c>
      <c r="C90" t="s">
        <v>33</v>
      </c>
      <c r="D90" t="s">
        <v>34</v>
      </c>
      <c r="E90" t="s">
        <v>35</v>
      </c>
      <c r="F90" t="s">
        <v>36</v>
      </c>
      <c r="G90">
        <v>1141685</v>
      </c>
      <c r="H90" t="s">
        <v>76</v>
      </c>
      <c r="I90" t="s">
        <v>95</v>
      </c>
      <c r="J90" t="s">
        <v>99</v>
      </c>
      <c r="K90" t="s">
        <v>109</v>
      </c>
      <c r="L90" s="1">
        <v>46143</v>
      </c>
      <c r="M90" s="1">
        <v>46173</v>
      </c>
      <c r="N90">
        <v>358</v>
      </c>
      <c r="O90" t="s">
        <v>58</v>
      </c>
      <c r="P90" t="s">
        <v>63</v>
      </c>
      <c r="Q90" t="s">
        <v>2635</v>
      </c>
      <c r="R90" t="s">
        <v>2617</v>
      </c>
      <c r="S90" t="s">
        <v>67</v>
      </c>
      <c r="T90" t="s">
        <v>2781</v>
      </c>
      <c r="U90" t="s">
        <v>2782</v>
      </c>
      <c r="V90">
        <v>16</v>
      </c>
      <c r="W90" s="2">
        <v>0</v>
      </c>
    </row>
    <row r="91" spans="1:23" x14ac:dyDescent="0.25">
      <c r="A91" t="s">
        <v>31</v>
      </c>
      <c r="B91" t="s">
        <v>32</v>
      </c>
      <c r="C91" t="s">
        <v>33</v>
      </c>
      <c r="D91" t="s">
        <v>34</v>
      </c>
      <c r="E91" t="s">
        <v>35</v>
      </c>
      <c r="F91" t="s">
        <v>36</v>
      </c>
      <c r="G91">
        <v>1141685</v>
      </c>
      <c r="H91" t="s">
        <v>76</v>
      </c>
      <c r="I91" t="s">
        <v>95</v>
      </c>
      <c r="J91" t="s">
        <v>99</v>
      </c>
      <c r="K91" t="s">
        <v>109</v>
      </c>
      <c r="L91" s="1">
        <v>46143</v>
      </c>
      <c r="M91" s="1">
        <v>46173</v>
      </c>
      <c r="N91">
        <v>178</v>
      </c>
      <c r="O91" t="s">
        <v>58</v>
      </c>
      <c r="P91" t="s">
        <v>63</v>
      </c>
      <c r="Q91" t="s">
        <v>2635</v>
      </c>
      <c r="R91" t="s">
        <v>2620</v>
      </c>
      <c r="S91" t="s">
        <v>67</v>
      </c>
      <c r="T91" t="s">
        <v>2779</v>
      </c>
      <c r="U91" t="s">
        <v>2780</v>
      </c>
      <c r="V91">
        <v>16</v>
      </c>
      <c r="W91" s="2">
        <v>0</v>
      </c>
    </row>
    <row r="92" spans="1:23" x14ac:dyDescent="0.25">
      <c r="A92" t="s">
        <v>31</v>
      </c>
      <c r="B92" t="s">
        <v>32</v>
      </c>
      <c r="C92" t="s">
        <v>33</v>
      </c>
      <c r="D92" t="s">
        <v>34</v>
      </c>
      <c r="E92" t="s">
        <v>35</v>
      </c>
      <c r="F92" t="s">
        <v>36</v>
      </c>
      <c r="G92">
        <v>1141685</v>
      </c>
      <c r="H92" t="s">
        <v>76</v>
      </c>
      <c r="I92" t="s">
        <v>95</v>
      </c>
      <c r="J92" t="s">
        <v>99</v>
      </c>
      <c r="K92" t="s">
        <v>109</v>
      </c>
      <c r="L92" s="1">
        <v>46143</v>
      </c>
      <c r="M92" s="1">
        <v>46173</v>
      </c>
      <c r="N92">
        <v>76</v>
      </c>
      <c r="O92" t="s">
        <v>58</v>
      </c>
      <c r="P92" t="s">
        <v>63</v>
      </c>
      <c r="Q92" t="s">
        <v>2635</v>
      </c>
      <c r="R92" t="s">
        <v>2617</v>
      </c>
      <c r="S92" t="s">
        <v>67</v>
      </c>
      <c r="T92" t="s">
        <v>2781</v>
      </c>
      <c r="U92" t="s">
        <v>2782</v>
      </c>
      <c r="V92">
        <v>16</v>
      </c>
      <c r="W92" s="2">
        <v>0</v>
      </c>
    </row>
    <row r="93" spans="1:23" x14ac:dyDescent="0.25">
      <c r="A93" t="s">
        <v>31</v>
      </c>
      <c r="B93" t="s">
        <v>32</v>
      </c>
      <c r="C93" t="s">
        <v>33</v>
      </c>
      <c r="D93" t="s">
        <v>34</v>
      </c>
      <c r="E93" t="s">
        <v>35</v>
      </c>
      <c r="F93" t="s">
        <v>36</v>
      </c>
      <c r="G93">
        <v>1141685</v>
      </c>
      <c r="H93" t="s">
        <v>76</v>
      </c>
      <c r="I93" t="s">
        <v>95</v>
      </c>
      <c r="J93" t="s">
        <v>99</v>
      </c>
      <c r="K93" t="s">
        <v>109</v>
      </c>
      <c r="L93" s="1">
        <v>46143</v>
      </c>
      <c r="M93" s="1">
        <v>46173</v>
      </c>
      <c r="N93">
        <v>8.3235000000000003E-2</v>
      </c>
      <c r="O93" t="s">
        <v>58</v>
      </c>
      <c r="P93" t="s">
        <v>63</v>
      </c>
      <c r="Q93" t="s">
        <v>2635</v>
      </c>
      <c r="R93" t="s">
        <v>2620</v>
      </c>
      <c r="S93" t="s">
        <v>67</v>
      </c>
      <c r="T93" t="s">
        <v>2646</v>
      </c>
      <c r="U93" t="s">
        <v>2647</v>
      </c>
      <c r="V93">
        <v>16</v>
      </c>
      <c r="W93" s="2">
        <v>0</v>
      </c>
    </row>
    <row r="94" spans="1:23" x14ac:dyDescent="0.25">
      <c r="A94" t="s">
        <v>31</v>
      </c>
      <c r="B94" t="s">
        <v>32</v>
      </c>
      <c r="C94" t="s">
        <v>33</v>
      </c>
      <c r="D94" t="s">
        <v>34</v>
      </c>
      <c r="E94" t="s">
        <v>35</v>
      </c>
      <c r="F94" t="s">
        <v>36</v>
      </c>
      <c r="G94">
        <v>1141685</v>
      </c>
      <c r="H94" t="s">
        <v>76</v>
      </c>
      <c r="I94" t="s">
        <v>95</v>
      </c>
      <c r="J94" t="s">
        <v>99</v>
      </c>
      <c r="K94" t="s">
        <v>109</v>
      </c>
      <c r="L94" s="1">
        <v>46143</v>
      </c>
      <c r="M94" s="1">
        <v>46173</v>
      </c>
      <c r="N94">
        <v>4.91676</v>
      </c>
      <c r="O94" t="s">
        <v>58</v>
      </c>
      <c r="P94" t="s">
        <v>63</v>
      </c>
      <c r="Q94" t="s">
        <v>2635</v>
      </c>
      <c r="R94" t="s">
        <v>2617</v>
      </c>
      <c r="S94" t="s">
        <v>67</v>
      </c>
      <c r="T94" t="s">
        <v>2781</v>
      </c>
      <c r="U94" t="s">
        <v>2782</v>
      </c>
      <c r="V94">
        <v>16</v>
      </c>
      <c r="W94" s="2">
        <v>0</v>
      </c>
    </row>
    <row r="95" spans="1:23" x14ac:dyDescent="0.25">
      <c r="A95" t="s">
        <v>31</v>
      </c>
      <c r="B95" t="s">
        <v>32</v>
      </c>
      <c r="C95" t="s">
        <v>33</v>
      </c>
      <c r="D95" t="s">
        <v>34</v>
      </c>
      <c r="E95" t="s">
        <v>35</v>
      </c>
      <c r="F95" t="s">
        <v>36</v>
      </c>
      <c r="G95">
        <v>1141685</v>
      </c>
      <c r="H95" t="s">
        <v>76</v>
      </c>
      <c r="I95" t="s">
        <v>95</v>
      </c>
      <c r="J95" t="s">
        <v>99</v>
      </c>
      <c r="K95" t="s">
        <v>109</v>
      </c>
      <c r="L95" s="1">
        <v>46143</v>
      </c>
      <c r="M95" s="1">
        <v>46173</v>
      </c>
      <c r="N95">
        <v>77</v>
      </c>
      <c r="O95" t="s">
        <v>58</v>
      </c>
      <c r="P95" t="s">
        <v>63</v>
      </c>
      <c r="Q95" t="s">
        <v>2635</v>
      </c>
      <c r="R95" t="s">
        <v>2617</v>
      </c>
      <c r="S95" t="s">
        <v>67</v>
      </c>
      <c r="T95" t="s">
        <v>2781</v>
      </c>
      <c r="U95" t="s">
        <v>2782</v>
      </c>
      <c r="V95">
        <v>16</v>
      </c>
      <c r="W95" s="2">
        <v>0</v>
      </c>
    </row>
    <row r="96" spans="1:23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36</v>
      </c>
      <c r="G96">
        <v>1141685</v>
      </c>
      <c r="H96" t="s">
        <v>76</v>
      </c>
      <c r="I96" t="s">
        <v>95</v>
      </c>
      <c r="J96" t="s">
        <v>99</v>
      </c>
      <c r="K96" t="s">
        <v>109</v>
      </c>
      <c r="L96" s="1">
        <v>46143</v>
      </c>
      <c r="M96" s="1">
        <v>46173</v>
      </c>
      <c r="N96">
        <v>360</v>
      </c>
      <c r="O96" t="s">
        <v>58</v>
      </c>
      <c r="P96" t="s">
        <v>63</v>
      </c>
      <c r="Q96" t="s">
        <v>2635</v>
      </c>
      <c r="R96" t="s">
        <v>2620</v>
      </c>
      <c r="S96" t="s">
        <v>67</v>
      </c>
      <c r="T96" t="s">
        <v>2646</v>
      </c>
      <c r="U96" t="s">
        <v>2647</v>
      </c>
      <c r="V96">
        <v>16</v>
      </c>
      <c r="W96" s="2">
        <v>0</v>
      </c>
    </row>
    <row r="97" spans="1:23" x14ac:dyDescent="0.25">
      <c r="A97" t="s">
        <v>31</v>
      </c>
      <c r="B97" t="s">
        <v>32</v>
      </c>
      <c r="C97" t="s">
        <v>33</v>
      </c>
      <c r="D97" t="s">
        <v>34</v>
      </c>
      <c r="E97" t="s">
        <v>35</v>
      </c>
      <c r="F97" t="s">
        <v>36</v>
      </c>
      <c r="G97">
        <v>1141685</v>
      </c>
      <c r="H97" t="s">
        <v>76</v>
      </c>
      <c r="I97" t="s">
        <v>95</v>
      </c>
      <c r="J97" t="s">
        <v>99</v>
      </c>
      <c r="K97" t="s">
        <v>109</v>
      </c>
      <c r="L97" s="1">
        <v>46143</v>
      </c>
      <c r="M97" s="1">
        <v>46173</v>
      </c>
      <c r="N97">
        <v>177</v>
      </c>
      <c r="O97" t="s">
        <v>58</v>
      </c>
      <c r="P97" t="s">
        <v>63</v>
      </c>
      <c r="Q97" t="s">
        <v>2635</v>
      </c>
      <c r="R97" t="s">
        <v>2620</v>
      </c>
      <c r="S97" t="s">
        <v>67</v>
      </c>
      <c r="T97" t="s">
        <v>2779</v>
      </c>
      <c r="U97" t="s">
        <v>2780</v>
      </c>
      <c r="V97">
        <v>16</v>
      </c>
      <c r="W97" s="2">
        <v>0</v>
      </c>
    </row>
    <row r="98" spans="1:23" x14ac:dyDescent="0.25">
      <c r="A98" t="s">
        <v>31</v>
      </c>
      <c r="B98" t="s">
        <v>32</v>
      </c>
      <c r="C98" t="s">
        <v>33</v>
      </c>
      <c r="D98" t="s">
        <v>34</v>
      </c>
      <c r="E98" t="s">
        <v>35</v>
      </c>
      <c r="F98" t="s">
        <v>36</v>
      </c>
      <c r="G98">
        <v>1141685</v>
      </c>
      <c r="H98" t="s">
        <v>76</v>
      </c>
      <c r="I98" t="s">
        <v>95</v>
      </c>
      <c r="J98" t="s">
        <v>99</v>
      </c>
      <c r="K98" t="s">
        <v>109</v>
      </c>
      <c r="L98" s="1">
        <v>46143</v>
      </c>
      <c r="M98" s="1">
        <v>46173</v>
      </c>
      <c r="N98">
        <v>127.716661</v>
      </c>
      <c r="O98" t="s">
        <v>58</v>
      </c>
      <c r="P98" t="s">
        <v>63</v>
      </c>
      <c r="Q98" t="s">
        <v>2635</v>
      </c>
      <c r="R98" t="s">
        <v>2617</v>
      </c>
      <c r="S98" t="s">
        <v>67</v>
      </c>
      <c r="T98" t="s">
        <v>2781</v>
      </c>
      <c r="U98" t="s">
        <v>2782</v>
      </c>
      <c r="V98">
        <v>16</v>
      </c>
      <c r="W98" s="2">
        <v>0</v>
      </c>
    </row>
    <row r="99" spans="1:23" x14ac:dyDescent="0.25">
      <c r="A99" t="s">
        <v>31</v>
      </c>
      <c r="B99" t="s">
        <v>32</v>
      </c>
      <c r="C99" t="s">
        <v>33</v>
      </c>
      <c r="D99" t="s">
        <v>34</v>
      </c>
      <c r="E99" t="s">
        <v>35</v>
      </c>
      <c r="F99" t="s">
        <v>36</v>
      </c>
      <c r="G99">
        <v>1141685</v>
      </c>
      <c r="H99" t="s">
        <v>76</v>
      </c>
      <c r="I99" t="s">
        <v>95</v>
      </c>
      <c r="J99" t="s">
        <v>99</v>
      </c>
      <c r="K99" t="s">
        <v>109</v>
      </c>
      <c r="L99" s="1">
        <v>46143</v>
      </c>
      <c r="M99" s="1">
        <v>46173</v>
      </c>
      <c r="N99">
        <v>76</v>
      </c>
      <c r="O99" t="s">
        <v>58</v>
      </c>
      <c r="P99" t="s">
        <v>63</v>
      </c>
      <c r="Q99" t="s">
        <v>2635</v>
      </c>
      <c r="R99" t="s">
        <v>2620</v>
      </c>
      <c r="S99" t="s">
        <v>67</v>
      </c>
      <c r="T99" t="s">
        <v>2646</v>
      </c>
      <c r="U99" t="s">
        <v>2647</v>
      </c>
      <c r="V99">
        <v>16</v>
      </c>
      <c r="W99" s="2">
        <v>0</v>
      </c>
    </row>
    <row r="100" spans="1:23" x14ac:dyDescent="0.25">
      <c r="A100" t="s">
        <v>31</v>
      </c>
      <c r="B100" t="s">
        <v>32</v>
      </c>
      <c r="C100" t="s">
        <v>33</v>
      </c>
      <c r="D100" t="s">
        <v>34</v>
      </c>
      <c r="E100" t="s">
        <v>35</v>
      </c>
      <c r="F100" t="s">
        <v>36</v>
      </c>
      <c r="G100">
        <v>1141685</v>
      </c>
      <c r="H100" t="s">
        <v>76</v>
      </c>
      <c r="I100" t="s">
        <v>95</v>
      </c>
      <c r="J100" t="s">
        <v>99</v>
      </c>
      <c r="K100" t="s">
        <v>109</v>
      </c>
      <c r="L100" s="1">
        <v>46143</v>
      </c>
      <c r="M100" s="1">
        <v>46173</v>
      </c>
      <c r="N100">
        <v>127</v>
      </c>
      <c r="O100" t="s">
        <v>58</v>
      </c>
      <c r="P100" t="s">
        <v>63</v>
      </c>
      <c r="Q100" t="s">
        <v>2635</v>
      </c>
      <c r="R100" t="s">
        <v>2620</v>
      </c>
      <c r="S100" t="s">
        <v>67</v>
      </c>
      <c r="T100" t="s">
        <v>2646</v>
      </c>
      <c r="U100" t="s">
        <v>2647</v>
      </c>
      <c r="V100">
        <v>16</v>
      </c>
      <c r="W100" s="2">
        <v>0</v>
      </c>
    </row>
    <row r="101" spans="1:23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>
        <v>1141685</v>
      </c>
      <c r="H101" t="s">
        <v>76</v>
      </c>
      <c r="I101" t="s">
        <v>95</v>
      </c>
      <c r="J101" t="s">
        <v>99</v>
      </c>
      <c r="K101" t="s">
        <v>109</v>
      </c>
      <c r="L101" s="1">
        <v>46143</v>
      </c>
      <c r="M101" s="1">
        <v>46173</v>
      </c>
      <c r="N101">
        <v>359</v>
      </c>
      <c r="O101" t="s">
        <v>58</v>
      </c>
      <c r="P101" t="s">
        <v>63</v>
      </c>
      <c r="Q101" t="s">
        <v>2635</v>
      </c>
      <c r="R101" t="s">
        <v>2620</v>
      </c>
      <c r="S101" t="s">
        <v>67</v>
      </c>
      <c r="T101" t="s">
        <v>2646</v>
      </c>
      <c r="U101" t="s">
        <v>2647</v>
      </c>
      <c r="V101">
        <v>16</v>
      </c>
      <c r="W101" s="2">
        <v>0</v>
      </c>
    </row>
    <row r="102" spans="1:23" x14ac:dyDescent="0.25">
      <c r="A102" t="s">
        <v>31</v>
      </c>
      <c r="B102" t="s">
        <v>32</v>
      </c>
      <c r="C102" t="s">
        <v>33</v>
      </c>
      <c r="D102" t="s">
        <v>34</v>
      </c>
      <c r="E102" t="s">
        <v>35</v>
      </c>
      <c r="F102" t="s">
        <v>36</v>
      </c>
      <c r="G102">
        <v>1141685</v>
      </c>
      <c r="H102" t="s">
        <v>76</v>
      </c>
      <c r="I102" t="s">
        <v>95</v>
      </c>
      <c r="J102" t="s">
        <v>99</v>
      </c>
      <c r="K102" t="s">
        <v>109</v>
      </c>
      <c r="L102" s="1">
        <v>46143</v>
      </c>
      <c r="M102" s="1">
        <v>46173</v>
      </c>
      <c r="N102">
        <v>76</v>
      </c>
      <c r="O102" t="s">
        <v>58</v>
      </c>
      <c r="P102" t="s">
        <v>63</v>
      </c>
      <c r="Q102" t="s">
        <v>2635</v>
      </c>
      <c r="R102" t="s">
        <v>2620</v>
      </c>
      <c r="S102" t="s">
        <v>67</v>
      </c>
      <c r="T102" t="s">
        <v>2646</v>
      </c>
      <c r="U102" t="s">
        <v>2647</v>
      </c>
      <c r="V102">
        <v>16</v>
      </c>
      <c r="W102" s="2">
        <v>0</v>
      </c>
    </row>
    <row r="103" spans="1:23" x14ac:dyDescent="0.25">
      <c r="A103" t="s">
        <v>31</v>
      </c>
      <c r="B103" t="s">
        <v>32</v>
      </c>
      <c r="C103" t="s">
        <v>33</v>
      </c>
      <c r="D103" t="s">
        <v>34</v>
      </c>
      <c r="E103" t="s">
        <v>35</v>
      </c>
      <c r="F103" t="s">
        <v>36</v>
      </c>
      <c r="G103">
        <v>1141685</v>
      </c>
      <c r="H103" t="s">
        <v>76</v>
      </c>
      <c r="I103" t="s">
        <v>95</v>
      </c>
      <c r="J103" t="s">
        <v>99</v>
      </c>
      <c r="K103" t="s">
        <v>109</v>
      </c>
      <c r="L103" s="1">
        <v>46143</v>
      </c>
      <c r="M103" s="1">
        <v>46173</v>
      </c>
      <c r="N103">
        <v>3.3295999999999999E-2</v>
      </c>
      <c r="O103" t="s">
        <v>58</v>
      </c>
      <c r="P103" t="s">
        <v>63</v>
      </c>
      <c r="Q103" t="s">
        <v>2635</v>
      </c>
      <c r="R103" t="s">
        <v>2620</v>
      </c>
      <c r="S103" t="s">
        <v>67</v>
      </c>
      <c r="T103" t="s">
        <v>2646</v>
      </c>
      <c r="U103" t="s">
        <v>2647</v>
      </c>
      <c r="V103">
        <v>16</v>
      </c>
      <c r="W103" s="2">
        <v>0</v>
      </c>
    </row>
    <row r="104" spans="1:23" x14ac:dyDescent="0.25">
      <c r="A104" t="s">
        <v>31</v>
      </c>
      <c r="B104" t="s">
        <v>32</v>
      </c>
      <c r="C104" t="s">
        <v>33</v>
      </c>
      <c r="D104" t="s">
        <v>34</v>
      </c>
      <c r="E104" t="s">
        <v>35</v>
      </c>
      <c r="F104" t="s">
        <v>36</v>
      </c>
      <c r="G104">
        <v>1141685</v>
      </c>
      <c r="H104" t="s">
        <v>77</v>
      </c>
      <c r="I104" t="s">
        <v>96</v>
      </c>
      <c r="J104" t="s">
        <v>77</v>
      </c>
      <c r="K104" t="s">
        <v>113</v>
      </c>
      <c r="L104" s="1">
        <v>46143</v>
      </c>
      <c r="M104" s="1">
        <v>46173</v>
      </c>
      <c r="N104">
        <v>29.001208691900001</v>
      </c>
      <c r="O104" t="s">
        <v>56</v>
      </c>
      <c r="P104" t="s">
        <v>63</v>
      </c>
      <c r="Q104" t="s">
        <v>2616</v>
      </c>
      <c r="R104" t="s">
        <v>2620</v>
      </c>
      <c r="S104" t="s">
        <v>67</v>
      </c>
      <c r="T104" t="s">
        <v>2783</v>
      </c>
      <c r="U104" t="s">
        <v>2784</v>
      </c>
      <c r="V104">
        <v>16</v>
      </c>
      <c r="W104" s="2">
        <v>5059.5547641727999</v>
      </c>
    </row>
    <row r="105" spans="1:23" x14ac:dyDescent="0.25">
      <c r="A105" t="s">
        <v>31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>
        <v>1141685</v>
      </c>
      <c r="H105" t="s">
        <v>77</v>
      </c>
      <c r="I105" t="s">
        <v>96</v>
      </c>
      <c r="J105" t="s">
        <v>77</v>
      </c>
      <c r="K105" t="s">
        <v>113</v>
      </c>
      <c r="L105" s="1">
        <v>46143</v>
      </c>
      <c r="M105" s="1">
        <v>46173</v>
      </c>
      <c r="N105">
        <v>1.079701E-4</v>
      </c>
      <c r="O105" t="s">
        <v>56</v>
      </c>
      <c r="P105" t="s">
        <v>63</v>
      </c>
      <c r="Q105" t="s">
        <v>2616</v>
      </c>
      <c r="R105" t="s">
        <v>2620</v>
      </c>
      <c r="S105" t="s">
        <v>67</v>
      </c>
      <c r="T105" t="s">
        <v>2785</v>
      </c>
      <c r="U105" t="s">
        <v>2786</v>
      </c>
      <c r="V105">
        <v>16</v>
      </c>
      <c r="W105" s="2">
        <v>1.6576086E-2</v>
      </c>
    </row>
    <row r="106" spans="1:23" x14ac:dyDescent="0.25">
      <c r="A106" t="s">
        <v>31</v>
      </c>
      <c r="B106" t="s">
        <v>32</v>
      </c>
      <c r="C106" t="s">
        <v>33</v>
      </c>
      <c r="D106" t="s">
        <v>34</v>
      </c>
      <c r="E106" t="s">
        <v>35</v>
      </c>
      <c r="F106" t="s">
        <v>36</v>
      </c>
      <c r="G106">
        <v>1141685</v>
      </c>
      <c r="H106" t="s">
        <v>79</v>
      </c>
      <c r="I106" t="s">
        <v>94</v>
      </c>
      <c r="J106" t="s">
        <v>101</v>
      </c>
      <c r="K106" t="s">
        <v>116</v>
      </c>
      <c r="L106" s="1">
        <v>46143</v>
      </c>
      <c r="M106" s="1">
        <v>46173</v>
      </c>
      <c r="N106">
        <v>8.6583555699999995E-2</v>
      </c>
      <c r="O106" t="s">
        <v>56</v>
      </c>
      <c r="P106" t="s">
        <v>63</v>
      </c>
      <c r="Q106" t="s">
        <v>2616</v>
      </c>
      <c r="R106" t="s">
        <v>2620</v>
      </c>
      <c r="S106" t="s">
        <v>67</v>
      </c>
      <c r="T106" t="s">
        <v>2787</v>
      </c>
      <c r="U106" t="s">
        <v>2788</v>
      </c>
      <c r="V106">
        <v>16</v>
      </c>
      <c r="W106" s="2">
        <v>100.1895772399</v>
      </c>
    </row>
    <row r="107" spans="1:23" x14ac:dyDescent="0.25">
      <c r="A107" t="s">
        <v>31</v>
      </c>
      <c r="B107" t="s">
        <v>32</v>
      </c>
      <c r="C107" t="s">
        <v>33</v>
      </c>
      <c r="D107" t="s">
        <v>34</v>
      </c>
      <c r="E107" t="s">
        <v>35</v>
      </c>
      <c r="F107" t="s">
        <v>36</v>
      </c>
      <c r="G107">
        <v>1141685</v>
      </c>
      <c r="H107" t="s">
        <v>79</v>
      </c>
      <c r="I107" t="s">
        <v>94</v>
      </c>
      <c r="J107" t="s">
        <v>101</v>
      </c>
      <c r="K107" t="s">
        <v>116</v>
      </c>
      <c r="L107" s="1">
        <v>46143</v>
      </c>
      <c r="M107" s="1">
        <v>46173</v>
      </c>
      <c r="N107">
        <v>1.8622260000000001E-4</v>
      </c>
      <c r="O107" t="s">
        <v>56</v>
      </c>
      <c r="P107" t="s">
        <v>63</v>
      </c>
      <c r="Q107" t="s">
        <v>2616</v>
      </c>
      <c r="R107" t="s">
        <v>2620</v>
      </c>
      <c r="S107" t="s">
        <v>67</v>
      </c>
      <c r="T107" t="s">
        <v>2789</v>
      </c>
      <c r="U107" t="s">
        <v>2790</v>
      </c>
      <c r="V107">
        <v>16</v>
      </c>
      <c r="W107" s="2">
        <v>0.2587183059</v>
      </c>
    </row>
    <row r="108" spans="1:23" x14ac:dyDescent="0.25">
      <c r="A108" t="s">
        <v>31</v>
      </c>
      <c r="B108" t="s">
        <v>32</v>
      </c>
      <c r="C108" t="s">
        <v>33</v>
      </c>
      <c r="D108" t="s">
        <v>34</v>
      </c>
      <c r="E108" t="s">
        <v>35</v>
      </c>
      <c r="F108" t="s">
        <v>36</v>
      </c>
      <c r="G108">
        <v>1141685</v>
      </c>
      <c r="H108" t="s">
        <v>79</v>
      </c>
      <c r="I108" t="s">
        <v>94</v>
      </c>
      <c r="J108" t="s">
        <v>101</v>
      </c>
      <c r="K108" t="s">
        <v>116</v>
      </c>
      <c r="L108" s="1">
        <v>46143</v>
      </c>
      <c r="M108" s="1">
        <v>46173</v>
      </c>
      <c r="N108">
        <v>5.2093166900000001E-2</v>
      </c>
      <c r="O108" t="s">
        <v>56</v>
      </c>
      <c r="P108" t="s">
        <v>63</v>
      </c>
      <c r="Q108" t="s">
        <v>2616</v>
      </c>
      <c r="R108" t="s">
        <v>2620</v>
      </c>
      <c r="S108" t="s">
        <v>67</v>
      </c>
      <c r="T108" t="s">
        <v>2791</v>
      </c>
      <c r="U108" t="s">
        <v>2792</v>
      </c>
      <c r="V108">
        <v>16</v>
      </c>
      <c r="W108" s="2">
        <v>62.700432894099997</v>
      </c>
    </row>
    <row r="109" spans="1:23" x14ac:dyDescent="0.25">
      <c r="A109" t="s">
        <v>31</v>
      </c>
      <c r="B109" t="s">
        <v>32</v>
      </c>
      <c r="C109" t="s">
        <v>33</v>
      </c>
      <c r="D109" t="s">
        <v>34</v>
      </c>
      <c r="E109" t="s">
        <v>35</v>
      </c>
      <c r="F109" t="s">
        <v>36</v>
      </c>
      <c r="G109">
        <v>1141685</v>
      </c>
      <c r="H109" t="s">
        <v>79</v>
      </c>
      <c r="I109" t="s">
        <v>94</v>
      </c>
      <c r="J109" t="s">
        <v>101</v>
      </c>
      <c r="K109" t="s">
        <v>116</v>
      </c>
      <c r="L109" s="1">
        <v>46143</v>
      </c>
      <c r="M109" s="1">
        <v>46173</v>
      </c>
      <c r="N109">
        <v>0.13100338540000001</v>
      </c>
      <c r="O109" t="s">
        <v>56</v>
      </c>
      <c r="P109" t="s">
        <v>63</v>
      </c>
      <c r="Q109" t="s">
        <v>2616</v>
      </c>
      <c r="R109" t="s">
        <v>2620</v>
      </c>
      <c r="S109" t="s">
        <v>67</v>
      </c>
      <c r="T109" t="s">
        <v>2793</v>
      </c>
      <c r="U109" t="s">
        <v>2794</v>
      </c>
      <c r="V109">
        <v>16</v>
      </c>
      <c r="W109" s="2">
        <v>182.8381483535</v>
      </c>
    </row>
    <row r="110" spans="1:23" x14ac:dyDescent="0.25">
      <c r="A110" t="s">
        <v>31</v>
      </c>
      <c r="B110" t="s">
        <v>32</v>
      </c>
      <c r="C110" t="s">
        <v>33</v>
      </c>
      <c r="D110" t="s">
        <v>34</v>
      </c>
      <c r="E110" t="s">
        <v>35</v>
      </c>
      <c r="F110" t="s">
        <v>36</v>
      </c>
      <c r="G110">
        <v>1141685</v>
      </c>
      <c r="H110" t="s">
        <v>79</v>
      </c>
      <c r="I110" t="s">
        <v>94</v>
      </c>
      <c r="J110" t="s">
        <v>101</v>
      </c>
      <c r="K110" t="s">
        <v>114</v>
      </c>
      <c r="L110" s="1">
        <v>46143</v>
      </c>
      <c r="M110" s="1">
        <v>46173</v>
      </c>
      <c r="N110">
        <v>5.9533687000000004E-3</v>
      </c>
      <c r="O110" t="s">
        <v>56</v>
      </c>
      <c r="P110" t="s">
        <v>63</v>
      </c>
      <c r="Q110" t="s">
        <v>2662</v>
      </c>
      <c r="R110" t="s">
        <v>2795</v>
      </c>
      <c r="S110" t="s">
        <v>67</v>
      </c>
      <c r="T110" t="s">
        <v>2796</v>
      </c>
      <c r="U110" t="s">
        <v>2797</v>
      </c>
      <c r="V110">
        <v>7</v>
      </c>
      <c r="W110" s="2">
        <v>8.3119179494999997</v>
      </c>
    </row>
    <row r="111" spans="1:23" x14ac:dyDescent="0.25">
      <c r="A111" t="s">
        <v>31</v>
      </c>
      <c r="B111" t="s">
        <v>32</v>
      </c>
      <c r="C111" t="s">
        <v>33</v>
      </c>
      <c r="D111" t="s">
        <v>34</v>
      </c>
      <c r="E111" t="s">
        <v>35</v>
      </c>
      <c r="F111" t="s">
        <v>36</v>
      </c>
      <c r="G111">
        <v>1141685</v>
      </c>
      <c r="H111" t="s">
        <v>1351</v>
      </c>
      <c r="I111" t="s">
        <v>1353</v>
      </c>
      <c r="J111" t="s">
        <v>1351</v>
      </c>
      <c r="K111" t="s">
        <v>1356</v>
      </c>
      <c r="L111" s="1">
        <v>46143</v>
      </c>
      <c r="M111" s="1">
        <v>46173</v>
      </c>
      <c r="N111">
        <v>9.4806000000000008</v>
      </c>
      <c r="O111" t="s">
        <v>59</v>
      </c>
      <c r="P111" t="s">
        <v>63</v>
      </c>
      <c r="Q111" t="s">
        <v>2662</v>
      </c>
      <c r="R111" t="s">
        <v>2663</v>
      </c>
      <c r="S111" t="s">
        <v>68</v>
      </c>
      <c r="T111" t="s">
        <v>2798</v>
      </c>
      <c r="U111" t="s">
        <v>2799</v>
      </c>
      <c r="V111">
        <v>8</v>
      </c>
      <c r="W111" s="2">
        <v>2480.98082832</v>
      </c>
    </row>
    <row r="112" spans="1:23" x14ac:dyDescent="0.25">
      <c r="A112" t="s">
        <v>31</v>
      </c>
      <c r="B112" t="s">
        <v>32</v>
      </c>
      <c r="C112" t="s">
        <v>33</v>
      </c>
      <c r="D112" t="s">
        <v>34</v>
      </c>
      <c r="E112" t="s">
        <v>35</v>
      </c>
      <c r="F112" t="s">
        <v>36</v>
      </c>
      <c r="G112">
        <v>1141685</v>
      </c>
      <c r="H112" t="s">
        <v>1351</v>
      </c>
      <c r="I112" t="s">
        <v>1353</v>
      </c>
      <c r="J112" t="s">
        <v>1351</v>
      </c>
      <c r="K112" t="s">
        <v>1357</v>
      </c>
      <c r="L112" s="1">
        <v>46143</v>
      </c>
      <c r="M112" s="1">
        <v>46173</v>
      </c>
      <c r="N112">
        <v>1.3532884140000001</v>
      </c>
      <c r="O112" t="s">
        <v>56</v>
      </c>
      <c r="P112" t="s">
        <v>63</v>
      </c>
      <c r="Q112" t="s">
        <v>2662</v>
      </c>
      <c r="R112" t="s">
        <v>2663</v>
      </c>
      <c r="S112" t="s">
        <v>68</v>
      </c>
      <c r="T112" t="s">
        <v>2800</v>
      </c>
      <c r="U112" t="s">
        <v>2801</v>
      </c>
      <c r="V112">
        <v>8</v>
      </c>
      <c r="W112" s="2">
        <v>2597.0366641183</v>
      </c>
    </row>
    <row r="113" spans="1:23" x14ac:dyDescent="0.25">
      <c r="A113" t="s">
        <v>31</v>
      </c>
      <c r="B113" t="s">
        <v>32</v>
      </c>
      <c r="C113" t="s">
        <v>33</v>
      </c>
      <c r="D113" t="s">
        <v>34</v>
      </c>
      <c r="E113" t="s">
        <v>35</v>
      </c>
      <c r="F113" t="s">
        <v>36</v>
      </c>
      <c r="G113">
        <v>1141685</v>
      </c>
      <c r="H113" t="s">
        <v>77</v>
      </c>
      <c r="I113" t="s">
        <v>96</v>
      </c>
      <c r="J113" t="s">
        <v>77</v>
      </c>
      <c r="K113" t="s">
        <v>113</v>
      </c>
      <c r="L113" s="1">
        <v>46143</v>
      </c>
      <c r="M113" s="1">
        <v>46173</v>
      </c>
      <c r="N113">
        <v>7.2860576194000002</v>
      </c>
      <c r="O113" t="s">
        <v>56</v>
      </c>
      <c r="P113" t="s">
        <v>63</v>
      </c>
      <c r="Q113" t="s">
        <v>2616</v>
      </c>
      <c r="R113" t="s">
        <v>2620</v>
      </c>
      <c r="S113" t="s">
        <v>67</v>
      </c>
      <c r="T113" t="s">
        <v>2802</v>
      </c>
      <c r="U113" t="s">
        <v>2803</v>
      </c>
      <c r="V113">
        <v>16</v>
      </c>
      <c r="W113" s="2">
        <v>1271.130538802</v>
      </c>
    </row>
    <row r="114" spans="1:23" x14ac:dyDescent="0.25">
      <c r="A114" t="s">
        <v>31</v>
      </c>
      <c r="B114" t="s">
        <v>32</v>
      </c>
      <c r="C114" t="s">
        <v>33</v>
      </c>
      <c r="D114" t="s">
        <v>34</v>
      </c>
      <c r="E114" t="s">
        <v>35</v>
      </c>
      <c r="F114" t="s">
        <v>36</v>
      </c>
      <c r="G114">
        <v>1141685</v>
      </c>
      <c r="H114" t="s">
        <v>79</v>
      </c>
      <c r="I114" t="s">
        <v>94</v>
      </c>
      <c r="J114" t="s">
        <v>101</v>
      </c>
      <c r="K114" t="s">
        <v>116</v>
      </c>
      <c r="L114" s="1">
        <v>46143</v>
      </c>
      <c r="M114" s="1">
        <v>46173</v>
      </c>
      <c r="N114">
        <v>0.18785795290000001</v>
      </c>
      <c r="O114" t="s">
        <v>56</v>
      </c>
      <c r="P114" t="s">
        <v>63</v>
      </c>
      <c r="Q114" t="s">
        <v>2616</v>
      </c>
      <c r="R114" t="s">
        <v>2620</v>
      </c>
      <c r="S114" t="s">
        <v>67</v>
      </c>
      <c r="T114" t="s">
        <v>2804</v>
      </c>
      <c r="U114" t="s">
        <v>2805</v>
      </c>
      <c r="V114">
        <v>16</v>
      </c>
      <c r="W114" s="2">
        <v>262.18683717729999</v>
      </c>
    </row>
    <row r="115" spans="1:23" x14ac:dyDescent="0.25">
      <c r="A115" t="s">
        <v>31</v>
      </c>
      <c r="B115" t="s">
        <v>32</v>
      </c>
      <c r="C115" t="s">
        <v>33</v>
      </c>
      <c r="D115" t="s">
        <v>34</v>
      </c>
      <c r="E115" t="s">
        <v>35</v>
      </c>
      <c r="F115" t="s">
        <v>36</v>
      </c>
      <c r="G115">
        <v>1141685</v>
      </c>
      <c r="H115" t="s">
        <v>79</v>
      </c>
      <c r="I115" t="s">
        <v>94</v>
      </c>
      <c r="J115" t="s">
        <v>101</v>
      </c>
      <c r="K115" t="s">
        <v>116</v>
      </c>
      <c r="L115" s="1">
        <v>46143</v>
      </c>
      <c r="M115" s="1">
        <v>46173</v>
      </c>
      <c r="N115">
        <v>5.43315E-5</v>
      </c>
      <c r="O115" t="s">
        <v>56</v>
      </c>
      <c r="P115" t="s">
        <v>63</v>
      </c>
      <c r="Q115" t="s">
        <v>2616</v>
      </c>
      <c r="R115" t="s">
        <v>2617</v>
      </c>
      <c r="S115" t="s">
        <v>67</v>
      </c>
      <c r="T115" t="s">
        <v>2806</v>
      </c>
      <c r="U115" t="s">
        <v>2807</v>
      </c>
      <c r="V115">
        <v>16</v>
      </c>
      <c r="W115" s="2">
        <v>7.672985689999999E-2</v>
      </c>
    </row>
    <row r="116" spans="1:23" x14ac:dyDescent="0.25">
      <c r="A116" t="s">
        <v>31</v>
      </c>
      <c r="B116" t="s">
        <v>32</v>
      </c>
      <c r="C116" t="s">
        <v>33</v>
      </c>
      <c r="D116" t="s">
        <v>34</v>
      </c>
      <c r="E116" t="s">
        <v>35</v>
      </c>
      <c r="F116" t="s">
        <v>36</v>
      </c>
      <c r="G116">
        <v>1141685</v>
      </c>
      <c r="H116" t="s">
        <v>77</v>
      </c>
      <c r="I116" t="s">
        <v>96</v>
      </c>
      <c r="J116" t="s">
        <v>77</v>
      </c>
      <c r="K116" t="s">
        <v>110</v>
      </c>
      <c r="L116" s="1">
        <v>46143</v>
      </c>
      <c r="M116" s="1">
        <v>46173</v>
      </c>
      <c r="N116">
        <v>744</v>
      </c>
      <c r="O116" t="s">
        <v>58</v>
      </c>
      <c r="P116" t="s">
        <v>63</v>
      </c>
      <c r="Q116" t="s">
        <v>2662</v>
      </c>
      <c r="R116" t="s">
        <v>2795</v>
      </c>
      <c r="S116" t="s">
        <v>67</v>
      </c>
      <c r="T116" t="s">
        <v>173</v>
      </c>
      <c r="U116" t="s">
        <v>328</v>
      </c>
      <c r="V116">
        <v>7</v>
      </c>
      <c r="W116" s="2">
        <v>129798.2412</v>
      </c>
    </row>
    <row r="117" spans="1:23" x14ac:dyDescent="0.25">
      <c r="A117" t="s">
        <v>31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>
        <v>1141685</v>
      </c>
      <c r="H117" t="s">
        <v>77</v>
      </c>
      <c r="I117" t="s">
        <v>96</v>
      </c>
      <c r="J117" t="s">
        <v>77</v>
      </c>
      <c r="K117" t="s">
        <v>110</v>
      </c>
      <c r="L117" s="1">
        <v>46143</v>
      </c>
      <c r="M117" s="1">
        <v>46173</v>
      </c>
      <c r="N117">
        <v>744</v>
      </c>
      <c r="O117" t="s">
        <v>58</v>
      </c>
      <c r="P117" t="s">
        <v>63</v>
      </c>
      <c r="Q117" t="s">
        <v>2662</v>
      </c>
      <c r="R117" t="s">
        <v>2808</v>
      </c>
      <c r="S117" t="s">
        <v>67</v>
      </c>
      <c r="T117" t="s">
        <v>172</v>
      </c>
      <c r="U117" t="s">
        <v>327</v>
      </c>
      <c r="V117">
        <v>7</v>
      </c>
      <c r="W117" s="2">
        <v>129798.2412</v>
      </c>
    </row>
    <row r="118" spans="1:23" x14ac:dyDescent="0.25">
      <c r="A118" t="s">
        <v>31</v>
      </c>
      <c r="B118" t="s">
        <v>32</v>
      </c>
      <c r="C118" t="s">
        <v>33</v>
      </c>
      <c r="D118" t="s">
        <v>34</v>
      </c>
      <c r="E118" t="s">
        <v>35</v>
      </c>
      <c r="F118" t="s">
        <v>36</v>
      </c>
      <c r="G118">
        <v>1141685</v>
      </c>
      <c r="H118" t="s">
        <v>79</v>
      </c>
      <c r="I118" t="s">
        <v>94</v>
      </c>
      <c r="J118" t="s">
        <v>101</v>
      </c>
      <c r="K118" t="s">
        <v>116</v>
      </c>
      <c r="L118" s="1">
        <v>46143</v>
      </c>
      <c r="M118" s="1">
        <v>46173</v>
      </c>
      <c r="N118">
        <v>0.1451529218</v>
      </c>
      <c r="O118" t="s">
        <v>56</v>
      </c>
      <c r="P118" t="s">
        <v>63</v>
      </c>
      <c r="Q118" t="s">
        <v>2616</v>
      </c>
      <c r="R118" t="s">
        <v>2617</v>
      </c>
      <c r="S118" t="s">
        <v>67</v>
      </c>
      <c r="T118" t="s">
        <v>2809</v>
      </c>
      <c r="U118" t="s">
        <v>2810</v>
      </c>
      <c r="V118">
        <v>16</v>
      </c>
      <c r="W118" s="2">
        <v>202.5865862938</v>
      </c>
    </row>
    <row r="119" spans="1:23" x14ac:dyDescent="0.25">
      <c r="A119" t="s">
        <v>31</v>
      </c>
      <c r="B119" t="s">
        <v>32</v>
      </c>
      <c r="C119" t="s">
        <v>33</v>
      </c>
      <c r="D119" t="s">
        <v>34</v>
      </c>
      <c r="E119" t="s">
        <v>35</v>
      </c>
      <c r="F119" t="s">
        <v>36</v>
      </c>
      <c r="G119">
        <v>1141685</v>
      </c>
      <c r="H119" t="s">
        <v>79</v>
      </c>
      <c r="I119" t="s">
        <v>94</v>
      </c>
      <c r="J119" t="s">
        <v>101</v>
      </c>
      <c r="K119" t="s">
        <v>116</v>
      </c>
      <c r="L119" s="1">
        <v>46143</v>
      </c>
      <c r="M119" s="1">
        <v>46173</v>
      </c>
      <c r="N119">
        <v>1.03578139E-2</v>
      </c>
      <c r="O119" t="s">
        <v>56</v>
      </c>
      <c r="P119" t="s">
        <v>63</v>
      </c>
      <c r="Q119" t="s">
        <v>2616</v>
      </c>
      <c r="R119" t="s">
        <v>2620</v>
      </c>
      <c r="S119" t="s">
        <v>67</v>
      </c>
      <c r="T119" t="s">
        <v>2811</v>
      </c>
      <c r="U119" t="s">
        <v>2812</v>
      </c>
      <c r="V119">
        <v>16</v>
      </c>
      <c r="W119" s="2">
        <v>14.451450470999999</v>
      </c>
    </row>
    <row r="120" spans="1:23" x14ac:dyDescent="0.25">
      <c r="A120" t="s">
        <v>31</v>
      </c>
      <c r="B120" t="s">
        <v>32</v>
      </c>
      <c r="C120" t="s">
        <v>33</v>
      </c>
      <c r="D120" t="s">
        <v>34</v>
      </c>
      <c r="E120" t="s">
        <v>35</v>
      </c>
      <c r="F120" t="s">
        <v>36</v>
      </c>
      <c r="G120">
        <v>1141685</v>
      </c>
      <c r="H120" t="s">
        <v>79</v>
      </c>
      <c r="I120" t="s">
        <v>94</v>
      </c>
      <c r="J120" t="s">
        <v>101</v>
      </c>
      <c r="K120" t="s">
        <v>116</v>
      </c>
      <c r="L120" s="1">
        <v>46143</v>
      </c>
      <c r="M120" s="1">
        <v>46173</v>
      </c>
      <c r="N120">
        <v>9.5835427799999998E-2</v>
      </c>
      <c r="O120" t="s">
        <v>56</v>
      </c>
      <c r="P120" t="s">
        <v>63</v>
      </c>
      <c r="Q120" t="s">
        <v>2616</v>
      </c>
      <c r="R120" t="s">
        <v>2620</v>
      </c>
      <c r="S120" t="s">
        <v>67</v>
      </c>
      <c r="T120" t="s">
        <v>2813</v>
      </c>
      <c r="U120" t="s">
        <v>2814</v>
      </c>
      <c r="V120">
        <v>16</v>
      </c>
      <c r="W120" s="2">
        <v>114.09448815189999</v>
      </c>
    </row>
    <row r="121" spans="1:23" x14ac:dyDescent="0.25">
      <c r="A121" t="s">
        <v>31</v>
      </c>
      <c r="B121" t="s">
        <v>32</v>
      </c>
      <c r="C121" t="s">
        <v>33</v>
      </c>
      <c r="D121" t="s">
        <v>34</v>
      </c>
      <c r="E121" t="s">
        <v>35</v>
      </c>
      <c r="F121" t="s">
        <v>36</v>
      </c>
      <c r="G121">
        <v>1141685</v>
      </c>
      <c r="H121" t="s">
        <v>79</v>
      </c>
      <c r="I121" t="s">
        <v>94</v>
      </c>
      <c r="J121" t="s">
        <v>101</v>
      </c>
      <c r="K121" t="s">
        <v>116</v>
      </c>
      <c r="L121" s="1">
        <v>46143</v>
      </c>
      <c r="M121" s="1">
        <v>46173</v>
      </c>
      <c r="N121">
        <v>0.1050132718</v>
      </c>
      <c r="O121" t="s">
        <v>56</v>
      </c>
      <c r="P121" t="s">
        <v>63</v>
      </c>
      <c r="Q121" t="s">
        <v>2616</v>
      </c>
      <c r="R121" t="s">
        <v>2620</v>
      </c>
      <c r="S121" t="s">
        <v>67</v>
      </c>
      <c r="T121" t="s">
        <v>2815</v>
      </c>
      <c r="U121" t="s">
        <v>2816</v>
      </c>
      <c r="V121">
        <v>16</v>
      </c>
      <c r="W121" s="2">
        <v>129.4039265811</v>
      </c>
    </row>
    <row r="122" spans="1:23" x14ac:dyDescent="0.25">
      <c r="A122" t="s">
        <v>31</v>
      </c>
      <c r="B122" t="s">
        <v>32</v>
      </c>
      <c r="C122" t="s">
        <v>33</v>
      </c>
      <c r="D122" t="s">
        <v>34</v>
      </c>
      <c r="E122" t="s">
        <v>35</v>
      </c>
      <c r="F122" t="s">
        <v>36</v>
      </c>
      <c r="G122">
        <v>1141685</v>
      </c>
      <c r="H122" t="s">
        <v>79</v>
      </c>
      <c r="I122" t="s">
        <v>94</v>
      </c>
      <c r="J122" t="s">
        <v>101</v>
      </c>
      <c r="K122" t="s">
        <v>116</v>
      </c>
      <c r="L122" s="1">
        <v>46143</v>
      </c>
      <c r="M122" s="1">
        <v>46173</v>
      </c>
      <c r="N122">
        <v>0.14406461640000001</v>
      </c>
      <c r="O122" t="s">
        <v>56</v>
      </c>
      <c r="P122" t="s">
        <v>63</v>
      </c>
      <c r="Q122" t="s">
        <v>2616</v>
      </c>
      <c r="R122" t="s">
        <v>2620</v>
      </c>
      <c r="S122" t="s">
        <v>67</v>
      </c>
      <c r="T122" t="s">
        <v>2817</v>
      </c>
      <c r="U122" t="s">
        <v>2818</v>
      </c>
      <c r="V122">
        <v>16</v>
      </c>
      <c r="W122" s="2">
        <v>201.06993137250001</v>
      </c>
    </row>
    <row r="123" spans="1:23" x14ac:dyDescent="0.25">
      <c r="A123" t="s">
        <v>31</v>
      </c>
      <c r="B123" t="s">
        <v>32</v>
      </c>
      <c r="C123" t="s">
        <v>33</v>
      </c>
      <c r="D123" t="s">
        <v>34</v>
      </c>
      <c r="E123" t="s">
        <v>35</v>
      </c>
      <c r="F123" t="s">
        <v>36</v>
      </c>
      <c r="G123">
        <v>1141685</v>
      </c>
      <c r="H123" t="s">
        <v>80</v>
      </c>
      <c r="I123" t="s">
        <v>96</v>
      </c>
      <c r="J123" t="s">
        <v>80</v>
      </c>
      <c r="K123" t="s">
        <v>122</v>
      </c>
      <c r="L123" s="1">
        <v>46143</v>
      </c>
      <c r="M123" s="1">
        <v>46173</v>
      </c>
      <c r="N123">
        <v>1.5588746685999999</v>
      </c>
      <c r="O123" t="s">
        <v>56</v>
      </c>
      <c r="P123" t="s">
        <v>63</v>
      </c>
      <c r="Q123" t="s">
        <v>2616</v>
      </c>
      <c r="R123" t="s">
        <v>2620</v>
      </c>
      <c r="S123" t="s">
        <v>67</v>
      </c>
      <c r="T123" t="s">
        <v>2819</v>
      </c>
      <c r="U123" t="s">
        <v>2820</v>
      </c>
      <c r="V123">
        <v>16</v>
      </c>
      <c r="W123" s="2">
        <v>271.96592171399999</v>
      </c>
    </row>
    <row r="124" spans="1:23" x14ac:dyDescent="0.25">
      <c r="A124" t="s">
        <v>31</v>
      </c>
      <c r="B124" t="s">
        <v>32</v>
      </c>
      <c r="C124" t="s">
        <v>33</v>
      </c>
      <c r="D124" t="s">
        <v>34</v>
      </c>
      <c r="E124" t="s">
        <v>35</v>
      </c>
      <c r="F124" t="s">
        <v>36</v>
      </c>
      <c r="G124">
        <v>1141685</v>
      </c>
      <c r="H124" t="s">
        <v>80</v>
      </c>
      <c r="I124" t="s">
        <v>96</v>
      </c>
      <c r="J124" t="s">
        <v>80</v>
      </c>
      <c r="K124" t="s">
        <v>122</v>
      </c>
      <c r="L124" s="1">
        <v>46143</v>
      </c>
      <c r="M124" s="1">
        <v>46173</v>
      </c>
      <c r="N124">
        <v>2.6955091078</v>
      </c>
      <c r="O124" t="s">
        <v>56</v>
      </c>
      <c r="P124" t="s">
        <v>63</v>
      </c>
      <c r="Q124" t="s">
        <v>2616</v>
      </c>
      <c r="R124" t="s">
        <v>2620</v>
      </c>
      <c r="S124" t="s">
        <v>67</v>
      </c>
      <c r="T124" t="s">
        <v>2821</v>
      </c>
      <c r="U124" t="s">
        <v>2822</v>
      </c>
      <c r="V124">
        <v>16</v>
      </c>
      <c r="W124" s="2">
        <v>470.25749666849998</v>
      </c>
    </row>
    <row r="125" spans="1:23" x14ac:dyDescent="0.25">
      <c r="A125" t="s">
        <v>31</v>
      </c>
      <c r="B125" t="s">
        <v>32</v>
      </c>
      <c r="C125" t="s">
        <v>33</v>
      </c>
      <c r="D125" t="s">
        <v>34</v>
      </c>
      <c r="E125" t="s">
        <v>35</v>
      </c>
      <c r="F125" t="s">
        <v>36</v>
      </c>
      <c r="G125">
        <v>1141685</v>
      </c>
      <c r="H125" t="s">
        <v>80</v>
      </c>
      <c r="I125" t="s">
        <v>96</v>
      </c>
      <c r="J125" t="s">
        <v>80</v>
      </c>
      <c r="K125" t="s">
        <v>122</v>
      </c>
      <c r="L125" s="1">
        <v>46143</v>
      </c>
      <c r="M125" s="1">
        <v>46173</v>
      </c>
      <c r="N125">
        <v>0.1755486242</v>
      </c>
      <c r="O125" t="s">
        <v>56</v>
      </c>
      <c r="P125" t="s">
        <v>63</v>
      </c>
      <c r="Q125" t="s">
        <v>2616</v>
      </c>
      <c r="R125" t="s">
        <v>2620</v>
      </c>
      <c r="S125" t="s">
        <v>67</v>
      </c>
      <c r="T125" t="s">
        <v>2823</v>
      </c>
      <c r="U125" t="s">
        <v>2824</v>
      </c>
      <c r="V125">
        <v>16</v>
      </c>
      <c r="W125" s="2">
        <v>30.631067427800001</v>
      </c>
    </row>
    <row r="126" spans="1:23" x14ac:dyDescent="0.25">
      <c r="A126" t="s">
        <v>31</v>
      </c>
      <c r="B126" t="s">
        <v>32</v>
      </c>
      <c r="C126" t="s">
        <v>33</v>
      </c>
      <c r="D126" t="s">
        <v>34</v>
      </c>
      <c r="E126" t="s">
        <v>35</v>
      </c>
      <c r="F126" t="s">
        <v>36</v>
      </c>
      <c r="G126">
        <v>1141685</v>
      </c>
      <c r="H126" t="s">
        <v>80</v>
      </c>
      <c r="I126" t="s">
        <v>96</v>
      </c>
      <c r="J126" t="s">
        <v>80</v>
      </c>
      <c r="K126" t="s">
        <v>122</v>
      </c>
      <c r="L126" s="1">
        <v>46143</v>
      </c>
      <c r="M126" s="1">
        <v>46173</v>
      </c>
      <c r="N126">
        <v>3.8617323721000001</v>
      </c>
      <c r="O126" t="s">
        <v>56</v>
      </c>
      <c r="P126" t="s">
        <v>63</v>
      </c>
      <c r="Q126" t="s">
        <v>2616</v>
      </c>
      <c r="R126" t="s">
        <v>2620</v>
      </c>
      <c r="S126" t="s">
        <v>67</v>
      </c>
      <c r="T126" t="s">
        <v>2825</v>
      </c>
      <c r="U126" t="s">
        <v>2826</v>
      </c>
      <c r="V126">
        <v>16</v>
      </c>
      <c r="W126" s="2">
        <v>673.72169007640002</v>
      </c>
    </row>
    <row r="127" spans="1:23" x14ac:dyDescent="0.25">
      <c r="A127" t="s">
        <v>31</v>
      </c>
      <c r="B127" t="s">
        <v>32</v>
      </c>
      <c r="C127" t="s">
        <v>33</v>
      </c>
      <c r="D127" t="s">
        <v>34</v>
      </c>
      <c r="E127" t="s">
        <v>35</v>
      </c>
      <c r="F127" t="s">
        <v>36</v>
      </c>
      <c r="G127">
        <v>1141685</v>
      </c>
      <c r="H127" t="s">
        <v>80</v>
      </c>
      <c r="I127" t="s">
        <v>96</v>
      </c>
      <c r="J127" t="s">
        <v>80</v>
      </c>
      <c r="K127" t="s">
        <v>122</v>
      </c>
      <c r="L127" s="1">
        <v>46143</v>
      </c>
      <c r="M127" s="1">
        <v>46173</v>
      </c>
      <c r="N127">
        <v>5.8678463865000001</v>
      </c>
      <c r="O127" t="s">
        <v>56</v>
      </c>
      <c r="P127" t="s">
        <v>63</v>
      </c>
      <c r="Q127" t="s">
        <v>2616</v>
      </c>
      <c r="R127" t="s">
        <v>2620</v>
      </c>
      <c r="S127" t="s">
        <v>67</v>
      </c>
      <c r="T127" t="s">
        <v>2827</v>
      </c>
      <c r="U127" t="s">
        <v>2828</v>
      </c>
      <c r="V127">
        <v>16</v>
      </c>
      <c r="W127" s="2">
        <v>1023.6999429169</v>
      </c>
    </row>
    <row r="128" spans="1:23" x14ac:dyDescent="0.25">
      <c r="A128" t="s">
        <v>31</v>
      </c>
      <c r="B128" t="s">
        <v>32</v>
      </c>
      <c r="C128" t="s">
        <v>33</v>
      </c>
      <c r="D128" t="s">
        <v>34</v>
      </c>
      <c r="E128" t="s">
        <v>35</v>
      </c>
      <c r="F128" t="s">
        <v>36</v>
      </c>
      <c r="G128">
        <v>1141685</v>
      </c>
      <c r="H128" t="s">
        <v>80</v>
      </c>
      <c r="I128" t="s">
        <v>96</v>
      </c>
      <c r="J128" t="s">
        <v>80</v>
      </c>
      <c r="K128" t="s">
        <v>115</v>
      </c>
      <c r="L128" s="1">
        <v>46143</v>
      </c>
      <c r="M128" s="1">
        <v>46173</v>
      </c>
      <c r="N128">
        <v>3.4339545300000003E-2</v>
      </c>
      <c r="O128" t="s">
        <v>56</v>
      </c>
      <c r="P128" t="s">
        <v>63</v>
      </c>
      <c r="Q128" t="s">
        <v>2616</v>
      </c>
      <c r="R128" t="s">
        <v>2620</v>
      </c>
      <c r="S128" t="s">
        <v>67</v>
      </c>
      <c r="T128" t="s">
        <v>2829</v>
      </c>
      <c r="U128" t="s">
        <v>2830</v>
      </c>
      <c r="V128">
        <v>16</v>
      </c>
      <c r="W128" s="2">
        <v>5.9919718234000001</v>
      </c>
    </row>
    <row r="129" spans="1:23" x14ac:dyDescent="0.25">
      <c r="A129" t="s">
        <v>31</v>
      </c>
      <c r="B129" t="s">
        <v>32</v>
      </c>
      <c r="C129" t="s">
        <v>33</v>
      </c>
      <c r="D129" t="s">
        <v>34</v>
      </c>
      <c r="E129" t="s">
        <v>35</v>
      </c>
      <c r="F129" t="s">
        <v>36</v>
      </c>
      <c r="G129">
        <v>1141685</v>
      </c>
      <c r="H129" t="s">
        <v>80</v>
      </c>
      <c r="I129" t="s">
        <v>96</v>
      </c>
      <c r="J129" t="s">
        <v>80</v>
      </c>
      <c r="K129" t="s">
        <v>115</v>
      </c>
      <c r="L129" s="1">
        <v>46143</v>
      </c>
      <c r="M129" s="1">
        <v>46173</v>
      </c>
      <c r="N129">
        <v>3.8952326132000001</v>
      </c>
      <c r="O129" t="s">
        <v>56</v>
      </c>
      <c r="P129" t="s">
        <v>63</v>
      </c>
      <c r="Q129" t="s">
        <v>2616</v>
      </c>
      <c r="R129" t="s">
        <v>2617</v>
      </c>
      <c r="S129" t="s">
        <v>67</v>
      </c>
      <c r="T129" t="s">
        <v>2831</v>
      </c>
      <c r="U129" t="s">
        <v>2832</v>
      </c>
      <c r="V129">
        <v>16</v>
      </c>
      <c r="W129" s="2">
        <v>679.56480789439991</v>
      </c>
    </row>
    <row r="130" spans="1:23" x14ac:dyDescent="0.25">
      <c r="A130" t="s">
        <v>31</v>
      </c>
      <c r="B130" t="s">
        <v>32</v>
      </c>
      <c r="C130" t="s">
        <v>33</v>
      </c>
      <c r="D130" t="s">
        <v>34</v>
      </c>
      <c r="E130" t="s">
        <v>35</v>
      </c>
      <c r="F130" t="s">
        <v>36</v>
      </c>
      <c r="G130">
        <v>1141685</v>
      </c>
      <c r="H130" t="s">
        <v>80</v>
      </c>
      <c r="I130" t="s">
        <v>96</v>
      </c>
      <c r="J130" t="s">
        <v>80</v>
      </c>
      <c r="K130" t="s">
        <v>115</v>
      </c>
      <c r="L130" s="1">
        <v>46143</v>
      </c>
      <c r="M130" s="1">
        <v>46173</v>
      </c>
      <c r="N130">
        <v>8.2798352222999991</v>
      </c>
      <c r="O130" t="s">
        <v>56</v>
      </c>
      <c r="P130" t="s">
        <v>63</v>
      </c>
      <c r="Q130" t="s">
        <v>2616</v>
      </c>
      <c r="R130" t="s">
        <v>2620</v>
      </c>
      <c r="S130" t="s">
        <v>67</v>
      </c>
      <c r="T130" t="s">
        <v>2833</v>
      </c>
      <c r="U130" t="s">
        <v>2834</v>
      </c>
      <c r="V130">
        <v>16</v>
      </c>
      <c r="W130" s="2">
        <v>1444.5000465339999</v>
      </c>
    </row>
    <row r="131" spans="1:23" x14ac:dyDescent="0.25">
      <c r="A131" t="s">
        <v>31</v>
      </c>
      <c r="B131" t="s">
        <v>32</v>
      </c>
      <c r="C131" t="s">
        <v>33</v>
      </c>
      <c r="D131" t="s">
        <v>34</v>
      </c>
      <c r="E131" t="s">
        <v>35</v>
      </c>
      <c r="F131" t="s">
        <v>36</v>
      </c>
      <c r="G131">
        <v>1141685</v>
      </c>
      <c r="H131" t="s">
        <v>80</v>
      </c>
      <c r="I131" t="s">
        <v>96</v>
      </c>
      <c r="J131" t="s">
        <v>80</v>
      </c>
      <c r="K131" t="s">
        <v>115</v>
      </c>
      <c r="L131" s="1">
        <v>46143</v>
      </c>
      <c r="M131" s="1">
        <v>46173</v>
      </c>
      <c r="N131">
        <v>8.7088004676999997</v>
      </c>
      <c r="O131" t="s">
        <v>56</v>
      </c>
      <c r="P131" t="s">
        <v>63</v>
      </c>
      <c r="Q131" t="s">
        <v>2616</v>
      </c>
      <c r="R131" t="s">
        <v>2620</v>
      </c>
      <c r="S131" t="s">
        <v>67</v>
      </c>
      <c r="T131" t="s">
        <v>2835</v>
      </c>
      <c r="U131" t="s">
        <v>2836</v>
      </c>
      <c r="V131">
        <v>16</v>
      </c>
      <c r="W131" s="2">
        <v>1519.3368500368999</v>
      </c>
    </row>
    <row r="132" spans="1:23" x14ac:dyDescent="0.25">
      <c r="A132" t="s">
        <v>31</v>
      </c>
      <c r="B132" t="s">
        <v>32</v>
      </c>
      <c r="C132" t="s">
        <v>33</v>
      </c>
      <c r="D132" t="s">
        <v>34</v>
      </c>
      <c r="E132" t="s">
        <v>35</v>
      </c>
      <c r="F132" t="s">
        <v>36</v>
      </c>
      <c r="G132">
        <v>1141685</v>
      </c>
      <c r="H132" t="s">
        <v>79</v>
      </c>
      <c r="I132" t="s">
        <v>94</v>
      </c>
      <c r="J132" t="s">
        <v>101</v>
      </c>
      <c r="K132" t="s">
        <v>116</v>
      </c>
      <c r="L132" s="1">
        <v>46143</v>
      </c>
      <c r="M132" s="1">
        <v>46173</v>
      </c>
      <c r="N132">
        <v>5.95909674E-2</v>
      </c>
      <c r="O132" t="s">
        <v>56</v>
      </c>
      <c r="P132" t="s">
        <v>63</v>
      </c>
      <c r="Q132" t="s">
        <v>2616</v>
      </c>
      <c r="R132" t="s">
        <v>2617</v>
      </c>
      <c r="S132" t="s">
        <v>67</v>
      </c>
      <c r="T132" t="s">
        <v>2837</v>
      </c>
      <c r="U132" t="s">
        <v>2838</v>
      </c>
      <c r="V132">
        <v>16</v>
      </c>
      <c r="W132" s="2">
        <v>73.363061644499993</v>
      </c>
    </row>
    <row r="133" spans="1:23" x14ac:dyDescent="0.25">
      <c r="A133" t="s">
        <v>31</v>
      </c>
      <c r="B133" t="s">
        <v>32</v>
      </c>
      <c r="C133" t="s">
        <v>33</v>
      </c>
      <c r="D133" t="s">
        <v>34</v>
      </c>
      <c r="E133" t="s">
        <v>35</v>
      </c>
      <c r="F133" t="s">
        <v>36</v>
      </c>
      <c r="G133">
        <v>1141685</v>
      </c>
      <c r="H133" t="s">
        <v>77</v>
      </c>
      <c r="I133" t="s">
        <v>96</v>
      </c>
      <c r="J133" t="s">
        <v>77</v>
      </c>
      <c r="K133" t="s">
        <v>113</v>
      </c>
      <c r="L133" s="1">
        <v>46143</v>
      </c>
      <c r="M133" s="1">
        <v>46173</v>
      </c>
      <c r="N133">
        <v>7.4118929999999995E-4</v>
      </c>
      <c r="O133" t="s">
        <v>56</v>
      </c>
      <c r="P133" t="s">
        <v>63</v>
      </c>
      <c r="Q133" t="s">
        <v>2616</v>
      </c>
      <c r="R133" t="s">
        <v>2620</v>
      </c>
      <c r="S133" t="s">
        <v>67</v>
      </c>
      <c r="T133" t="s">
        <v>2839</v>
      </c>
      <c r="U133" t="s">
        <v>2840</v>
      </c>
      <c r="V133">
        <v>16</v>
      </c>
      <c r="W133" s="2">
        <v>0.13379094590000001</v>
      </c>
    </row>
    <row r="134" spans="1:23" x14ac:dyDescent="0.25">
      <c r="A134" t="s">
        <v>31</v>
      </c>
      <c r="B134" t="s">
        <v>32</v>
      </c>
      <c r="C134" t="s">
        <v>33</v>
      </c>
      <c r="D134" t="s">
        <v>34</v>
      </c>
      <c r="E134" t="s">
        <v>35</v>
      </c>
      <c r="F134" t="s">
        <v>36</v>
      </c>
      <c r="G134">
        <v>1141685</v>
      </c>
      <c r="H134" t="s">
        <v>77</v>
      </c>
      <c r="I134" t="s">
        <v>96</v>
      </c>
      <c r="J134" t="s">
        <v>77</v>
      </c>
      <c r="K134" t="s">
        <v>113</v>
      </c>
      <c r="L134" s="1">
        <v>46143</v>
      </c>
      <c r="M134" s="1">
        <v>46173</v>
      </c>
      <c r="N134">
        <v>13.901860925399999</v>
      </c>
      <c r="O134" t="s">
        <v>56</v>
      </c>
      <c r="P134" t="s">
        <v>63</v>
      </c>
      <c r="Q134" t="s">
        <v>2616</v>
      </c>
      <c r="R134" t="s">
        <v>2620</v>
      </c>
      <c r="S134" t="s">
        <v>67</v>
      </c>
      <c r="T134" t="s">
        <v>2841</v>
      </c>
      <c r="U134" t="s">
        <v>2842</v>
      </c>
      <c r="V134">
        <v>16</v>
      </c>
      <c r="W134" s="2">
        <v>2425.3204181936999</v>
      </c>
    </row>
    <row r="135" spans="1:23" x14ac:dyDescent="0.25">
      <c r="A135" t="s">
        <v>31</v>
      </c>
      <c r="B135" t="s">
        <v>32</v>
      </c>
      <c r="C135" t="s">
        <v>33</v>
      </c>
      <c r="D135" t="s">
        <v>34</v>
      </c>
      <c r="E135" t="s">
        <v>35</v>
      </c>
      <c r="F135" t="s">
        <v>36</v>
      </c>
      <c r="G135">
        <v>1141685</v>
      </c>
      <c r="H135" t="s">
        <v>77</v>
      </c>
      <c r="I135" t="s">
        <v>96</v>
      </c>
      <c r="J135" t="s">
        <v>77</v>
      </c>
      <c r="K135" t="s">
        <v>113</v>
      </c>
      <c r="L135" s="1">
        <v>46143</v>
      </c>
      <c r="M135" s="1">
        <v>46173</v>
      </c>
      <c r="N135">
        <v>0.33179108800000001</v>
      </c>
      <c r="O135" t="s">
        <v>56</v>
      </c>
      <c r="P135" t="s">
        <v>63</v>
      </c>
      <c r="Q135" t="s">
        <v>2616</v>
      </c>
      <c r="R135" t="s">
        <v>2620</v>
      </c>
      <c r="S135" t="s">
        <v>67</v>
      </c>
      <c r="T135" t="s">
        <v>2843</v>
      </c>
      <c r="U135" t="s">
        <v>2844</v>
      </c>
      <c r="V135">
        <v>16</v>
      </c>
      <c r="W135" s="2">
        <v>57.888160422699997</v>
      </c>
    </row>
    <row r="136" spans="1:23" x14ac:dyDescent="0.25">
      <c r="A136" t="s">
        <v>31</v>
      </c>
      <c r="B136" t="s">
        <v>32</v>
      </c>
      <c r="C136" t="s">
        <v>33</v>
      </c>
      <c r="D136" t="s">
        <v>34</v>
      </c>
      <c r="E136" t="s">
        <v>35</v>
      </c>
      <c r="F136" t="s">
        <v>36</v>
      </c>
      <c r="G136">
        <v>1141685</v>
      </c>
      <c r="H136" t="s">
        <v>79</v>
      </c>
      <c r="I136" t="s">
        <v>94</v>
      </c>
      <c r="J136" t="s">
        <v>101</v>
      </c>
      <c r="K136" t="s">
        <v>114</v>
      </c>
      <c r="L136" s="1">
        <v>46143</v>
      </c>
      <c r="M136" s="1">
        <v>46173</v>
      </c>
      <c r="N136">
        <v>1.3599758999999999E-3</v>
      </c>
      <c r="O136" t="s">
        <v>56</v>
      </c>
      <c r="P136" t="s">
        <v>63</v>
      </c>
      <c r="Q136" t="s">
        <v>2616</v>
      </c>
      <c r="R136" t="s">
        <v>2620</v>
      </c>
      <c r="S136" t="s">
        <v>67</v>
      </c>
      <c r="T136" t="s">
        <v>2845</v>
      </c>
      <c r="U136" t="s">
        <v>2846</v>
      </c>
      <c r="V136">
        <v>16</v>
      </c>
      <c r="W136" s="2">
        <v>1.9003202194</v>
      </c>
    </row>
    <row r="137" spans="1:23" x14ac:dyDescent="0.25">
      <c r="A137" t="s">
        <v>31</v>
      </c>
      <c r="B137" t="s">
        <v>32</v>
      </c>
      <c r="C137" t="s">
        <v>33</v>
      </c>
      <c r="D137" t="s">
        <v>34</v>
      </c>
      <c r="E137" t="s">
        <v>35</v>
      </c>
      <c r="F137" t="s">
        <v>36</v>
      </c>
      <c r="G137">
        <v>1141685</v>
      </c>
      <c r="H137" t="s">
        <v>79</v>
      </c>
      <c r="I137" t="s">
        <v>94</v>
      </c>
      <c r="J137" t="s">
        <v>101</v>
      </c>
      <c r="K137" t="s">
        <v>114</v>
      </c>
      <c r="L137" s="1">
        <v>46143</v>
      </c>
      <c r="M137" s="1">
        <v>46173</v>
      </c>
      <c r="N137">
        <v>13.3873968525</v>
      </c>
      <c r="O137" t="s">
        <v>56</v>
      </c>
      <c r="P137" t="s">
        <v>63</v>
      </c>
      <c r="Q137" t="s">
        <v>2616</v>
      </c>
      <c r="R137" t="s">
        <v>2620</v>
      </c>
      <c r="S137" t="s">
        <v>67</v>
      </c>
      <c r="T137" t="s">
        <v>2847</v>
      </c>
      <c r="U137" t="s">
        <v>2848</v>
      </c>
      <c r="V137">
        <v>16</v>
      </c>
      <c r="W137" s="2">
        <v>18684.519394388099</v>
      </c>
    </row>
    <row r="138" spans="1:23" x14ac:dyDescent="0.25">
      <c r="A138" t="s">
        <v>31</v>
      </c>
      <c r="B138" t="s">
        <v>32</v>
      </c>
      <c r="C138" t="s">
        <v>33</v>
      </c>
      <c r="D138" t="s">
        <v>34</v>
      </c>
      <c r="E138" t="s">
        <v>35</v>
      </c>
      <c r="F138" t="s">
        <v>36</v>
      </c>
      <c r="G138">
        <v>1141685</v>
      </c>
      <c r="H138" t="s">
        <v>77</v>
      </c>
      <c r="I138" t="s">
        <v>96</v>
      </c>
      <c r="J138" t="s">
        <v>77</v>
      </c>
      <c r="K138" t="s">
        <v>111</v>
      </c>
      <c r="L138" s="1">
        <v>46143</v>
      </c>
      <c r="M138" s="1">
        <v>46173</v>
      </c>
      <c r="N138">
        <v>5.3445800000000003E-5</v>
      </c>
      <c r="O138" t="s">
        <v>56</v>
      </c>
      <c r="P138" t="s">
        <v>63</v>
      </c>
      <c r="Q138" t="s">
        <v>2616</v>
      </c>
      <c r="R138" t="s">
        <v>2620</v>
      </c>
      <c r="S138" t="s">
        <v>67</v>
      </c>
      <c r="T138" t="s">
        <v>2849</v>
      </c>
      <c r="U138" t="s">
        <v>2850</v>
      </c>
      <c r="V138">
        <v>16</v>
      </c>
      <c r="W138" s="2">
        <v>8.2052567999999996E-3</v>
      </c>
    </row>
    <row r="139" spans="1:23" x14ac:dyDescent="0.25">
      <c r="A139" t="s">
        <v>31</v>
      </c>
      <c r="B139" t="s">
        <v>32</v>
      </c>
      <c r="C139" t="s">
        <v>33</v>
      </c>
      <c r="D139" t="s">
        <v>34</v>
      </c>
      <c r="E139" t="s">
        <v>35</v>
      </c>
      <c r="F139" t="s">
        <v>36</v>
      </c>
      <c r="G139">
        <v>1141685</v>
      </c>
      <c r="H139" t="s">
        <v>77</v>
      </c>
      <c r="I139" t="s">
        <v>96</v>
      </c>
      <c r="J139" t="s">
        <v>77</v>
      </c>
      <c r="K139" t="s">
        <v>111</v>
      </c>
      <c r="L139" s="1">
        <v>46143</v>
      </c>
      <c r="M139" s="1">
        <v>46173</v>
      </c>
      <c r="N139">
        <v>3.7572529999999998E-4</v>
      </c>
      <c r="O139" t="s">
        <v>56</v>
      </c>
      <c r="P139" t="s">
        <v>63</v>
      </c>
      <c r="Q139" t="s">
        <v>2616</v>
      </c>
      <c r="R139" t="s">
        <v>2620</v>
      </c>
      <c r="S139" t="s">
        <v>67</v>
      </c>
      <c r="T139" t="s">
        <v>2851</v>
      </c>
      <c r="U139" t="s">
        <v>2852</v>
      </c>
      <c r="V139">
        <v>16</v>
      </c>
      <c r="W139" s="2">
        <v>6.76831559E-2</v>
      </c>
    </row>
    <row r="140" spans="1:23" x14ac:dyDescent="0.25">
      <c r="A140" t="s">
        <v>31</v>
      </c>
      <c r="B140" t="s">
        <v>32</v>
      </c>
      <c r="C140" t="s">
        <v>33</v>
      </c>
      <c r="D140" t="s">
        <v>34</v>
      </c>
      <c r="E140" t="s">
        <v>35</v>
      </c>
      <c r="F140" t="s">
        <v>36</v>
      </c>
      <c r="G140">
        <v>1141685</v>
      </c>
      <c r="H140" t="s">
        <v>77</v>
      </c>
      <c r="I140" t="s">
        <v>96</v>
      </c>
      <c r="J140" t="s">
        <v>77</v>
      </c>
      <c r="K140" t="s">
        <v>111</v>
      </c>
      <c r="L140" s="1">
        <v>46143</v>
      </c>
      <c r="M140" s="1">
        <v>46173</v>
      </c>
      <c r="N140">
        <v>27.620273266000002</v>
      </c>
      <c r="O140" t="s">
        <v>56</v>
      </c>
      <c r="P140" t="s">
        <v>63</v>
      </c>
      <c r="Q140" t="s">
        <v>2616</v>
      </c>
      <c r="R140" t="s">
        <v>2620</v>
      </c>
      <c r="S140" t="s">
        <v>67</v>
      </c>
      <c r="T140" t="s">
        <v>2853</v>
      </c>
      <c r="U140" t="s">
        <v>2854</v>
      </c>
      <c r="V140">
        <v>16</v>
      </c>
      <c r="W140" s="2">
        <v>4818.6369291032997</v>
      </c>
    </row>
    <row r="141" spans="1:23" x14ac:dyDescent="0.25">
      <c r="A141" t="s">
        <v>31</v>
      </c>
      <c r="B141" t="s">
        <v>32</v>
      </c>
      <c r="C141" t="s">
        <v>33</v>
      </c>
      <c r="D141" t="s">
        <v>34</v>
      </c>
      <c r="E141" t="s">
        <v>35</v>
      </c>
      <c r="F141" t="s">
        <v>36</v>
      </c>
      <c r="G141">
        <v>1141685</v>
      </c>
      <c r="H141" t="s">
        <v>1351</v>
      </c>
      <c r="I141" t="s">
        <v>1353</v>
      </c>
      <c r="J141" t="s">
        <v>1351</v>
      </c>
      <c r="K141" t="s">
        <v>1356</v>
      </c>
      <c r="L141" s="1">
        <v>46143</v>
      </c>
      <c r="M141" s="1">
        <v>46173</v>
      </c>
      <c r="N141">
        <v>3.5684999999999998</v>
      </c>
      <c r="O141" t="s">
        <v>59</v>
      </c>
      <c r="P141" t="s">
        <v>63</v>
      </c>
      <c r="Q141" t="s">
        <v>2662</v>
      </c>
      <c r="R141" t="s">
        <v>2663</v>
      </c>
      <c r="S141" t="s">
        <v>68</v>
      </c>
      <c r="T141" t="s">
        <v>2855</v>
      </c>
      <c r="U141" t="s">
        <v>2856</v>
      </c>
      <c r="V141">
        <v>8</v>
      </c>
      <c r="W141" s="2">
        <v>1045.9034579839999</v>
      </c>
    </row>
    <row r="142" spans="1:23" x14ac:dyDescent="0.25">
      <c r="A142" t="s">
        <v>31</v>
      </c>
      <c r="B142" t="s">
        <v>32</v>
      </c>
      <c r="C142" t="s">
        <v>33</v>
      </c>
      <c r="D142" t="s">
        <v>34</v>
      </c>
      <c r="E142" t="s">
        <v>35</v>
      </c>
      <c r="F142" t="s">
        <v>36</v>
      </c>
      <c r="G142">
        <v>1141685</v>
      </c>
      <c r="H142" t="s">
        <v>1351</v>
      </c>
      <c r="I142" t="s">
        <v>1353</v>
      </c>
      <c r="J142" t="s">
        <v>1351</v>
      </c>
      <c r="K142" t="s">
        <v>2696</v>
      </c>
      <c r="L142" s="1">
        <v>46143</v>
      </c>
      <c r="M142" s="1">
        <v>46173</v>
      </c>
      <c r="N142">
        <v>7.1434081999999996E-2</v>
      </c>
      <c r="O142" t="s">
        <v>56</v>
      </c>
      <c r="P142" t="s">
        <v>63</v>
      </c>
      <c r="Q142" t="s">
        <v>2662</v>
      </c>
      <c r="R142" t="s">
        <v>2663</v>
      </c>
      <c r="S142" t="s">
        <v>68</v>
      </c>
      <c r="T142" t="s">
        <v>2857</v>
      </c>
      <c r="U142" t="s">
        <v>2858</v>
      </c>
      <c r="V142">
        <v>8</v>
      </c>
      <c r="W142" s="2">
        <v>24.923806304500001</v>
      </c>
    </row>
    <row r="143" spans="1:23" x14ac:dyDescent="0.25">
      <c r="A143" t="s">
        <v>31</v>
      </c>
      <c r="B143" t="s">
        <v>32</v>
      </c>
      <c r="C143" t="s">
        <v>33</v>
      </c>
      <c r="D143" t="s">
        <v>34</v>
      </c>
      <c r="E143" t="s">
        <v>35</v>
      </c>
      <c r="F143" t="s">
        <v>36</v>
      </c>
      <c r="G143">
        <v>1141685</v>
      </c>
      <c r="H143" t="s">
        <v>1351</v>
      </c>
      <c r="I143" t="s">
        <v>1353</v>
      </c>
      <c r="J143" t="s">
        <v>1351</v>
      </c>
      <c r="K143" t="s">
        <v>1357</v>
      </c>
      <c r="L143" s="1">
        <v>46143</v>
      </c>
      <c r="M143" s="1">
        <v>46173</v>
      </c>
      <c r="N143">
        <v>1.6457795000000001E-2</v>
      </c>
      <c r="O143" t="s">
        <v>56</v>
      </c>
      <c r="P143" t="s">
        <v>63</v>
      </c>
      <c r="Q143" t="s">
        <v>2662</v>
      </c>
      <c r="R143" t="s">
        <v>2663</v>
      </c>
      <c r="S143" t="s">
        <v>68</v>
      </c>
      <c r="T143" t="s">
        <v>2859</v>
      </c>
      <c r="U143" t="s">
        <v>2860</v>
      </c>
      <c r="V143">
        <v>8</v>
      </c>
      <c r="W143" s="2">
        <v>31.583476544</v>
      </c>
    </row>
    <row r="144" spans="1:23" x14ac:dyDescent="0.25">
      <c r="A144" t="s">
        <v>31</v>
      </c>
      <c r="B144" t="s">
        <v>32</v>
      </c>
      <c r="C144" t="s">
        <v>33</v>
      </c>
      <c r="D144" t="s">
        <v>34</v>
      </c>
      <c r="E144" t="s">
        <v>35</v>
      </c>
      <c r="F144" t="s">
        <v>36</v>
      </c>
      <c r="G144">
        <v>1141685</v>
      </c>
      <c r="H144" t="s">
        <v>77</v>
      </c>
      <c r="I144" t="s">
        <v>96</v>
      </c>
      <c r="J144" t="s">
        <v>77</v>
      </c>
      <c r="K144" t="s">
        <v>111</v>
      </c>
      <c r="L144" s="1">
        <v>46143</v>
      </c>
      <c r="M144" s="1">
        <v>46173</v>
      </c>
      <c r="N144">
        <v>0.139094946</v>
      </c>
      <c r="O144" t="s">
        <v>56</v>
      </c>
      <c r="P144" t="s">
        <v>63</v>
      </c>
      <c r="Q144" t="s">
        <v>2616</v>
      </c>
      <c r="R144" t="s">
        <v>2620</v>
      </c>
      <c r="S144" t="s">
        <v>67</v>
      </c>
      <c r="T144" t="s">
        <v>2861</v>
      </c>
      <c r="U144" t="s">
        <v>2862</v>
      </c>
      <c r="V144">
        <v>16</v>
      </c>
      <c r="W144" s="2">
        <v>24.264523759700001</v>
      </c>
    </row>
    <row r="145" spans="1:23" x14ac:dyDescent="0.25">
      <c r="A145" t="s">
        <v>31</v>
      </c>
      <c r="B145" t="s">
        <v>32</v>
      </c>
      <c r="C145" t="s">
        <v>33</v>
      </c>
      <c r="D145" t="s">
        <v>34</v>
      </c>
      <c r="E145" t="s">
        <v>35</v>
      </c>
      <c r="F145" t="s">
        <v>36</v>
      </c>
      <c r="G145">
        <v>1141685</v>
      </c>
      <c r="H145" t="s">
        <v>79</v>
      </c>
      <c r="I145" t="s">
        <v>94</v>
      </c>
      <c r="J145" t="s">
        <v>101</v>
      </c>
      <c r="K145" t="s">
        <v>114</v>
      </c>
      <c r="L145" s="1">
        <v>46143</v>
      </c>
      <c r="M145" s="1">
        <v>46173</v>
      </c>
      <c r="N145">
        <v>8.2223300000000001E-4</v>
      </c>
      <c r="O145" t="s">
        <v>56</v>
      </c>
      <c r="P145" t="s">
        <v>63</v>
      </c>
      <c r="Q145" t="s">
        <v>2616</v>
      </c>
      <c r="R145" t="s">
        <v>2620</v>
      </c>
      <c r="S145" t="s">
        <v>67</v>
      </c>
      <c r="T145" t="s">
        <v>2863</v>
      </c>
      <c r="U145" t="s">
        <v>2864</v>
      </c>
      <c r="V145">
        <v>16</v>
      </c>
      <c r="W145" s="2">
        <v>1.1498652987</v>
      </c>
    </row>
    <row r="146" spans="1:23" x14ac:dyDescent="0.25">
      <c r="A146" t="s">
        <v>31</v>
      </c>
      <c r="B146" t="s">
        <v>32</v>
      </c>
      <c r="C146" t="s">
        <v>33</v>
      </c>
      <c r="D146" t="s">
        <v>34</v>
      </c>
      <c r="E146" t="s">
        <v>35</v>
      </c>
      <c r="F146" t="s">
        <v>36</v>
      </c>
      <c r="G146">
        <v>1141685</v>
      </c>
      <c r="H146" t="s">
        <v>79</v>
      </c>
      <c r="I146" t="s">
        <v>94</v>
      </c>
      <c r="J146" t="s">
        <v>101</v>
      </c>
      <c r="K146" t="s">
        <v>114</v>
      </c>
      <c r="L146" s="1">
        <v>46143</v>
      </c>
      <c r="M146" s="1">
        <v>46173</v>
      </c>
      <c r="N146">
        <v>8.6973979999999996E-4</v>
      </c>
      <c r="O146" t="s">
        <v>56</v>
      </c>
      <c r="P146" t="s">
        <v>63</v>
      </c>
      <c r="Q146" t="s">
        <v>2616</v>
      </c>
      <c r="R146" t="s">
        <v>2620</v>
      </c>
      <c r="S146" t="s">
        <v>67</v>
      </c>
      <c r="T146" t="s">
        <v>2865</v>
      </c>
      <c r="U146" t="s">
        <v>2866</v>
      </c>
      <c r="V146">
        <v>16</v>
      </c>
      <c r="W146" s="2">
        <v>1.2182130309999999</v>
      </c>
    </row>
    <row r="147" spans="1:23" x14ac:dyDescent="0.25">
      <c r="A147" t="s">
        <v>31</v>
      </c>
      <c r="B147" t="s">
        <v>32</v>
      </c>
      <c r="C147" t="s">
        <v>33</v>
      </c>
      <c r="D147" t="s">
        <v>34</v>
      </c>
      <c r="E147" t="s">
        <v>35</v>
      </c>
      <c r="F147" t="s">
        <v>36</v>
      </c>
      <c r="G147">
        <v>1141685</v>
      </c>
      <c r="H147" t="s">
        <v>79</v>
      </c>
      <c r="I147" t="s">
        <v>94</v>
      </c>
      <c r="J147" t="s">
        <v>101</v>
      </c>
      <c r="K147" t="s">
        <v>114</v>
      </c>
      <c r="L147" s="1">
        <v>46143</v>
      </c>
      <c r="M147" s="1">
        <v>46173</v>
      </c>
      <c r="N147">
        <v>4.9238466000000002E-3</v>
      </c>
      <c r="O147" t="s">
        <v>56</v>
      </c>
      <c r="P147" t="s">
        <v>63</v>
      </c>
      <c r="Q147" t="s">
        <v>2616</v>
      </c>
      <c r="R147" t="s">
        <v>2620</v>
      </c>
      <c r="S147" t="s">
        <v>67</v>
      </c>
      <c r="T147" t="s">
        <v>2867</v>
      </c>
      <c r="U147" t="s">
        <v>2868</v>
      </c>
      <c r="V147">
        <v>16</v>
      </c>
      <c r="W147" s="2">
        <v>6.8674604822000003</v>
      </c>
    </row>
    <row r="148" spans="1:23" x14ac:dyDescent="0.25">
      <c r="A148" t="s">
        <v>31</v>
      </c>
      <c r="B148" t="s">
        <v>32</v>
      </c>
      <c r="C148" t="s">
        <v>33</v>
      </c>
      <c r="D148" t="s">
        <v>34</v>
      </c>
      <c r="E148" t="s">
        <v>35</v>
      </c>
      <c r="F148" t="s">
        <v>36</v>
      </c>
      <c r="G148">
        <v>1141685</v>
      </c>
      <c r="H148" t="s">
        <v>1351</v>
      </c>
      <c r="I148" t="s">
        <v>1353</v>
      </c>
      <c r="J148" t="s">
        <v>1351</v>
      </c>
      <c r="K148" t="s">
        <v>1357</v>
      </c>
      <c r="L148" s="1">
        <v>46143</v>
      </c>
      <c r="M148" s="1">
        <v>46173</v>
      </c>
      <c r="N148">
        <v>2.1044048800000001</v>
      </c>
      <c r="O148" t="s">
        <v>56</v>
      </c>
      <c r="P148" t="s">
        <v>63</v>
      </c>
      <c r="Q148" t="s">
        <v>2662</v>
      </c>
      <c r="R148" t="s">
        <v>2663</v>
      </c>
      <c r="S148" t="s">
        <v>68</v>
      </c>
      <c r="T148" t="s">
        <v>2869</v>
      </c>
      <c r="U148" t="s">
        <v>2870</v>
      </c>
      <c r="V148">
        <v>8</v>
      </c>
      <c r="W148" s="2">
        <v>4001.7638876992</v>
      </c>
    </row>
    <row r="149" spans="1:23" x14ac:dyDescent="0.25">
      <c r="A149" t="s">
        <v>31</v>
      </c>
      <c r="B149" t="s">
        <v>32</v>
      </c>
      <c r="C149" t="s">
        <v>33</v>
      </c>
      <c r="D149" t="s">
        <v>34</v>
      </c>
      <c r="E149" t="s">
        <v>35</v>
      </c>
      <c r="F149" t="s">
        <v>36</v>
      </c>
      <c r="G149">
        <v>1141685</v>
      </c>
      <c r="H149" t="s">
        <v>1351</v>
      </c>
      <c r="I149" t="s">
        <v>1353</v>
      </c>
      <c r="J149" t="s">
        <v>1351</v>
      </c>
      <c r="K149" t="s">
        <v>2696</v>
      </c>
      <c r="L149" s="1">
        <v>46143</v>
      </c>
      <c r="M149" s="1">
        <v>46173</v>
      </c>
      <c r="N149">
        <v>8.0776272999999996E-2</v>
      </c>
      <c r="O149" t="s">
        <v>56</v>
      </c>
      <c r="P149" t="s">
        <v>63</v>
      </c>
      <c r="Q149" t="s">
        <v>2662</v>
      </c>
      <c r="R149" t="s">
        <v>2663</v>
      </c>
      <c r="S149" t="s">
        <v>68</v>
      </c>
      <c r="T149" t="s">
        <v>2871</v>
      </c>
      <c r="U149" t="s">
        <v>2872</v>
      </c>
      <c r="V149">
        <v>8</v>
      </c>
      <c r="W149" s="2">
        <v>28.182322314099999</v>
      </c>
    </row>
    <row r="150" spans="1:23" x14ac:dyDescent="0.25">
      <c r="A150" t="s">
        <v>31</v>
      </c>
      <c r="B150" t="s">
        <v>32</v>
      </c>
      <c r="C150" t="s">
        <v>33</v>
      </c>
      <c r="D150" t="s">
        <v>34</v>
      </c>
      <c r="E150" t="s">
        <v>35</v>
      </c>
      <c r="F150" t="s">
        <v>36</v>
      </c>
      <c r="G150">
        <v>1141685</v>
      </c>
      <c r="H150" t="s">
        <v>1351</v>
      </c>
      <c r="I150" t="s">
        <v>1353</v>
      </c>
      <c r="J150" t="s">
        <v>1351</v>
      </c>
      <c r="K150" t="s">
        <v>1356</v>
      </c>
      <c r="L150" s="1">
        <v>46143</v>
      </c>
      <c r="M150" s="1">
        <v>46173</v>
      </c>
      <c r="N150">
        <v>1.0861000000000001</v>
      </c>
      <c r="O150" t="s">
        <v>59</v>
      </c>
      <c r="P150" t="s">
        <v>63</v>
      </c>
      <c r="Q150" t="s">
        <v>2662</v>
      </c>
      <c r="R150" t="s">
        <v>2663</v>
      </c>
      <c r="S150" t="s">
        <v>68</v>
      </c>
      <c r="T150" t="s">
        <v>2873</v>
      </c>
      <c r="U150" t="s">
        <v>2874</v>
      </c>
      <c r="V150">
        <v>8</v>
      </c>
      <c r="W150" s="2">
        <v>318.32871927039997</v>
      </c>
    </row>
    <row r="151" spans="1:23" x14ac:dyDescent="0.25">
      <c r="A151" t="s">
        <v>31</v>
      </c>
      <c r="B151" t="s">
        <v>32</v>
      </c>
      <c r="C151" t="s">
        <v>33</v>
      </c>
      <c r="D151" t="s">
        <v>34</v>
      </c>
      <c r="E151" t="s">
        <v>35</v>
      </c>
      <c r="F151" t="s">
        <v>36</v>
      </c>
      <c r="G151">
        <v>1141685</v>
      </c>
      <c r="H151" t="s">
        <v>1351</v>
      </c>
      <c r="I151" t="s">
        <v>1353</v>
      </c>
      <c r="J151" t="s">
        <v>1351</v>
      </c>
      <c r="K151" t="s">
        <v>2696</v>
      </c>
      <c r="L151" s="1">
        <v>46143</v>
      </c>
      <c r="M151" s="1">
        <v>46173</v>
      </c>
      <c r="N151">
        <v>2.7880259999999999E-3</v>
      </c>
      <c r="O151" t="s">
        <v>56</v>
      </c>
      <c r="P151" t="s">
        <v>63</v>
      </c>
      <c r="Q151" t="s">
        <v>2662</v>
      </c>
      <c r="R151" t="s">
        <v>2663</v>
      </c>
      <c r="S151" t="s">
        <v>68</v>
      </c>
      <c r="T151" t="s">
        <v>2875</v>
      </c>
      <c r="U151" t="s">
        <v>2876</v>
      </c>
      <c r="V151">
        <v>8</v>
      </c>
      <c r="W151" s="2">
        <v>7.7784981446999986</v>
      </c>
    </row>
    <row r="152" spans="1:23" x14ac:dyDescent="0.25">
      <c r="A152" t="s">
        <v>31</v>
      </c>
      <c r="B152" t="s">
        <v>32</v>
      </c>
      <c r="C152" t="s">
        <v>33</v>
      </c>
      <c r="D152" t="s">
        <v>34</v>
      </c>
      <c r="E152" t="s">
        <v>35</v>
      </c>
      <c r="F152" t="s">
        <v>36</v>
      </c>
      <c r="G152">
        <v>1141685</v>
      </c>
      <c r="H152" t="s">
        <v>79</v>
      </c>
      <c r="I152" t="s">
        <v>94</v>
      </c>
      <c r="J152" t="s">
        <v>101</v>
      </c>
      <c r="K152" t="s">
        <v>114</v>
      </c>
      <c r="L152" s="1">
        <v>46143</v>
      </c>
      <c r="M152" s="1">
        <v>46173</v>
      </c>
      <c r="N152">
        <v>7.0841153328999997</v>
      </c>
      <c r="O152" t="s">
        <v>56</v>
      </c>
      <c r="P152" t="s">
        <v>63</v>
      </c>
      <c r="Q152" t="s">
        <v>2616</v>
      </c>
      <c r="R152" t="s">
        <v>2620</v>
      </c>
      <c r="S152" t="s">
        <v>67</v>
      </c>
      <c r="T152" t="s">
        <v>2877</v>
      </c>
      <c r="U152" t="s">
        <v>2878</v>
      </c>
      <c r="V152">
        <v>16</v>
      </c>
      <c r="W152" s="2">
        <v>9887.1591173103989</v>
      </c>
    </row>
    <row r="153" spans="1:23" x14ac:dyDescent="0.25">
      <c r="A153" t="s">
        <v>31</v>
      </c>
      <c r="B153" t="s">
        <v>32</v>
      </c>
      <c r="C153" t="s">
        <v>33</v>
      </c>
      <c r="D153" t="s">
        <v>34</v>
      </c>
      <c r="E153" t="s">
        <v>35</v>
      </c>
      <c r="F153" t="s">
        <v>36</v>
      </c>
      <c r="G153">
        <v>1141685</v>
      </c>
      <c r="H153" t="s">
        <v>76</v>
      </c>
      <c r="I153" t="s">
        <v>95</v>
      </c>
      <c r="J153" t="s">
        <v>99</v>
      </c>
      <c r="K153" t="s">
        <v>109</v>
      </c>
      <c r="L153" s="1">
        <v>46143</v>
      </c>
      <c r="M153" s="1">
        <v>46173</v>
      </c>
      <c r="N153">
        <v>174.99997999999999</v>
      </c>
      <c r="O153" t="s">
        <v>58</v>
      </c>
      <c r="P153" t="s">
        <v>63</v>
      </c>
      <c r="Q153" t="s">
        <v>2635</v>
      </c>
      <c r="R153" t="s">
        <v>2620</v>
      </c>
      <c r="S153" t="s">
        <v>67</v>
      </c>
      <c r="T153" t="s">
        <v>2779</v>
      </c>
      <c r="U153" t="s">
        <v>2780</v>
      </c>
      <c r="V153">
        <v>16</v>
      </c>
      <c r="W153" s="2">
        <v>0</v>
      </c>
    </row>
    <row r="154" spans="1:23" x14ac:dyDescent="0.25">
      <c r="A154" t="s">
        <v>31</v>
      </c>
      <c r="B154" t="s">
        <v>32</v>
      </c>
      <c r="C154" t="s">
        <v>33</v>
      </c>
      <c r="D154" t="s">
        <v>34</v>
      </c>
      <c r="E154" t="s">
        <v>35</v>
      </c>
      <c r="F154" t="s">
        <v>36</v>
      </c>
      <c r="G154">
        <v>1141685</v>
      </c>
      <c r="H154" t="s">
        <v>76</v>
      </c>
      <c r="I154" t="s">
        <v>95</v>
      </c>
      <c r="J154" t="s">
        <v>99</v>
      </c>
      <c r="K154" t="s">
        <v>109</v>
      </c>
      <c r="L154" s="1">
        <v>46143</v>
      </c>
      <c r="M154" s="1">
        <v>46173</v>
      </c>
      <c r="N154">
        <v>1.966704</v>
      </c>
      <c r="O154" t="s">
        <v>58</v>
      </c>
      <c r="P154" t="s">
        <v>63</v>
      </c>
      <c r="Q154" t="s">
        <v>2635</v>
      </c>
      <c r="R154" t="s">
        <v>2620</v>
      </c>
      <c r="S154" t="s">
        <v>67</v>
      </c>
      <c r="T154" t="s">
        <v>2646</v>
      </c>
      <c r="U154" t="s">
        <v>2647</v>
      </c>
      <c r="V154">
        <v>16</v>
      </c>
      <c r="W154" s="2">
        <v>0</v>
      </c>
    </row>
    <row r="155" spans="1:23" x14ac:dyDescent="0.25">
      <c r="A155" t="s">
        <v>31</v>
      </c>
      <c r="B155" t="s">
        <v>32</v>
      </c>
      <c r="C155" t="s">
        <v>33</v>
      </c>
      <c r="D155" t="s">
        <v>34</v>
      </c>
      <c r="E155" t="s">
        <v>35</v>
      </c>
      <c r="F155" t="s">
        <v>36</v>
      </c>
      <c r="G155">
        <v>1141685</v>
      </c>
      <c r="H155" t="s">
        <v>76</v>
      </c>
      <c r="I155" t="s">
        <v>95</v>
      </c>
      <c r="J155" t="s">
        <v>99</v>
      </c>
      <c r="K155" t="s">
        <v>109</v>
      </c>
      <c r="L155" s="1">
        <v>46143</v>
      </c>
      <c r="M155" s="1">
        <v>46173</v>
      </c>
      <c r="N155">
        <v>124</v>
      </c>
      <c r="O155" t="s">
        <v>58</v>
      </c>
      <c r="P155" t="s">
        <v>63</v>
      </c>
      <c r="Q155" t="s">
        <v>2635</v>
      </c>
      <c r="R155" t="s">
        <v>2620</v>
      </c>
      <c r="S155" t="s">
        <v>67</v>
      </c>
      <c r="T155" t="s">
        <v>2646</v>
      </c>
      <c r="U155" t="s">
        <v>2647</v>
      </c>
      <c r="V155">
        <v>16</v>
      </c>
      <c r="W155" s="2">
        <v>0</v>
      </c>
    </row>
    <row r="156" spans="1:23" x14ac:dyDescent="0.25">
      <c r="A156" t="s">
        <v>31</v>
      </c>
      <c r="B156" t="s">
        <v>32</v>
      </c>
      <c r="C156" t="s">
        <v>33</v>
      </c>
      <c r="D156" t="s">
        <v>34</v>
      </c>
      <c r="E156" t="s">
        <v>35</v>
      </c>
      <c r="F156" t="s">
        <v>36</v>
      </c>
      <c r="G156">
        <v>1141685</v>
      </c>
      <c r="H156" t="s">
        <v>91</v>
      </c>
      <c r="I156" t="s">
        <v>95</v>
      </c>
      <c r="J156" t="s">
        <v>106</v>
      </c>
      <c r="K156" t="s">
        <v>479</v>
      </c>
      <c r="L156" s="1">
        <v>46143</v>
      </c>
      <c r="M156" s="1">
        <v>46173</v>
      </c>
      <c r="N156">
        <v>31</v>
      </c>
      <c r="O156" t="s">
        <v>58</v>
      </c>
      <c r="P156" t="s">
        <v>63</v>
      </c>
      <c r="Q156" t="s">
        <v>2635</v>
      </c>
      <c r="R156" t="s">
        <v>2620</v>
      </c>
      <c r="S156" t="s">
        <v>67</v>
      </c>
      <c r="T156" t="s">
        <v>2879</v>
      </c>
      <c r="U156" t="s">
        <v>2880</v>
      </c>
      <c r="V156">
        <v>16</v>
      </c>
      <c r="W156" s="2">
        <v>135206.5</v>
      </c>
    </row>
    <row r="157" spans="1:23" x14ac:dyDescent="0.25">
      <c r="A157" t="s">
        <v>31</v>
      </c>
      <c r="B157" t="s">
        <v>32</v>
      </c>
      <c r="C157" t="s">
        <v>33</v>
      </c>
      <c r="D157" t="s">
        <v>34</v>
      </c>
      <c r="E157" t="s">
        <v>35</v>
      </c>
      <c r="F157" t="s">
        <v>36</v>
      </c>
      <c r="G157">
        <v>1141685</v>
      </c>
      <c r="H157" t="s">
        <v>91</v>
      </c>
      <c r="I157" t="s">
        <v>95</v>
      </c>
      <c r="J157" t="s">
        <v>106</v>
      </c>
      <c r="K157" t="s">
        <v>479</v>
      </c>
      <c r="L157" s="1">
        <v>46143</v>
      </c>
      <c r="M157" s="1">
        <v>46173</v>
      </c>
      <c r="N157">
        <v>76</v>
      </c>
      <c r="O157" t="s">
        <v>58</v>
      </c>
      <c r="P157" t="s">
        <v>63</v>
      </c>
      <c r="Q157" t="s">
        <v>2635</v>
      </c>
      <c r="R157" t="s">
        <v>2620</v>
      </c>
      <c r="S157" t="s">
        <v>67</v>
      </c>
      <c r="T157" t="s">
        <v>2881</v>
      </c>
      <c r="U157" t="s">
        <v>2882</v>
      </c>
      <c r="V157">
        <v>16</v>
      </c>
      <c r="W157" s="2">
        <v>331474</v>
      </c>
    </row>
    <row r="158" spans="1:23" x14ac:dyDescent="0.25">
      <c r="A158" t="s">
        <v>31</v>
      </c>
      <c r="B158" t="s">
        <v>32</v>
      </c>
      <c r="C158" t="s">
        <v>33</v>
      </c>
      <c r="D158" t="s">
        <v>34</v>
      </c>
      <c r="E158" t="s">
        <v>35</v>
      </c>
      <c r="F158" t="s">
        <v>36</v>
      </c>
      <c r="G158">
        <v>1141685</v>
      </c>
      <c r="H158" t="s">
        <v>91</v>
      </c>
      <c r="I158" t="s">
        <v>95</v>
      </c>
      <c r="J158" t="s">
        <v>106</v>
      </c>
      <c r="K158" t="s">
        <v>129</v>
      </c>
      <c r="L158" s="1">
        <v>46143</v>
      </c>
      <c r="M158" s="1">
        <v>46173</v>
      </c>
      <c r="N158">
        <v>0.28333000000000003</v>
      </c>
      <c r="O158" t="s">
        <v>58</v>
      </c>
      <c r="P158" t="s">
        <v>63</v>
      </c>
      <c r="Q158" t="s">
        <v>2635</v>
      </c>
      <c r="R158" t="s">
        <v>2617</v>
      </c>
      <c r="S158" t="s">
        <v>67</v>
      </c>
      <c r="T158" t="s">
        <v>2883</v>
      </c>
      <c r="U158" t="s">
        <v>2884</v>
      </c>
      <c r="V158">
        <v>16</v>
      </c>
      <c r="W158" s="2">
        <v>617.86726980000003</v>
      </c>
    </row>
    <row r="159" spans="1:23" x14ac:dyDescent="0.25">
      <c r="A159" t="s">
        <v>31</v>
      </c>
      <c r="B159" t="s">
        <v>32</v>
      </c>
      <c r="C159" t="s">
        <v>33</v>
      </c>
      <c r="D159" t="s">
        <v>34</v>
      </c>
      <c r="E159" t="s">
        <v>35</v>
      </c>
      <c r="F159" t="s">
        <v>36</v>
      </c>
      <c r="G159">
        <v>1141685</v>
      </c>
      <c r="H159" t="s">
        <v>38</v>
      </c>
      <c r="I159" t="s">
        <v>38</v>
      </c>
      <c r="J159" t="s">
        <v>38</v>
      </c>
      <c r="K159" t="s">
        <v>55</v>
      </c>
      <c r="L159" s="1">
        <v>46143</v>
      </c>
      <c r="M159" s="1">
        <v>46173</v>
      </c>
      <c r="N159">
        <v>341</v>
      </c>
      <c r="O159" t="s">
        <v>61</v>
      </c>
      <c r="P159" t="s">
        <v>63</v>
      </c>
      <c r="Q159" t="s">
        <v>2676</v>
      </c>
      <c r="R159" t="s">
        <v>2705</v>
      </c>
      <c r="S159" t="s">
        <v>67</v>
      </c>
      <c r="T159" t="s">
        <v>2885</v>
      </c>
      <c r="U159" t="s">
        <v>2886</v>
      </c>
      <c r="V159">
        <v>6</v>
      </c>
      <c r="W159" s="2">
        <v>743.63945999999999</v>
      </c>
    </row>
    <row r="160" spans="1:23" x14ac:dyDescent="0.25">
      <c r="A160" t="s">
        <v>31</v>
      </c>
      <c r="B160" t="s">
        <v>32</v>
      </c>
      <c r="C160" t="s">
        <v>33</v>
      </c>
      <c r="D160" t="s">
        <v>34</v>
      </c>
      <c r="E160" t="s">
        <v>35</v>
      </c>
      <c r="F160" t="s">
        <v>36</v>
      </c>
      <c r="G160">
        <v>1141685</v>
      </c>
      <c r="H160" t="s">
        <v>2672</v>
      </c>
      <c r="I160" t="s">
        <v>97</v>
      </c>
      <c r="J160" t="s">
        <v>2673</v>
      </c>
      <c r="K160" t="s">
        <v>2674</v>
      </c>
      <c r="L160" s="1">
        <v>46143</v>
      </c>
      <c r="M160" s="1">
        <v>46173</v>
      </c>
      <c r="N160">
        <v>31</v>
      </c>
      <c r="O160" t="s">
        <v>2675</v>
      </c>
      <c r="P160" t="s">
        <v>63</v>
      </c>
      <c r="Q160" t="s">
        <v>2676</v>
      </c>
      <c r="R160" t="s">
        <v>2887</v>
      </c>
      <c r="S160" t="s">
        <v>2678</v>
      </c>
      <c r="T160" t="s">
        <v>2679</v>
      </c>
      <c r="U160" t="s">
        <v>2680</v>
      </c>
      <c r="V160">
        <v>6</v>
      </c>
      <c r="W160" s="2">
        <v>261705.69723200021</v>
      </c>
    </row>
    <row r="161" spans="1:23" x14ac:dyDescent="0.25">
      <c r="A161" t="s">
        <v>31</v>
      </c>
      <c r="B161" t="s">
        <v>32</v>
      </c>
      <c r="C161" t="s">
        <v>33</v>
      </c>
      <c r="D161" t="s">
        <v>34</v>
      </c>
      <c r="E161" t="s">
        <v>35</v>
      </c>
      <c r="F161" t="s">
        <v>36</v>
      </c>
      <c r="G161">
        <v>1141685</v>
      </c>
      <c r="H161" t="s">
        <v>2672</v>
      </c>
      <c r="I161" t="s">
        <v>97</v>
      </c>
      <c r="J161" t="s">
        <v>2673</v>
      </c>
      <c r="K161" t="s">
        <v>2674</v>
      </c>
      <c r="L161" s="1">
        <v>46143</v>
      </c>
      <c r="M161" s="1">
        <v>46173</v>
      </c>
      <c r="N161">
        <v>31</v>
      </c>
      <c r="O161" t="s">
        <v>2675</v>
      </c>
      <c r="P161" t="s">
        <v>63</v>
      </c>
      <c r="Q161" t="s">
        <v>2676</v>
      </c>
      <c r="R161" t="s">
        <v>2888</v>
      </c>
      <c r="S161" t="s">
        <v>2678</v>
      </c>
      <c r="T161" t="s">
        <v>2679</v>
      </c>
      <c r="U161" t="s">
        <v>2680</v>
      </c>
      <c r="V161">
        <v>6</v>
      </c>
      <c r="W161" s="2">
        <v>261705.69723200021</v>
      </c>
    </row>
    <row r="162" spans="1:23" x14ac:dyDescent="0.25">
      <c r="A162" t="s">
        <v>31</v>
      </c>
      <c r="B162" t="s">
        <v>32</v>
      </c>
      <c r="C162" t="s">
        <v>33</v>
      </c>
      <c r="D162" t="s">
        <v>34</v>
      </c>
      <c r="E162" t="s">
        <v>35</v>
      </c>
      <c r="F162" t="s">
        <v>36</v>
      </c>
      <c r="G162">
        <v>1141685</v>
      </c>
      <c r="H162" t="s">
        <v>2672</v>
      </c>
      <c r="I162" t="s">
        <v>97</v>
      </c>
      <c r="J162" t="s">
        <v>2673</v>
      </c>
      <c r="K162" t="s">
        <v>2674</v>
      </c>
      <c r="L162" s="1">
        <v>46143</v>
      </c>
      <c r="M162" s="1">
        <v>46173</v>
      </c>
      <c r="N162">
        <v>31</v>
      </c>
      <c r="O162" t="s">
        <v>2675</v>
      </c>
      <c r="P162" t="s">
        <v>63</v>
      </c>
      <c r="Q162" t="s">
        <v>2676</v>
      </c>
      <c r="R162" t="s">
        <v>2889</v>
      </c>
      <c r="S162" t="s">
        <v>2678</v>
      </c>
      <c r="T162" t="s">
        <v>2679</v>
      </c>
      <c r="U162" t="s">
        <v>2680</v>
      </c>
      <c r="V162">
        <v>6</v>
      </c>
      <c r="W162" s="2">
        <v>261705.69723200021</v>
      </c>
    </row>
    <row r="163" spans="1:23" x14ac:dyDescent="0.25">
      <c r="A163" t="s">
        <v>31</v>
      </c>
      <c r="B163" t="s">
        <v>32</v>
      </c>
      <c r="C163" t="s">
        <v>33</v>
      </c>
      <c r="D163" t="s">
        <v>34</v>
      </c>
      <c r="E163" t="s">
        <v>35</v>
      </c>
      <c r="F163" t="s">
        <v>36</v>
      </c>
      <c r="G163">
        <v>1141685</v>
      </c>
      <c r="H163" t="s">
        <v>80</v>
      </c>
      <c r="I163" t="s">
        <v>96</v>
      </c>
      <c r="J163" t="s">
        <v>80</v>
      </c>
      <c r="K163" t="s">
        <v>115</v>
      </c>
      <c r="L163" s="1">
        <v>46143</v>
      </c>
      <c r="M163" s="1">
        <v>46173</v>
      </c>
      <c r="N163">
        <v>2.4376799999999998E-3</v>
      </c>
      <c r="O163" t="s">
        <v>56</v>
      </c>
      <c r="P163" t="s">
        <v>63</v>
      </c>
      <c r="Q163" t="s">
        <v>2616</v>
      </c>
      <c r="R163" t="s">
        <v>2617</v>
      </c>
      <c r="S163" t="s">
        <v>67</v>
      </c>
      <c r="T163" t="s">
        <v>2890</v>
      </c>
      <c r="U163" t="s">
        <v>2891</v>
      </c>
      <c r="V163">
        <v>16</v>
      </c>
      <c r="W163" s="2">
        <v>0.42424433880000001</v>
      </c>
    </row>
    <row r="164" spans="1:23" x14ac:dyDescent="0.25">
      <c r="A164" t="s">
        <v>31</v>
      </c>
      <c r="B164" t="s">
        <v>32</v>
      </c>
      <c r="C164" t="s">
        <v>33</v>
      </c>
      <c r="D164" t="s">
        <v>34</v>
      </c>
      <c r="E164" t="s">
        <v>35</v>
      </c>
      <c r="F164" t="s">
        <v>36</v>
      </c>
      <c r="G164">
        <v>1141685</v>
      </c>
      <c r="H164" t="s">
        <v>80</v>
      </c>
      <c r="I164" t="s">
        <v>96</v>
      </c>
      <c r="J164" t="s">
        <v>80</v>
      </c>
      <c r="K164" t="s">
        <v>115</v>
      </c>
      <c r="L164" s="1">
        <v>46143</v>
      </c>
      <c r="M164" s="1">
        <v>46173</v>
      </c>
      <c r="N164">
        <v>14.5687623704</v>
      </c>
      <c r="O164" t="s">
        <v>56</v>
      </c>
      <c r="P164" t="s">
        <v>63</v>
      </c>
      <c r="Q164" t="s">
        <v>2616</v>
      </c>
      <c r="R164" t="s">
        <v>2620</v>
      </c>
      <c r="S164" t="s">
        <v>67</v>
      </c>
      <c r="T164" t="s">
        <v>2892</v>
      </c>
      <c r="U164" t="s">
        <v>2893</v>
      </c>
      <c r="V164">
        <v>16</v>
      </c>
      <c r="W164" s="2">
        <v>2541.6663291609002</v>
      </c>
    </row>
    <row r="165" spans="1:23" x14ac:dyDescent="0.25">
      <c r="A165" t="s">
        <v>31</v>
      </c>
      <c r="B165" t="s">
        <v>32</v>
      </c>
      <c r="C165" t="s">
        <v>33</v>
      </c>
      <c r="D165" t="s">
        <v>34</v>
      </c>
      <c r="E165" t="s">
        <v>35</v>
      </c>
      <c r="F165" t="s">
        <v>36</v>
      </c>
      <c r="G165">
        <v>1141685</v>
      </c>
      <c r="H165" t="s">
        <v>80</v>
      </c>
      <c r="I165" t="s">
        <v>96</v>
      </c>
      <c r="J165" t="s">
        <v>80</v>
      </c>
      <c r="K165" t="s">
        <v>115</v>
      </c>
      <c r="L165" s="1">
        <v>46143</v>
      </c>
      <c r="M165" s="1">
        <v>46173</v>
      </c>
      <c r="N165">
        <v>18.161475082900001</v>
      </c>
      <c r="O165" t="s">
        <v>56</v>
      </c>
      <c r="P165" t="s">
        <v>63</v>
      </c>
      <c r="Q165" t="s">
        <v>2616</v>
      </c>
      <c r="R165" t="s">
        <v>2620</v>
      </c>
      <c r="S165" t="s">
        <v>67</v>
      </c>
      <c r="T165" t="s">
        <v>2894</v>
      </c>
      <c r="U165" t="s">
        <v>2895</v>
      </c>
      <c r="V165">
        <v>16</v>
      </c>
      <c r="W165" s="2">
        <v>3168.4468297991998</v>
      </c>
    </row>
    <row r="166" spans="1:23" x14ac:dyDescent="0.25">
      <c r="A166" t="s">
        <v>31</v>
      </c>
      <c r="B166" t="s">
        <v>32</v>
      </c>
      <c r="C166" t="s">
        <v>33</v>
      </c>
      <c r="D166" t="s">
        <v>34</v>
      </c>
      <c r="E166" t="s">
        <v>35</v>
      </c>
      <c r="F166" t="s">
        <v>36</v>
      </c>
      <c r="G166">
        <v>1141685</v>
      </c>
      <c r="H166" t="s">
        <v>76</v>
      </c>
      <c r="I166" t="s">
        <v>95</v>
      </c>
      <c r="J166" t="s">
        <v>99</v>
      </c>
      <c r="K166" t="s">
        <v>109</v>
      </c>
      <c r="L166" s="1">
        <v>46143</v>
      </c>
      <c r="M166" s="1">
        <v>46173</v>
      </c>
      <c r="N166">
        <v>178</v>
      </c>
      <c r="O166" t="s">
        <v>58</v>
      </c>
      <c r="P166" t="s">
        <v>63</v>
      </c>
      <c r="Q166" t="s">
        <v>2635</v>
      </c>
      <c r="R166" t="s">
        <v>2617</v>
      </c>
      <c r="S166" t="s">
        <v>67</v>
      </c>
      <c r="T166" t="s">
        <v>2636</v>
      </c>
      <c r="U166" t="s">
        <v>2637</v>
      </c>
      <c r="V166">
        <v>16</v>
      </c>
      <c r="W166" s="2">
        <v>0</v>
      </c>
    </row>
    <row r="167" spans="1:23" x14ac:dyDescent="0.25">
      <c r="A167" t="s">
        <v>31</v>
      </c>
      <c r="B167" t="s">
        <v>32</v>
      </c>
      <c r="C167" t="s">
        <v>33</v>
      </c>
      <c r="D167" t="s">
        <v>34</v>
      </c>
      <c r="E167" t="s">
        <v>35</v>
      </c>
      <c r="F167" t="s">
        <v>36</v>
      </c>
      <c r="G167">
        <v>1141685</v>
      </c>
      <c r="H167" t="s">
        <v>76</v>
      </c>
      <c r="I167" t="s">
        <v>95</v>
      </c>
      <c r="J167" t="s">
        <v>99</v>
      </c>
      <c r="K167" t="s">
        <v>109</v>
      </c>
      <c r="L167" s="1">
        <v>46143</v>
      </c>
      <c r="M167" s="1">
        <v>46173</v>
      </c>
      <c r="N167">
        <v>178</v>
      </c>
      <c r="O167" t="s">
        <v>58</v>
      </c>
      <c r="P167" t="s">
        <v>63</v>
      </c>
      <c r="Q167" t="s">
        <v>2635</v>
      </c>
      <c r="R167" t="s">
        <v>2620</v>
      </c>
      <c r="S167" t="s">
        <v>67</v>
      </c>
      <c r="T167" t="s">
        <v>2779</v>
      </c>
      <c r="U167" t="s">
        <v>2780</v>
      </c>
      <c r="V167">
        <v>16</v>
      </c>
      <c r="W167" s="2">
        <v>0</v>
      </c>
    </row>
    <row r="168" spans="1:23" x14ac:dyDescent="0.25">
      <c r="A168" t="s">
        <v>31</v>
      </c>
      <c r="B168" t="s">
        <v>32</v>
      </c>
      <c r="C168" t="s">
        <v>33</v>
      </c>
      <c r="D168" t="s">
        <v>34</v>
      </c>
      <c r="E168" t="s">
        <v>35</v>
      </c>
      <c r="F168" t="s">
        <v>36</v>
      </c>
      <c r="G168">
        <v>1141685</v>
      </c>
      <c r="H168" t="s">
        <v>77</v>
      </c>
      <c r="I168" t="s">
        <v>96</v>
      </c>
      <c r="J168" t="s">
        <v>77</v>
      </c>
      <c r="K168" t="s">
        <v>111</v>
      </c>
      <c r="L168" s="1">
        <v>46143</v>
      </c>
      <c r="M168" s="1">
        <v>46173</v>
      </c>
      <c r="N168">
        <v>1.111813E-4</v>
      </c>
      <c r="O168" t="s">
        <v>56</v>
      </c>
      <c r="P168" t="s">
        <v>63</v>
      </c>
      <c r="Q168" t="s">
        <v>2616</v>
      </c>
      <c r="R168" t="s">
        <v>2620</v>
      </c>
      <c r="S168" t="s">
        <v>67</v>
      </c>
      <c r="T168" t="s">
        <v>2896</v>
      </c>
      <c r="U168" t="s">
        <v>2897</v>
      </c>
      <c r="V168">
        <v>16</v>
      </c>
      <c r="W168" s="2">
        <v>1.70690849E-2</v>
      </c>
    </row>
    <row r="169" spans="1:23" x14ac:dyDescent="0.25">
      <c r="A169" t="s">
        <v>31</v>
      </c>
      <c r="B169" t="s">
        <v>32</v>
      </c>
      <c r="C169" t="s">
        <v>33</v>
      </c>
      <c r="D169" t="s">
        <v>34</v>
      </c>
      <c r="E169" t="s">
        <v>35</v>
      </c>
      <c r="F169" t="s">
        <v>36</v>
      </c>
      <c r="G169">
        <v>1141685</v>
      </c>
      <c r="H169" t="s">
        <v>77</v>
      </c>
      <c r="I169" t="s">
        <v>96</v>
      </c>
      <c r="J169" t="s">
        <v>77</v>
      </c>
      <c r="K169" t="s">
        <v>111</v>
      </c>
      <c r="L169" s="1">
        <v>46143</v>
      </c>
      <c r="M169" s="1">
        <v>46173</v>
      </c>
      <c r="N169">
        <v>4.9227849000000002E-3</v>
      </c>
      <c r="O169" t="s">
        <v>56</v>
      </c>
      <c r="P169" t="s">
        <v>63</v>
      </c>
      <c r="Q169" t="s">
        <v>2616</v>
      </c>
      <c r="R169" t="s">
        <v>2620</v>
      </c>
      <c r="S169" t="s">
        <v>67</v>
      </c>
      <c r="T169" t="s">
        <v>2898</v>
      </c>
      <c r="U169" t="s">
        <v>2899</v>
      </c>
      <c r="V169">
        <v>16</v>
      </c>
      <c r="W169" s="2">
        <v>0.85576956179999997</v>
      </c>
    </row>
    <row r="170" spans="1:23" x14ac:dyDescent="0.25">
      <c r="A170" t="s">
        <v>31</v>
      </c>
      <c r="B170" t="s">
        <v>32</v>
      </c>
      <c r="C170" t="s">
        <v>33</v>
      </c>
      <c r="D170" t="s">
        <v>34</v>
      </c>
      <c r="E170" t="s">
        <v>35</v>
      </c>
      <c r="F170" t="s">
        <v>36</v>
      </c>
      <c r="G170">
        <v>1141685</v>
      </c>
      <c r="H170" t="s">
        <v>77</v>
      </c>
      <c r="I170" t="s">
        <v>96</v>
      </c>
      <c r="J170" t="s">
        <v>77</v>
      </c>
      <c r="K170" t="s">
        <v>111</v>
      </c>
      <c r="L170" s="1">
        <v>46143</v>
      </c>
      <c r="M170" s="1">
        <v>46173</v>
      </c>
      <c r="N170">
        <v>5.03E-8</v>
      </c>
      <c r="O170" t="s">
        <v>56</v>
      </c>
      <c r="P170" t="s">
        <v>63</v>
      </c>
      <c r="Q170" t="s">
        <v>2616</v>
      </c>
      <c r="R170" t="s">
        <v>2620</v>
      </c>
      <c r="S170" t="s">
        <v>67</v>
      </c>
      <c r="T170" t="s">
        <v>2900</v>
      </c>
      <c r="U170" t="s">
        <v>2901</v>
      </c>
      <c r="V170">
        <v>16</v>
      </c>
      <c r="W170" s="2">
        <v>7.7208999999999992E-6</v>
      </c>
    </row>
    <row r="171" spans="1:23" x14ac:dyDescent="0.25">
      <c r="A171" t="s">
        <v>31</v>
      </c>
      <c r="B171" t="s">
        <v>32</v>
      </c>
      <c r="C171" t="s">
        <v>33</v>
      </c>
      <c r="D171" t="s">
        <v>34</v>
      </c>
      <c r="E171" t="s">
        <v>35</v>
      </c>
      <c r="F171" t="s">
        <v>36</v>
      </c>
      <c r="G171">
        <v>1141685</v>
      </c>
      <c r="H171" t="s">
        <v>77</v>
      </c>
      <c r="I171" t="s">
        <v>96</v>
      </c>
      <c r="J171" t="s">
        <v>77</v>
      </c>
      <c r="K171" t="s">
        <v>113</v>
      </c>
      <c r="L171" s="1">
        <v>46143</v>
      </c>
      <c r="M171" s="1">
        <v>46173</v>
      </c>
      <c r="N171">
        <v>1.47517547E-2</v>
      </c>
      <c r="O171" t="s">
        <v>56</v>
      </c>
      <c r="P171" t="s">
        <v>63</v>
      </c>
      <c r="Q171" t="s">
        <v>2662</v>
      </c>
      <c r="R171" t="s">
        <v>2795</v>
      </c>
      <c r="S171" t="s">
        <v>67</v>
      </c>
      <c r="T171" t="s">
        <v>2902</v>
      </c>
      <c r="U171" t="s">
        <v>2903</v>
      </c>
      <c r="V171">
        <v>7</v>
      </c>
      <c r="W171" s="2">
        <v>2.5747601898000001</v>
      </c>
    </row>
    <row r="172" spans="1:23" x14ac:dyDescent="0.25">
      <c r="A172" t="s">
        <v>31</v>
      </c>
      <c r="B172" t="s">
        <v>32</v>
      </c>
      <c r="C172" t="s">
        <v>33</v>
      </c>
      <c r="D172" t="s">
        <v>34</v>
      </c>
      <c r="E172" t="s">
        <v>35</v>
      </c>
      <c r="F172" t="s">
        <v>36</v>
      </c>
      <c r="G172">
        <v>1141685</v>
      </c>
      <c r="H172" t="s">
        <v>1351</v>
      </c>
      <c r="I172" t="s">
        <v>1353</v>
      </c>
      <c r="J172" t="s">
        <v>1351</v>
      </c>
      <c r="K172" t="s">
        <v>2696</v>
      </c>
      <c r="L172" s="1">
        <v>46143</v>
      </c>
      <c r="M172" s="1">
        <v>46173</v>
      </c>
      <c r="N172">
        <v>0.115708751</v>
      </c>
      <c r="O172" t="s">
        <v>56</v>
      </c>
      <c r="P172" t="s">
        <v>63</v>
      </c>
      <c r="Q172" t="s">
        <v>2662</v>
      </c>
      <c r="R172" t="s">
        <v>2663</v>
      </c>
      <c r="S172" t="s">
        <v>68</v>
      </c>
      <c r="T172" t="s">
        <v>2904</v>
      </c>
      <c r="U172" t="s">
        <v>2905</v>
      </c>
      <c r="V172">
        <v>8</v>
      </c>
      <c r="W172" s="2">
        <v>322.9866056884</v>
      </c>
    </row>
    <row r="173" spans="1:23" x14ac:dyDescent="0.25">
      <c r="A173" t="s">
        <v>31</v>
      </c>
      <c r="B173" t="s">
        <v>32</v>
      </c>
      <c r="C173" t="s">
        <v>33</v>
      </c>
      <c r="D173" t="s">
        <v>34</v>
      </c>
      <c r="E173" t="s">
        <v>35</v>
      </c>
      <c r="F173" t="s">
        <v>36</v>
      </c>
      <c r="G173">
        <v>1141685</v>
      </c>
      <c r="H173" t="s">
        <v>1351</v>
      </c>
      <c r="I173" t="s">
        <v>1353</v>
      </c>
      <c r="J173" t="s">
        <v>1351</v>
      </c>
      <c r="K173" t="s">
        <v>1356</v>
      </c>
      <c r="L173" s="1">
        <v>46143</v>
      </c>
      <c r="M173" s="1">
        <v>46173</v>
      </c>
      <c r="N173">
        <v>9.6080000000000005</v>
      </c>
      <c r="O173" t="s">
        <v>59</v>
      </c>
      <c r="P173" t="s">
        <v>63</v>
      </c>
      <c r="Q173" t="s">
        <v>2662</v>
      </c>
      <c r="R173" t="s">
        <v>2663</v>
      </c>
      <c r="S173" t="s">
        <v>68</v>
      </c>
      <c r="T173" t="s">
        <v>2906</v>
      </c>
      <c r="U173" t="s">
        <v>2907</v>
      </c>
      <c r="V173">
        <v>8</v>
      </c>
      <c r="W173" s="2">
        <v>2514.3194176000002</v>
      </c>
    </row>
    <row r="174" spans="1:23" x14ac:dyDescent="0.25">
      <c r="A174" t="s">
        <v>31</v>
      </c>
      <c r="B174" t="s">
        <v>32</v>
      </c>
      <c r="C174" t="s">
        <v>33</v>
      </c>
      <c r="D174" t="s">
        <v>34</v>
      </c>
      <c r="E174" t="s">
        <v>35</v>
      </c>
      <c r="F174" t="s">
        <v>36</v>
      </c>
      <c r="G174">
        <v>1141685</v>
      </c>
      <c r="H174" t="s">
        <v>1351</v>
      </c>
      <c r="I174" t="s">
        <v>1353</v>
      </c>
      <c r="J174" t="s">
        <v>1351</v>
      </c>
      <c r="K174" t="s">
        <v>1357</v>
      </c>
      <c r="L174" s="1">
        <v>46143</v>
      </c>
      <c r="M174" s="1">
        <v>46173</v>
      </c>
      <c r="N174">
        <v>2.5323553130000001</v>
      </c>
      <c r="O174" t="s">
        <v>56</v>
      </c>
      <c r="P174" t="s">
        <v>63</v>
      </c>
      <c r="Q174" t="s">
        <v>2662</v>
      </c>
      <c r="R174" t="s">
        <v>2663</v>
      </c>
      <c r="S174" t="s">
        <v>68</v>
      </c>
      <c r="T174" t="s">
        <v>2908</v>
      </c>
      <c r="U174" t="s">
        <v>2909</v>
      </c>
      <c r="V174">
        <v>8</v>
      </c>
      <c r="W174" s="2">
        <v>3644.8095793959001</v>
      </c>
    </row>
    <row r="175" spans="1:23" x14ac:dyDescent="0.25">
      <c r="A175" t="s">
        <v>31</v>
      </c>
      <c r="B175" t="s">
        <v>32</v>
      </c>
      <c r="C175" t="s">
        <v>33</v>
      </c>
      <c r="D175" t="s">
        <v>34</v>
      </c>
      <c r="E175" t="s">
        <v>35</v>
      </c>
      <c r="F175" t="s">
        <v>36</v>
      </c>
      <c r="G175">
        <v>1141685</v>
      </c>
      <c r="H175" t="s">
        <v>1351</v>
      </c>
      <c r="I175" t="s">
        <v>1353</v>
      </c>
      <c r="J175" t="s">
        <v>1351</v>
      </c>
      <c r="K175" t="s">
        <v>2696</v>
      </c>
      <c r="L175" s="1">
        <v>46143</v>
      </c>
      <c r="M175" s="1">
        <v>46173</v>
      </c>
      <c r="N175">
        <v>2.5420755999999999E-2</v>
      </c>
      <c r="O175" t="s">
        <v>56</v>
      </c>
      <c r="P175" t="s">
        <v>63</v>
      </c>
      <c r="Q175" t="s">
        <v>2662</v>
      </c>
      <c r="R175" t="s">
        <v>2663</v>
      </c>
      <c r="S175" t="s">
        <v>68</v>
      </c>
      <c r="T175" t="s">
        <v>2910</v>
      </c>
      <c r="U175" t="s">
        <v>2911</v>
      </c>
      <c r="V175">
        <v>8</v>
      </c>
      <c r="W175" s="2">
        <v>26.606298884499999</v>
      </c>
    </row>
    <row r="176" spans="1:23" x14ac:dyDescent="0.25">
      <c r="A176" t="s">
        <v>31</v>
      </c>
      <c r="B176" t="s">
        <v>32</v>
      </c>
      <c r="C176" t="s">
        <v>33</v>
      </c>
      <c r="D176" t="s">
        <v>34</v>
      </c>
      <c r="E176" t="s">
        <v>35</v>
      </c>
      <c r="F176" t="s">
        <v>36</v>
      </c>
      <c r="G176">
        <v>1141685</v>
      </c>
      <c r="H176" t="s">
        <v>76</v>
      </c>
      <c r="I176" t="s">
        <v>95</v>
      </c>
      <c r="J176" t="s">
        <v>99</v>
      </c>
      <c r="K176" t="s">
        <v>109</v>
      </c>
      <c r="L176" s="1">
        <v>46143</v>
      </c>
      <c r="M176" s="1">
        <v>46173</v>
      </c>
      <c r="N176">
        <v>76</v>
      </c>
      <c r="O176" t="s">
        <v>58</v>
      </c>
      <c r="P176" t="s">
        <v>63</v>
      </c>
      <c r="Q176" t="s">
        <v>2635</v>
      </c>
      <c r="R176" t="s">
        <v>2620</v>
      </c>
      <c r="S176" t="s">
        <v>67</v>
      </c>
      <c r="T176" t="s">
        <v>2646</v>
      </c>
      <c r="U176" t="s">
        <v>2647</v>
      </c>
      <c r="V176">
        <v>16</v>
      </c>
      <c r="W176" s="2">
        <v>0</v>
      </c>
    </row>
    <row r="177" spans="1:23" x14ac:dyDescent="0.25">
      <c r="A177" t="s">
        <v>31</v>
      </c>
      <c r="B177" t="s">
        <v>32</v>
      </c>
      <c r="C177" t="s">
        <v>33</v>
      </c>
      <c r="D177" t="s">
        <v>34</v>
      </c>
      <c r="E177" t="s">
        <v>35</v>
      </c>
      <c r="F177" t="s">
        <v>36</v>
      </c>
      <c r="G177">
        <v>1141685</v>
      </c>
      <c r="H177" t="s">
        <v>76</v>
      </c>
      <c r="I177" t="s">
        <v>95</v>
      </c>
      <c r="J177" t="s">
        <v>99</v>
      </c>
      <c r="K177" t="s">
        <v>109</v>
      </c>
      <c r="L177" s="1">
        <v>46143</v>
      </c>
      <c r="M177" s="1">
        <v>46173</v>
      </c>
      <c r="N177">
        <v>360</v>
      </c>
      <c r="O177" t="s">
        <v>58</v>
      </c>
      <c r="P177" t="s">
        <v>63</v>
      </c>
      <c r="Q177" t="s">
        <v>2635</v>
      </c>
      <c r="R177" t="s">
        <v>2620</v>
      </c>
      <c r="S177" t="s">
        <v>67</v>
      </c>
      <c r="T177" t="s">
        <v>2646</v>
      </c>
      <c r="U177" t="s">
        <v>2647</v>
      </c>
      <c r="V177">
        <v>16</v>
      </c>
      <c r="W177" s="2">
        <v>0</v>
      </c>
    </row>
    <row r="178" spans="1:23" x14ac:dyDescent="0.25">
      <c r="A178" t="s">
        <v>31</v>
      </c>
      <c r="B178" t="s">
        <v>32</v>
      </c>
      <c r="C178" t="s">
        <v>33</v>
      </c>
      <c r="D178" t="s">
        <v>34</v>
      </c>
      <c r="E178" t="s">
        <v>35</v>
      </c>
      <c r="F178" t="s">
        <v>36</v>
      </c>
      <c r="G178">
        <v>1141685</v>
      </c>
      <c r="H178" t="s">
        <v>79</v>
      </c>
      <c r="I178" t="s">
        <v>94</v>
      </c>
      <c r="J178" t="s">
        <v>101</v>
      </c>
      <c r="K178" t="s">
        <v>114</v>
      </c>
      <c r="L178" s="1">
        <v>46143</v>
      </c>
      <c r="M178" s="1">
        <v>46173</v>
      </c>
      <c r="N178">
        <v>8.5279300000000002E-5</v>
      </c>
      <c r="O178" t="s">
        <v>56</v>
      </c>
      <c r="P178" t="s">
        <v>63</v>
      </c>
      <c r="Q178" t="s">
        <v>2616</v>
      </c>
      <c r="R178" t="s">
        <v>2620</v>
      </c>
      <c r="S178" t="s">
        <v>67</v>
      </c>
      <c r="T178" t="s">
        <v>2912</v>
      </c>
      <c r="U178" t="s">
        <v>2913</v>
      </c>
      <c r="V178">
        <v>16</v>
      </c>
      <c r="W178" s="2">
        <v>0.1147399556</v>
      </c>
    </row>
    <row r="179" spans="1:23" x14ac:dyDescent="0.25">
      <c r="A179" t="s">
        <v>31</v>
      </c>
      <c r="B179" t="s">
        <v>32</v>
      </c>
      <c r="C179" t="s">
        <v>33</v>
      </c>
      <c r="D179" t="s">
        <v>34</v>
      </c>
      <c r="E179" t="s">
        <v>35</v>
      </c>
      <c r="F179" t="s">
        <v>36</v>
      </c>
      <c r="G179">
        <v>1141685</v>
      </c>
      <c r="H179" t="s">
        <v>79</v>
      </c>
      <c r="I179" t="s">
        <v>94</v>
      </c>
      <c r="J179" t="s">
        <v>101</v>
      </c>
      <c r="K179" t="s">
        <v>114</v>
      </c>
      <c r="L179" s="1">
        <v>46143</v>
      </c>
      <c r="M179" s="1">
        <v>46173</v>
      </c>
      <c r="N179">
        <v>9.4751639999999995E-4</v>
      </c>
      <c r="O179" t="s">
        <v>56</v>
      </c>
      <c r="P179" t="s">
        <v>63</v>
      </c>
      <c r="Q179" t="s">
        <v>2616</v>
      </c>
      <c r="R179" t="s">
        <v>2620</v>
      </c>
      <c r="S179" t="s">
        <v>67</v>
      </c>
      <c r="T179" t="s">
        <v>2914</v>
      </c>
      <c r="U179" t="s">
        <v>2915</v>
      </c>
      <c r="V179">
        <v>16</v>
      </c>
      <c r="W179" s="2">
        <v>1.3237381401999999</v>
      </c>
    </row>
    <row r="180" spans="1:23" x14ac:dyDescent="0.25">
      <c r="A180" t="s">
        <v>31</v>
      </c>
      <c r="B180" t="s">
        <v>32</v>
      </c>
      <c r="C180" t="s">
        <v>33</v>
      </c>
      <c r="D180" t="s">
        <v>34</v>
      </c>
      <c r="E180" t="s">
        <v>35</v>
      </c>
      <c r="F180" t="s">
        <v>36</v>
      </c>
      <c r="G180">
        <v>1141685</v>
      </c>
      <c r="H180" t="s">
        <v>79</v>
      </c>
      <c r="I180" t="s">
        <v>94</v>
      </c>
      <c r="J180" t="s">
        <v>101</v>
      </c>
      <c r="K180" t="s">
        <v>114</v>
      </c>
      <c r="L180" s="1">
        <v>46143</v>
      </c>
      <c r="M180" s="1">
        <v>46173</v>
      </c>
      <c r="N180">
        <v>3.4729466E-3</v>
      </c>
      <c r="O180" t="s">
        <v>56</v>
      </c>
      <c r="P180" t="s">
        <v>63</v>
      </c>
      <c r="Q180" t="s">
        <v>2616</v>
      </c>
      <c r="R180" t="s">
        <v>2620</v>
      </c>
      <c r="S180" t="s">
        <v>67</v>
      </c>
      <c r="T180" t="s">
        <v>2916</v>
      </c>
      <c r="U180" t="s">
        <v>2917</v>
      </c>
      <c r="V180">
        <v>16</v>
      </c>
      <c r="W180" s="2">
        <v>4.8454674367999999</v>
      </c>
    </row>
    <row r="181" spans="1:23" x14ac:dyDescent="0.25">
      <c r="A181" t="s">
        <v>31</v>
      </c>
      <c r="B181" t="s">
        <v>32</v>
      </c>
      <c r="C181" t="s">
        <v>33</v>
      </c>
      <c r="D181" t="s">
        <v>34</v>
      </c>
      <c r="E181" t="s">
        <v>35</v>
      </c>
      <c r="F181" t="s">
        <v>36</v>
      </c>
      <c r="G181">
        <v>1141685</v>
      </c>
      <c r="H181" t="s">
        <v>79</v>
      </c>
      <c r="I181" t="s">
        <v>94</v>
      </c>
      <c r="J181" t="s">
        <v>101</v>
      </c>
      <c r="K181" t="s">
        <v>114</v>
      </c>
      <c r="L181" s="1">
        <v>46143</v>
      </c>
      <c r="M181" s="1">
        <v>46173</v>
      </c>
      <c r="N181">
        <v>27.622735683799998</v>
      </c>
      <c r="O181" t="s">
        <v>56</v>
      </c>
      <c r="P181" t="s">
        <v>63</v>
      </c>
      <c r="Q181" t="s">
        <v>2616</v>
      </c>
      <c r="R181" t="s">
        <v>2620</v>
      </c>
      <c r="S181" t="s">
        <v>67</v>
      </c>
      <c r="T181" t="s">
        <v>2918</v>
      </c>
      <c r="U181" t="s">
        <v>2919</v>
      </c>
      <c r="V181">
        <v>16</v>
      </c>
      <c r="W181" s="2">
        <v>38552.499770470997</v>
      </c>
    </row>
    <row r="182" spans="1:23" x14ac:dyDescent="0.25">
      <c r="A182" t="s">
        <v>31</v>
      </c>
      <c r="B182" t="s">
        <v>32</v>
      </c>
      <c r="C182" t="s">
        <v>33</v>
      </c>
      <c r="D182" t="s">
        <v>34</v>
      </c>
      <c r="E182" t="s">
        <v>35</v>
      </c>
      <c r="F182" t="s">
        <v>36</v>
      </c>
      <c r="G182">
        <v>1141685</v>
      </c>
      <c r="H182" t="s">
        <v>79</v>
      </c>
      <c r="I182" t="s">
        <v>94</v>
      </c>
      <c r="J182" t="s">
        <v>101</v>
      </c>
      <c r="K182" t="s">
        <v>114</v>
      </c>
      <c r="L182" s="1">
        <v>46143</v>
      </c>
      <c r="M182" s="1">
        <v>46173</v>
      </c>
      <c r="N182">
        <v>2.8901630999999999E-3</v>
      </c>
      <c r="O182" t="s">
        <v>56</v>
      </c>
      <c r="P182" t="s">
        <v>63</v>
      </c>
      <c r="Q182" t="s">
        <v>2616</v>
      </c>
      <c r="R182" t="s">
        <v>2617</v>
      </c>
      <c r="S182" t="s">
        <v>67</v>
      </c>
      <c r="T182" t="s">
        <v>2920</v>
      </c>
      <c r="U182" t="s">
        <v>2921</v>
      </c>
      <c r="V182">
        <v>16</v>
      </c>
      <c r="W182" s="2">
        <v>4.0296936946000006</v>
      </c>
    </row>
    <row r="183" spans="1:23" x14ac:dyDescent="0.25">
      <c r="A183" t="s">
        <v>31</v>
      </c>
      <c r="B183" t="s">
        <v>32</v>
      </c>
      <c r="C183" t="s">
        <v>33</v>
      </c>
      <c r="D183" t="s">
        <v>34</v>
      </c>
      <c r="E183" t="s">
        <v>35</v>
      </c>
      <c r="F183" t="s">
        <v>36</v>
      </c>
      <c r="G183">
        <v>1141685</v>
      </c>
      <c r="H183" t="s">
        <v>79</v>
      </c>
      <c r="I183" t="s">
        <v>94</v>
      </c>
      <c r="J183" t="s">
        <v>101</v>
      </c>
      <c r="K183" t="s">
        <v>114</v>
      </c>
      <c r="L183" s="1">
        <v>46143</v>
      </c>
      <c r="M183" s="1">
        <v>46173</v>
      </c>
      <c r="N183">
        <v>2.5778999999999999E-6</v>
      </c>
      <c r="O183" t="s">
        <v>56</v>
      </c>
      <c r="P183" t="s">
        <v>63</v>
      </c>
      <c r="Q183" t="s">
        <v>2616</v>
      </c>
      <c r="R183" t="s">
        <v>2620</v>
      </c>
      <c r="S183" t="s">
        <v>67</v>
      </c>
      <c r="T183" t="s">
        <v>2922</v>
      </c>
      <c r="U183" t="s">
        <v>2923</v>
      </c>
      <c r="V183">
        <v>16</v>
      </c>
      <c r="W183" s="2">
        <v>3.1661736999999998E-3</v>
      </c>
    </row>
    <row r="184" spans="1:23" x14ac:dyDescent="0.25">
      <c r="A184" t="s">
        <v>31</v>
      </c>
      <c r="B184" t="s">
        <v>32</v>
      </c>
      <c r="C184" t="s">
        <v>33</v>
      </c>
      <c r="D184" t="s">
        <v>34</v>
      </c>
      <c r="E184" t="s">
        <v>35</v>
      </c>
      <c r="F184" t="s">
        <v>36</v>
      </c>
      <c r="G184">
        <v>1141685</v>
      </c>
      <c r="H184" t="s">
        <v>79</v>
      </c>
      <c r="I184" t="s">
        <v>94</v>
      </c>
      <c r="J184" t="s">
        <v>101</v>
      </c>
      <c r="K184" t="s">
        <v>114</v>
      </c>
      <c r="L184" s="1">
        <v>46143</v>
      </c>
      <c r="M184" s="1">
        <v>46173</v>
      </c>
      <c r="N184">
        <v>2.7274322000000002E-3</v>
      </c>
      <c r="O184" t="s">
        <v>56</v>
      </c>
      <c r="P184" t="s">
        <v>63</v>
      </c>
      <c r="Q184" t="s">
        <v>2616</v>
      </c>
      <c r="R184" t="s">
        <v>2620</v>
      </c>
      <c r="S184" t="s">
        <v>67</v>
      </c>
      <c r="T184" t="s">
        <v>2924</v>
      </c>
      <c r="U184" t="s">
        <v>2925</v>
      </c>
      <c r="V184">
        <v>16</v>
      </c>
      <c r="W184" s="2">
        <v>3.8098278330999999</v>
      </c>
    </row>
    <row r="185" spans="1:23" x14ac:dyDescent="0.25">
      <c r="A185" t="s">
        <v>31</v>
      </c>
      <c r="B185" t="s">
        <v>32</v>
      </c>
      <c r="C185" t="s">
        <v>33</v>
      </c>
      <c r="D185" t="s">
        <v>34</v>
      </c>
      <c r="E185" t="s">
        <v>35</v>
      </c>
      <c r="F185" t="s">
        <v>36</v>
      </c>
      <c r="G185">
        <v>1141685</v>
      </c>
      <c r="H185" t="s">
        <v>1351</v>
      </c>
      <c r="I185" t="s">
        <v>1353</v>
      </c>
      <c r="J185" t="s">
        <v>1351</v>
      </c>
      <c r="K185" t="s">
        <v>2696</v>
      </c>
      <c r="L185" s="1">
        <v>46143</v>
      </c>
      <c r="M185" s="1">
        <v>46173</v>
      </c>
      <c r="N185">
        <v>7.5368600000000003E-3</v>
      </c>
      <c r="O185" t="s">
        <v>56</v>
      </c>
      <c r="P185" t="s">
        <v>63</v>
      </c>
      <c r="Q185" t="s">
        <v>2662</v>
      </c>
      <c r="R185" t="s">
        <v>2663</v>
      </c>
      <c r="S185" t="s">
        <v>68</v>
      </c>
      <c r="T185" t="s">
        <v>2926</v>
      </c>
      <c r="U185" t="s">
        <v>2927</v>
      </c>
      <c r="V185">
        <v>8</v>
      </c>
      <c r="W185" s="2">
        <v>10.516759392999999</v>
      </c>
    </row>
    <row r="186" spans="1:23" x14ac:dyDescent="0.25">
      <c r="A186" t="s">
        <v>31</v>
      </c>
      <c r="B186" t="s">
        <v>32</v>
      </c>
      <c r="C186" t="s">
        <v>33</v>
      </c>
      <c r="D186" t="s">
        <v>34</v>
      </c>
      <c r="E186" t="s">
        <v>35</v>
      </c>
      <c r="F186" t="s">
        <v>36</v>
      </c>
      <c r="G186">
        <v>1141685</v>
      </c>
      <c r="H186" t="s">
        <v>91</v>
      </c>
      <c r="I186" t="s">
        <v>95</v>
      </c>
      <c r="J186" t="s">
        <v>106</v>
      </c>
      <c r="K186" t="s">
        <v>479</v>
      </c>
      <c r="L186" s="1">
        <v>46143</v>
      </c>
      <c r="M186" s="1">
        <v>46173</v>
      </c>
      <c r="N186">
        <v>0.95001800000000003</v>
      </c>
      <c r="O186" t="s">
        <v>58</v>
      </c>
      <c r="P186" t="s">
        <v>63</v>
      </c>
      <c r="Q186" t="s">
        <v>2635</v>
      </c>
      <c r="R186" t="s">
        <v>2620</v>
      </c>
      <c r="S186" t="s">
        <v>67</v>
      </c>
      <c r="T186" t="s">
        <v>2928</v>
      </c>
      <c r="U186" t="s">
        <v>2929</v>
      </c>
      <c r="V186">
        <v>16</v>
      </c>
      <c r="W186" s="2">
        <v>4143.5030861599998</v>
      </c>
    </row>
    <row r="187" spans="1:23" x14ac:dyDescent="0.25">
      <c r="A187" t="s">
        <v>31</v>
      </c>
      <c r="B187" t="s">
        <v>32</v>
      </c>
      <c r="C187" t="s">
        <v>33</v>
      </c>
      <c r="D187" t="s">
        <v>34</v>
      </c>
      <c r="E187" t="s">
        <v>35</v>
      </c>
      <c r="F187" t="s">
        <v>36</v>
      </c>
      <c r="G187">
        <v>1141685</v>
      </c>
      <c r="H187" t="s">
        <v>91</v>
      </c>
      <c r="I187" t="s">
        <v>95</v>
      </c>
      <c r="J187" t="s">
        <v>106</v>
      </c>
      <c r="K187" t="s">
        <v>479</v>
      </c>
      <c r="L187" s="1">
        <v>46143</v>
      </c>
      <c r="M187" s="1">
        <v>46173</v>
      </c>
      <c r="N187">
        <v>0.16666900000000001</v>
      </c>
      <c r="O187" t="s">
        <v>58</v>
      </c>
      <c r="P187" t="s">
        <v>63</v>
      </c>
      <c r="Q187" t="s">
        <v>2635</v>
      </c>
      <c r="R187" t="s">
        <v>2620</v>
      </c>
      <c r="S187" t="s">
        <v>67</v>
      </c>
      <c r="T187" t="s">
        <v>2930</v>
      </c>
      <c r="U187" t="s">
        <v>2931</v>
      </c>
      <c r="V187">
        <v>16</v>
      </c>
      <c r="W187" s="2">
        <v>726.92562227999997</v>
      </c>
    </row>
    <row r="188" spans="1:23" x14ac:dyDescent="0.25">
      <c r="A188" t="s">
        <v>31</v>
      </c>
      <c r="B188" t="s">
        <v>32</v>
      </c>
      <c r="C188" t="s">
        <v>33</v>
      </c>
      <c r="D188" t="s">
        <v>34</v>
      </c>
      <c r="E188" t="s">
        <v>35</v>
      </c>
      <c r="F188" t="s">
        <v>36</v>
      </c>
      <c r="G188">
        <v>1141685</v>
      </c>
      <c r="H188" t="s">
        <v>91</v>
      </c>
      <c r="I188" t="s">
        <v>95</v>
      </c>
      <c r="J188" t="s">
        <v>106</v>
      </c>
      <c r="K188" t="s">
        <v>479</v>
      </c>
      <c r="L188" s="1">
        <v>46143</v>
      </c>
      <c r="M188" s="1">
        <v>46173</v>
      </c>
      <c r="N188">
        <v>0.46667500000000001</v>
      </c>
      <c r="O188" t="s">
        <v>58</v>
      </c>
      <c r="P188" t="s">
        <v>63</v>
      </c>
      <c r="Q188" t="s">
        <v>2635</v>
      </c>
      <c r="R188" t="s">
        <v>2620</v>
      </c>
      <c r="S188" t="s">
        <v>67</v>
      </c>
      <c r="T188" t="s">
        <v>2932</v>
      </c>
      <c r="U188" t="s">
        <v>2933</v>
      </c>
      <c r="V188">
        <v>16</v>
      </c>
      <c r="W188" s="2">
        <v>2035.4046510000001</v>
      </c>
    </row>
    <row r="189" spans="1:23" x14ac:dyDescent="0.25">
      <c r="A189" t="s">
        <v>31</v>
      </c>
      <c r="B189" t="s">
        <v>32</v>
      </c>
      <c r="C189" t="s">
        <v>33</v>
      </c>
      <c r="D189" t="s">
        <v>34</v>
      </c>
      <c r="E189" t="s">
        <v>35</v>
      </c>
      <c r="F189" t="s">
        <v>36</v>
      </c>
      <c r="G189">
        <v>1141685</v>
      </c>
      <c r="H189" t="s">
        <v>91</v>
      </c>
      <c r="I189" t="s">
        <v>95</v>
      </c>
      <c r="J189" t="s">
        <v>106</v>
      </c>
      <c r="K189" t="s">
        <v>479</v>
      </c>
      <c r="L189" s="1">
        <v>46143</v>
      </c>
      <c r="M189" s="1">
        <v>46173</v>
      </c>
      <c r="N189">
        <v>0.10000199999999999</v>
      </c>
      <c r="O189" t="s">
        <v>58</v>
      </c>
      <c r="P189" t="s">
        <v>63</v>
      </c>
      <c r="Q189" t="s">
        <v>2635</v>
      </c>
      <c r="R189" t="s">
        <v>2620</v>
      </c>
      <c r="S189" t="s">
        <v>67</v>
      </c>
      <c r="T189" t="s">
        <v>2771</v>
      </c>
      <c r="U189" t="s">
        <v>2772</v>
      </c>
      <c r="V189">
        <v>16</v>
      </c>
      <c r="W189" s="2">
        <v>436.15967624000001</v>
      </c>
    </row>
    <row r="190" spans="1:23" x14ac:dyDescent="0.25">
      <c r="A190" t="s">
        <v>31</v>
      </c>
      <c r="B190" t="s">
        <v>32</v>
      </c>
      <c r="C190" t="s">
        <v>33</v>
      </c>
      <c r="D190" t="s">
        <v>34</v>
      </c>
      <c r="E190" t="s">
        <v>35</v>
      </c>
      <c r="F190" t="s">
        <v>36</v>
      </c>
      <c r="G190">
        <v>1141685</v>
      </c>
      <c r="H190" t="s">
        <v>1351</v>
      </c>
      <c r="I190" t="s">
        <v>1353</v>
      </c>
      <c r="J190" t="s">
        <v>1351</v>
      </c>
      <c r="K190" t="s">
        <v>1357</v>
      </c>
      <c r="L190" s="1">
        <v>46143</v>
      </c>
      <c r="M190" s="1">
        <v>46173</v>
      </c>
      <c r="N190">
        <v>6.204087264</v>
      </c>
      <c r="O190" t="s">
        <v>56</v>
      </c>
      <c r="P190" t="s">
        <v>63</v>
      </c>
      <c r="Q190" t="s">
        <v>2662</v>
      </c>
      <c r="R190" t="s">
        <v>2663</v>
      </c>
      <c r="S190" t="s">
        <v>68</v>
      </c>
      <c r="T190" t="s">
        <v>2934</v>
      </c>
      <c r="U190" t="s">
        <v>2935</v>
      </c>
      <c r="V190">
        <v>8</v>
      </c>
      <c r="W190" s="2">
        <v>8929.5103652010002</v>
      </c>
    </row>
    <row r="191" spans="1:23" x14ac:dyDescent="0.25">
      <c r="A191" t="s">
        <v>31</v>
      </c>
      <c r="B191" t="s">
        <v>32</v>
      </c>
      <c r="C191" t="s">
        <v>33</v>
      </c>
      <c r="D191" t="s">
        <v>34</v>
      </c>
      <c r="E191" t="s">
        <v>35</v>
      </c>
      <c r="F191" t="s">
        <v>36</v>
      </c>
      <c r="G191">
        <v>1141685</v>
      </c>
      <c r="H191" t="s">
        <v>1351</v>
      </c>
      <c r="I191" t="s">
        <v>1353</v>
      </c>
      <c r="J191" t="s">
        <v>1351</v>
      </c>
      <c r="K191" t="s">
        <v>1356</v>
      </c>
      <c r="L191" s="1">
        <v>46143</v>
      </c>
      <c r="M191" s="1">
        <v>46173</v>
      </c>
      <c r="N191">
        <v>0.29339999999999999</v>
      </c>
      <c r="O191" t="s">
        <v>59</v>
      </c>
      <c r="P191" t="s">
        <v>63</v>
      </c>
      <c r="Q191" t="s">
        <v>2662</v>
      </c>
      <c r="R191" t="s">
        <v>2663</v>
      </c>
      <c r="S191" t="s">
        <v>68</v>
      </c>
      <c r="T191" t="s">
        <v>2936</v>
      </c>
      <c r="U191" t="s">
        <v>2937</v>
      </c>
      <c r="V191">
        <v>8</v>
      </c>
      <c r="W191" s="2">
        <v>123.35646493119999</v>
      </c>
    </row>
    <row r="192" spans="1:23" x14ac:dyDescent="0.25">
      <c r="A192" t="s">
        <v>31</v>
      </c>
      <c r="B192" t="s">
        <v>32</v>
      </c>
      <c r="C192" t="s">
        <v>33</v>
      </c>
      <c r="D192" t="s">
        <v>34</v>
      </c>
      <c r="E192" t="s">
        <v>35</v>
      </c>
      <c r="F192" t="s">
        <v>36</v>
      </c>
      <c r="G192">
        <v>1141685</v>
      </c>
      <c r="H192" t="s">
        <v>93</v>
      </c>
      <c r="I192" t="s">
        <v>93</v>
      </c>
      <c r="J192" t="s">
        <v>93</v>
      </c>
      <c r="K192" t="s">
        <v>133</v>
      </c>
      <c r="L192" s="1">
        <v>46143</v>
      </c>
      <c r="M192" s="1">
        <v>46173</v>
      </c>
      <c r="N192">
        <v>743.97283662919995</v>
      </c>
      <c r="O192" t="s">
        <v>58</v>
      </c>
      <c r="P192" t="s">
        <v>63</v>
      </c>
      <c r="Q192" t="s">
        <v>2676</v>
      </c>
      <c r="R192" t="s">
        <v>2938</v>
      </c>
      <c r="S192" t="s">
        <v>67</v>
      </c>
      <c r="T192" t="s">
        <v>2939</v>
      </c>
      <c r="U192" t="s">
        <v>2940</v>
      </c>
      <c r="V192">
        <v>10</v>
      </c>
      <c r="W192" s="2">
        <v>1297935.009489377</v>
      </c>
    </row>
    <row r="193" spans="1:23" x14ac:dyDescent="0.25">
      <c r="A193" t="s">
        <v>31</v>
      </c>
      <c r="B193" t="s">
        <v>32</v>
      </c>
      <c r="C193" t="s">
        <v>33</v>
      </c>
      <c r="D193" t="s">
        <v>34</v>
      </c>
      <c r="E193" t="s">
        <v>35</v>
      </c>
      <c r="F193" t="s">
        <v>36</v>
      </c>
      <c r="G193">
        <v>1141685</v>
      </c>
      <c r="H193" t="s">
        <v>75</v>
      </c>
      <c r="I193" t="s">
        <v>94</v>
      </c>
      <c r="J193" t="s">
        <v>98</v>
      </c>
      <c r="K193" t="s">
        <v>108</v>
      </c>
      <c r="L193" s="1">
        <v>46143</v>
      </c>
      <c r="M193" s="1">
        <v>46173</v>
      </c>
      <c r="N193">
        <v>0.20668483900000001</v>
      </c>
      <c r="O193" t="s">
        <v>56</v>
      </c>
      <c r="P193" t="s">
        <v>63</v>
      </c>
      <c r="Q193" t="s">
        <v>2616</v>
      </c>
      <c r="R193" t="s">
        <v>2620</v>
      </c>
      <c r="S193" t="s">
        <v>67</v>
      </c>
      <c r="T193" t="s">
        <v>2941</v>
      </c>
      <c r="U193" t="s">
        <v>2942</v>
      </c>
      <c r="V193">
        <v>16</v>
      </c>
      <c r="W193" s="2">
        <v>400.26224563929998</v>
      </c>
    </row>
    <row r="194" spans="1:23" x14ac:dyDescent="0.25">
      <c r="A194" t="s">
        <v>31</v>
      </c>
      <c r="B194" t="s">
        <v>32</v>
      </c>
      <c r="C194" t="s">
        <v>33</v>
      </c>
      <c r="D194" t="s">
        <v>34</v>
      </c>
      <c r="E194" t="s">
        <v>35</v>
      </c>
      <c r="F194" t="s">
        <v>36</v>
      </c>
      <c r="G194">
        <v>1141685</v>
      </c>
      <c r="H194" t="s">
        <v>75</v>
      </c>
      <c r="I194" t="s">
        <v>94</v>
      </c>
      <c r="J194" t="s">
        <v>98</v>
      </c>
      <c r="K194" t="s">
        <v>108</v>
      </c>
      <c r="L194" s="1">
        <v>46143</v>
      </c>
      <c r="M194" s="1">
        <v>46173</v>
      </c>
      <c r="N194">
        <v>0.224503913</v>
      </c>
      <c r="O194" t="s">
        <v>56</v>
      </c>
      <c r="P194" t="s">
        <v>63</v>
      </c>
      <c r="Q194" t="s">
        <v>2616</v>
      </c>
      <c r="R194" t="s">
        <v>2620</v>
      </c>
      <c r="S194" t="s">
        <v>67</v>
      </c>
      <c r="T194" t="s">
        <v>2943</v>
      </c>
      <c r="U194" t="s">
        <v>2944</v>
      </c>
      <c r="V194">
        <v>16</v>
      </c>
      <c r="W194" s="2">
        <v>470.00302004029999</v>
      </c>
    </row>
    <row r="195" spans="1:23" x14ac:dyDescent="0.25">
      <c r="A195" t="s">
        <v>31</v>
      </c>
      <c r="B195" t="s">
        <v>32</v>
      </c>
      <c r="C195" t="s">
        <v>33</v>
      </c>
      <c r="D195" t="s">
        <v>34</v>
      </c>
      <c r="E195" t="s">
        <v>35</v>
      </c>
      <c r="F195" t="s">
        <v>36</v>
      </c>
      <c r="G195">
        <v>1141685</v>
      </c>
      <c r="H195" t="s">
        <v>77</v>
      </c>
      <c r="I195" t="s">
        <v>96</v>
      </c>
      <c r="J195" t="s">
        <v>77</v>
      </c>
      <c r="K195" t="s">
        <v>111</v>
      </c>
      <c r="L195" s="1">
        <v>46143</v>
      </c>
      <c r="M195" s="1">
        <v>46173</v>
      </c>
      <c r="N195">
        <v>6.2336166999999998E-3</v>
      </c>
      <c r="O195" t="s">
        <v>56</v>
      </c>
      <c r="P195" t="s">
        <v>63</v>
      </c>
      <c r="Q195" t="s">
        <v>2662</v>
      </c>
      <c r="R195" t="s">
        <v>2795</v>
      </c>
      <c r="S195" t="s">
        <v>67</v>
      </c>
      <c r="T195" t="s">
        <v>2945</v>
      </c>
      <c r="U195" t="s">
        <v>2946</v>
      </c>
      <c r="V195">
        <v>7</v>
      </c>
      <c r="W195" s="2">
        <v>1.0870147615000001</v>
      </c>
    </row>
    <row r="196" spans="1:23" x14ac:dyDescent="0.25">
      <c r="A196" t="s">
        <v>31</v>
      </c>
      <c r="B196" t="s">
        <v>32</v>
      </c>
      <c r="C196" t="s">
        <v>33</v>
      </c>
      <c r="D196" t="s">
        <v>34</v>
      </c>
      <c r="E196" t="s">
        <v>35</v>
      </c>
      <c r="F196" t="s">
        <v>36</v>
      </c>
      <c r="G196">
        <v>1141685</v>
      </c>
      <c r="H196" t="s">
        <v>87</v>
      </c>
      <c r="I196" t="s">
        <v>87</v>
      </c>
      <c r="J196" t="s">
        <v>87</v>
      </c>
      <c r="K196" t="s">
        <v>2947</v>
      </c>
      <c r="L196" s="1">
        <v>46143</v>
      </c>
      <c r="M196" s="1">
        <v>46173</v>
      </c>
      <c r="N196">
        <v>4464</v>
      </c>
      <c r="O196" t="s">
        <v>2948</v>
      </c>
      <c r="P196" t="s">
        <v>63</v>
      </c>
      <c r="Q196" t="s">
        <v>2616</v>
      </c>
      <c r="R196" t="s">
        <v>158</v>
      </c>
      <c r="S196" t="s">
        <v>67</v>
      </c>
      <c r="T196" t="s">
        <v>2949</v>
      </c>
      <c r="U196" t="s">
        <v>2950</v>
      </c>
      <c r="V196">
        <v>12</v>
      </c>
      <c r="W196" s="2">
        <v>778789.43719999993</v>
      </c>
    </row>
    <row r="197" spans="1:23" x14ac:dyDescent="0.25">
      <c r="A197" t="s">
        <v>31</v>
      </c>
      <c r="B197" t="s">
        <v>32</v>
      </c>
      <c r="C197" t="s">
        <v>33</v>
      </c>
      <c r="D197" t="s">
        <v>34</v>
      </c>
      <c r="E197" t="s">
        <v>35</v>
      </c>
      <c r="F197" t="s">
        <v>36</v>
      </c>
      <c r="G197">
        <v>1141685</v>
      </c>
      <c r="H197" t="s">
        <v>75</v>
      </c>
      <c r="I197" t="s">
        <v>94</v>
      </c>
      <c r="J197" t="s">
        <v>98</v>
      </c>
      <c r="K197" t="s">
        <v>108</v>
      </c>
      <c r="L197" s="1">
        <v>46143</v>
      </c>
      <c r="M197" s="1">
        <v>46173</v>
      </c>
      <c r="N197">
        <v>0.14210160359999999</v>
      </c>
      <c r="O197" t="s">
        <v>56</v>
      </c>
      <c r="P197" t="s">
        <v>63</v>
      </c>
      <c r="Q197" t="s">
        <v>2616</v>
      </c>
      <c r="R197" t="s">
        <v>2620</v>
      </c>
      <c r="S197" t="s">
        <v>67</v>
      </c>
      <c r="T197" t="s">
        <v>2951</v>
      </c>
      <c r="U197" t="s">
        <v>2952</v>
      </c>
      <c r="V197">
        <v>16</v>
      </c>
      <c r="W197" s="2">
        <v>273.57042556229999</v>
      </c>
    </row>
    <row r="198" spans="1:23" x14ac:dyDescent="0.25">
      <c r="A198" t="s">
        <v>31</v>
      </c>
      <c r="B198" t="s">
        <v>32</v>
      </c>
      <c r="C198" t="s">
        <v>33</v>
      </c>
      <c r="D198" t="s">
        <v>34</v>
      </c>
      <c r="E198" t="s">
        <v>35</v>
      </c>
      <c r="F198" t="s">
        <v>36</v>
      </c>
      <c r="G198">
        <v>1141685</v>
      </c>
      <c r="H198" t="s">
        <v>75</v>
      </c>
      <c r="I198" t="s">
        <v>94</v>
      </c>
      <c r="J198" t="s">
        <v>98</v>
      </c>
      <c r="K198" t="s">
        <v>108</v>
      </c>
      <c r="L198" s="1">
        <v>46143</v>
      </c>
      <c r="M198" s="1">
        <v>46173</v>
      </c>
      <c r="N198">
        <v>8.6925523399999996E-2</v>
      </c>
      <c r="O198" t="s">
        <v>56</v>
      </c>
      <c r="P198" t="s">
        <v>63</v>
      </c>
      <c r="Q198" t="s">
        <v>2616</v>
      </c>
      <c r="R198" t="s">
        <v>2620</v>
      </c>
      <c r="S198" t="s">
        <v>67</v>
      </c>
      <c r="T198" t="s">
        <v>2953</v>
      </c>
      <c r="U198" t="s">
        <v>2954</v>
      </c>
      <c r="V198">
        <v>16</v>
      </c>
      <c r="W198" s="2">
        <v>170.4926430461</v>
      </c>
    </row>
    <row r="199" spans="1:23" x14ac:dyDescent="0.25">
      <c r="A199" t="s">
        <v>31</v>
      </c>
      <c r="B199" t="s">
        <v>32</v>
      </c>
      <c r="C199" t="s">
        <v>33</v>
      </c>
      <c r="D199" t="s">
        <v>34</v>
      </c>
      <c r="E199" t="s">
        <v>35</v>
      </c>
      <c r="F199" t="s">
        <v>36</v>
      </c>
      <c r="G199">
        <v>1141685</v>
      </c>
      <c r="H199" t="s">
        <v>75</v>
      </c>
      <c r="I199" t="s">
        <v>94</v>
      </c>
      <c r="J199" t="s">
        <v>98</v>
      </c>
      <c r="K199" t="s">
        <v>108</v>
      </c>
      <c r="L199" s="1">
        <v>46143</v>
      </c>
      <c r="M199" s="1">
        <v>46173</v>
      </c>
      <c r="N199">
        <v>1.3743978E-2</v>
      </c>
      <c r="O199" t="s">
        <v>56</v>
      </c>
      <c r="P199" t="s">
        <v>63</v>
      </c>
      <c r="Q199" t="s">
        <v>2616</v>
      </c>
      <c r="R199" t="s">
        <v>2620</v>
      </c>
      <c r="S199" t="s">
        <v>67</v>
      </c>
      <c r="T199" t="s">
        <v>2955</v>
      </c>
      <c r="U199" t="s">
        <v>2956</v>
      </c>
      <c r="V199">
        <v>16</v>
      </c>
      <c r="W199" s="2">
        <v>28.770497672099999</v>
      </c>
    </row>
    <row r="200" spans="1:23" x14ac:dyDescent="0.25">
      <c r="A200" t="s">
        <v>31</v>
      </c>
      <c r="B200" t="s">
        <v>32</v>
      </c>
      <c r="C200" t="s">
        <v>33</v>
      </c>
      <c r="D200" t="s">
        <v>34</v>
      </c>
      <c r="E200" t="s">
        <v>35</v>
      </c>
      <c r="F200" t="s">
        <v>36</v>
      </c>
      <c r="G200">
        <v>1141685</v>
      </c>
      <c r="H200" t="s">
        <v>75</v>
      </c>
      <c r="I200" t="s">
        <v>94</v>
      </c>
      <c r="J200" t="s">
        <v>98</v>
      </c>
      <c r="K200" t="s">
        <v>108</v>
      </c>
      <c r="L200" s="1">
        <v>46143</v>
      </c>
      <c r="M200" s="1">
        <v>46173</v>
      </c>
      <c r="N200">
        <v>0.2328767404</v>
      </c>
      <c r="O200" t="s">
        <v>56</v>
      </c>
      <c r="P200" t="s">
        <v>63</v>
      </c>
      <c r="Q200" t="s">
        <v>2616</v>
      </c>
      <c r="R200" t="s">
        <v>2620</v>
      </c>
      <c r="S200" t="s">
        <v>67</v>
      </c>
      <c r="T200" t="s">
        <v>2957</v>
      </c>
      <c r="U200" t="s">
        <v>2958</v>
      </c>
      <c r="V200">
        <v>16</v>
      </c>
      <c r="W200" s="2">
        <v>487.52825992610002</v>
      </c>
    </row>
    <row r="201" spans="1:23" x14ac:dyDescent="0.25">
      <c r="A201" t="s">
        <v>31</v>
      </c>
      <c r="B201" t="s">
        <v>32</v>
      </c>
      <c r="C201" t="s">
        <v>33</v>
      </c>
      <c r="D201" t="s">
        <v>34</v>
      </c>
      <c r="E201" t="s">
        <v>35</v>
      </c>
      <c r="F201" t="s">
        <v>36</v>
      </c>
      <c r="G201">
        <v>1141685</v>
      </c>
      <c r="H201" t="s">
        <v>91</v>
      </c>
      <c r="I201" t="s">
        <v>95</v>
      </c>
      <c r="J201" t="s">
        <v>106</v>
      </c>
      <c r="K201" t="s">
        <v>479</v>
      </c>
      <c r="L201" s="1">
        <v>46143</v>
      </c>
      <c r="M201" s="1">
        <v>46173</v>
      </c>
      <c r="N201">
        <v>179.95005</v>
      </c>
      <c r="O201" t="s">
        <v>58</v>
      </c>
      <c r="P201" t="s">
        <v>63</v>
      </c>
      <c r="Q201" t="s">
        <v>2635</v>
      </c>
      <c r="R201" t="s">
        <v>2620</v>
      </c>
      <c r="S201" t="s">
        <v>67</v>
      </c>
      <c r="T201" t="s">
        <v>2959</v>
      </c>
      <c r="U201" t="s">
        <v>2960</v>
      </c>
      <c r="V201">
        <v>16</v>
      </c>
      <c r="W201" s="2">
        <v>784852.14590600005</v>
      </c>
    </row>
    <row r="202" spans="1:23" x14ac:dyDescent="0.25">
      <c r="A202" t="s">
        <v>31</v>
      </c>
      <c r="B202" t="s">
        <v>32</v>
      </c>
      <c r="C202" t="s">
        <v>33</v>
      </c>
      <c r="D202" t="s">
        <v>34</v>
      </c>
      <c r="E202" t="s">
        <v>35</v>
      </c>
      <c r="F202" t="s">
        <v>36</v>
      </c>
      <c r="G202">
        <v>1141685</v>
      </c>
      <c r="H202" t="s">
        <v>91</v>
      </c>
      <c r="I202" t="s">
        <v>95</v>
      </c>
      <c r="J202" t="s">
        <v>106</v>
      </c>
      <c r="K202" t="s">
        <v>479</v>
      </c>
      <c r="L202" s="1">
        <v>46143</v>
      </c>
      <c r="M202" s="1">
        <v>46173</v>
      </c>
      <c r="N202">
        <v>1</v>
      </c>
      <c r="O202" t="s">
        <v>58</v>
      </c>
      <c r="P202" t="s">
        <v>63</v>
      </c>
      <c r="Q202" t="s">
        <v>2635</v>
      </c>
      <c r="R202" t="s">
        <v>2620</v>
      </c>
      <c r="S202" t="s">
        <v>67</v>
      </c>
      <c r="T202" t="s">
        <v>2644</v>
      </c>
      <c r="U202" t="s">
        <v>2645</v>
      </c>
      <c r="V202">
        <v>16</v>
      </c>
      <c r="W202" s="2">
        <v>4361.5</v>
      </c>
    </row>
    <row r="203" spans="1:23" x14ac:dyDescent="0.25">
      <c r="A203" t="s">
        <v>31</v>
      </c>
      <c r="B203" t="s">
        <v>32</v>
      </c>
      <c r="C203" t="s">
        <v>33</v>
      </c>
      <c r="D203" t="s">
        <v>34</v>
      </c>
      <c r="E203" t="s">
        <v>35</v>
      </c>
      <c r="F203" t="s">
        <v>36</v>
      </c>
      <c r="G203">
        <v>1141685</v>
      </c>
      <c r="H203" t="s">
        <v>91</v>
      </c>
      <c r="I203" t="s">
        <v>95</v>
      </c>
      <c r="J203" t="s">
        <v>106</v>
      </c>
      <c r="K203" t="s">
        <v>479</v>
      </c>
      <c r="L203" s="1">
        <v>46143</v>
      </c>
      <c r="M203" s="1">
        <v>46173</v>
      </c>
      <c r="N203">
        <v>2.9334060000000002</v>
      </c>
      <c r="O203" t="s">
        <v>58</v>
      </c>
      <c r="P203" t="s">
        <v>63</v>
      </c>
      <c r="Q203" t="s">
        <v>2635</v>
      </c>
      <c r="R203" t="s">
        <v>2620</v>
      </c>
      <c r="S203" t="s">
        <v>67</v>
      </c>
      <c r="T203" t="s">
        <v>2961</v>
      </c>
      <c r="U203" t="s">
        <v>2962</v>
      </c>
      <c r="V203">
        <v>16</v>
      </c>
      <c r="W203" s="2">
        <v>12794.05423672</v>
      </c>
    </row>
    <row r="204" spans="1:23" x14ac:dyDescent="0.25">
      <c r="A204" t="s">
        <v>31</v>
      </c>
      <c r="B204" t="s">
        <v>32</v>
      </c>
      <c r="C204" t="s">
        <v>33</v>
      </c>
      <c r="D204" t="s">
        <v>34</v>
      </c>
      <c r="E204" t="s">
        <v>35</v>
      </c>
      <c r="F204" t="s">
        <v>36</v>
      </c>
      <c r="G204">
        <v>1141685</v>
      </c>
      <c r="H204" t="s">
        <v>75</v>
      </c>
      <c r="I204" t="s">
        <v>94</v>
      </c>
      <c r="J204" t="s">
        <v>98</v>
      </c>
      <c r="K204" t="s">
        <v>108</v>
      </c>
      <c r="L204" s="1">
        <v>46143</v>
      </c>
      <c r="M204" s="1">
        <v>46173</v>
      </c>
      <c r="N204">
        <v>1.3996749999999999E-4</v>
      </c>
      <c r="O204" t="s">
        <v>56</v>
      </c>
      <c r="P204" t="s">
        <v>63</v>
      </c>
      <c r="Q204" t="s">
        <v>2616</v>
      </c>
      <c r="R204" t="s">
        <v>2617</v>
      </c>
      <c r="S204" t="s">
        <v>67</v>
      </c>
      <c r="T204" t="s">
        <v>2963</v>
      </c>
      <c r="U204" t="s">
        <v>2964</v>
      </c>
      <c r="V204">
        <v>16</v>
      </c>
      <c r="W204" s="2">
        <v>0.29786185990000003</v>
      </c>
    </row>
    <row r="205" spans="1:23" x14ac:dyDescent="0.25">
      <c r="A205" t="s">
        <v>31</v>
      </c>
      <c r="B205" t="s">
        <v>32</v>
      </c>
      <c r="C205" t="s">
        <v>33</v>
      </c>
      <c r="D205" t="s">
        <v>34</v>
      </c>
      <c r="E205" t="s">
        <v>35</v>
      </c>
      <c r="F205" t="s">
        <v>36</v>
      </c>
      <c r="G205">
        <v>1141685</v>
      </c>
      <c r="H205" t="s">
        <v>75</v>
      </c>
      <c r="I205" t="s">
        <v>94</v>
      </c>
      <c r="J205" t="s">
        <v>98</v>
      </c>
      <c r="K205" t="s">
        <v>108</v>
      </c>
      <c r="L205" s="1">
        <v>46143</v>
      </c>
      <c r="M205" s="1">
        <v>46173</v>
      </c>
      <c r="N205">
        <v>0.1440099366</v>
      </c>
      <c r="O205" t="s">
        <v>56</v>
      </c>
      <c r="P205" t="s">
        <v>63</v>
      </c>
      <c r="Q205" t="s">
        <v>2616</v>
      </c>
      <c r="R205" t="s">
        <v>2617</v>
      </c>
      <c r="S205" t="s">
        <v>67</v>
      </c>
      <c r="T205" t="s">
        <v>2965</v>
      </c>
      <c r="U205" t="s">
        <v>2966</v>
      </c>
      <c r="V205">
        <v>16</v>
      </c>
      <c r="W205" s="2">
        <v>301.48916057359997</v>
      </c>
    </row>
    <row r="206" spans="1:23" x14ac:dyDescent="0.25">
      <c r="A206" t="s">
        <v>31</v>
      </c>
      <c r="B206" t="s">
        <v>32</v>
      </c>
      <c r="C206" t="s">
        <v>33</v>
      </c>
      <c r="D206" t="s">
        <v>34</v>
      </c>
      <c r="E206" t="s">
        <v>35</v>
      </c>
      <c r="F206" t="s">
        <v>36</v>
      </c>
      <c r="G206">
        <v>1141685</v>
      </c>
      <c r="H206" t="s">
        <v>91</v>
      </c>
      <c r="I206" t="s">
        <v>95</v>
      </c>
      <c r="J206" t="s">
        <v>106</v>
      </c>
      <c r="K206" t="s">
        <v>479</v>
      </c>
      <c r="L206" s="1">
        <v>46143</v>
      </c>
      <c r="M206" s="1">
        <v>46173</v>
      </c>
      <c r="N206">
        <v>0.63334599999999996</v>
      </c>
      <c r="O206" t="s">
        <v>58</v>
      </c>
      <c r="P206" t="s">
        <v>63</v>
      </c>
      <c r="Q206" t="s">
        <v>2635</v>
      </c>
      <c r="R206" t="s">
        <v>2620</v>
      </c>
      <c r="S206" t="s">
        <v>67</v>
      </c>
      <c r="T206" t="s">
        <v>2967</v>
      </c>
      <c r="U206" t="s">
        <v>2968</v>
      </c>
      <c r="V206">
        <v>16</v>
      </c>
      <c r="W206" s="2">
        <v>2762.3379495200002</v>
      </c>
    </row>
    <row r="207" spans="1:23" x14ac:dyDescent="0.25">
      <c r="A207" t="s">
        <v>31</v>
      </c>
      <c r="B207" t="s">
        <v>32</v>
      </c>
      <c r="C207" t="s">
        <v>33</v>
      </c>
      <c r="D207" t="s">
        <v>34</v>
      </c>
      <c r="E207" t="s">
        <v>35</v>
      </c>
      <c r="F207" t="s">
        <v>36</v>
      </c>
      <c r="G207">
        <v>1141685</v>
      </c>
      <c r="H207" t="s">
        <v>75</v>
      </c>
      <c r="I207" t="s">
        <v>94</v>
      </c>
      <c r="J207" t="s">
        <v>98</v>
      </c>
      <c r="K207" t="s">
        <v>108</v>
      </c>
      <c r="L207" s="1">
        <v>46143</v>
      </c>
      <c r="M207" s="1">
        <v>46173</v>
      </c>
      <c r="N207">
        <v>0.11233153849999999</v>
      </c>
      <c r="O207" t="s">
        <v>56</v>
      </c>
      <c r="P207" t="s">
        <v>63</v>
      </c>
      <c r="Q207" t="s">
        <v>2616</v>
      </c>
      <c r="R207" t="s">
        <v>2617</v>
      </c>
      <c r="S207" t="s">
        <v>67</v>
      </c>
      <c r="T207" t="s">
        <v>2969</v>
      </c>
      <c r="U207" t="s">
        <v>2970</v>
      </c>
      <c r="V207">
        <v>16</v>
      </c>
      <c r="W207" s="2">
        <v>235.16812370919999</v>
      </c>
    </row>
    <row r="208" spans="1:23" x14ac:dyDescent="0.25">
      <c r="A208" t="s">
        <v>31</v>
      </c>
      <c r="B208" t="s">
        <v>32</v>
      </c>
      <c r="C208" t="s">
        <v>33</v>
      </c>
      <c r="D208" t="s">
        <v>34</v>
      </c>
      <c r="E208" t="s">
        <v>35</v>
      </c>
      <c r="F208" t="s">
        <v>36</v>
      </c>
      <c r="G208">
        <v>1141685</v>
      </c>
      <c r="H208" t="s">
        <v>75</v>
      </c>
      <c r="I208" t="s">
        <v>94</v>
      </c>
      <c r="J208" t="s">
        <v>98</v>
      </c>
      <c r="K208" t="s">
        <v>108</v>
      </c>
      <c r="L208" s="1">
        <v>46143</v>
      </c>
      <c r="M208" s="1">
        <v>46173</v>
      </c>
      <c r="N208">
        <v>0.61345375609999997</v>
      </c>
      <c r="O208" t="s">
        <v>56</v>
      </c>
      <c r="P208" t="s">
        <v>63</v>
      </c>
      <c r="Q208" t="s">
        <v>2616</v>
      </c>
      <c r="R208" t="s">
        <v>2620</v>
      </c>
      <c r="S208" t="s">
        <v>67</v>
      </c>
      <c r="T208" t="s">
        <v>2971</v>
      </c>
      <c r="U208" t="s">
        <v>2972</v>
      </c>
      <c r="V208">
        <v>16</v>
      </c>
      <c r="W208" s="2">
        <v>1284.2743825473001</v>
      </c>
    </row>
    <row r="209" spans="1:23" x14ac:dyDescent="0.25">
      <c r="A209" t="s">
        <v>31</v>
      </c>
      <c r="B209" t="s">
        <v>32</v>
      </c>
      <c r="C209" t="s">
        <v>33</v>
      </c>
      <c r="D209" t="s">
        <v>34</v>
      </c>
      <c r="E209" t="s">
        <v>35</v>
      </c>
      <c r="F209" t="s">
        <v>36</v>
      </c>
      <c r="G209">
        <v>1141685</v>
      </c>
      <c r="H209" t="s">
        <v>2672</v>
      </c>
      <c r="I209" t="s">
        <v>97</v>
      </c>
      <c r="J209" t="s">
        <v>2673</v>
      </c>
      <c r="K209" t="s">
        <v>2674</v>
      </c>
      <c r="L209" s="1">
        <v>46143</v>
      </c>
      <c r="M209" s="1">
        <v>46173</v>
      </c>
      <c r="N209">
        <v>31</v>
      </c>
      <c r="O209" t="s">
        <v>2675</v>
      </c>
      <c r="P209" t="s">
        <v>63</v>
      </c>
      <c r="Q209" t="s">
        <v>2676</v>
      </c>
      <c r="R209" t="s">
        <v>2973</v>
      </c>
      <c r="S209" t="s">
        <v>2678</v>
      </c>
      <c r="T209" t="s">
        <v>2679</v>
      </c>
      <c r="U209" t="s">
        <v>2680</v>
      </c>
      <c r="V209">
        <v>6</v>
      </c>
      <c r="W209" s="2">
        <v>261705.69723200021</v>
      </c>
    </row>
    <row r="210" spans="1:23" x14ac:dyDescent="0.25">
      <c r="A210" t="s">
        <v>31</v>
      </c>
      <c r="B210" t="s">
        <v>32</v>
      </c>
      <c r="C210" t="s">
        <v>33</v>
      </c>
      <c r="D210" t="s">
        <v>34</v>
      </c>
      <c r="E210" t="s">
        <v>35</v>
      </c>
      <c r="F210" t="s">
        <v>36</v>
      </c>
      <c r="G210">
        <v>1141685</v>
      </c>
      <c r="H210" t="s">
        <v>2672</v>
      </c>
      <c r="I210" t="s">
        <v>97</v>
      </c>
      <c r="J210" t="s">
        <v>2673</v>
      </c>
      <c r="K210" t="s">
        <v>2674</v>
      </c>
      <c r="L210" s="1">
        <v>46143</v>
      </c>
      <c r="M210" s="1">
        <v>46173</v>
      </c>
      <c r="N210">
        <v>31</v>
      </c>
      <c r="O210" t="s">
        <v>2675</v>
      </c>
      <c r="P210" t="s">
        <v>63</v>
      </c>
      <c r="Q210" t="s">
        <v>2676</v>
      </c>
      <c r="R210" t="s">
        <v>2974</v>
      </c>
      <c r="S210" t="s">
        <v>2678</v>
      </c>
      <c r="T210" t="s">
        <v>2679</v>
      </c>
      <c r="U210" t="s">
        <v>2680</v>
      </c>
      <c r="V210">
        <v>6</v>
      </c>
      <c r="W210" s="2">
        <v>261705.69723200021</v>
      </c>
    </row>
    <row r="211" spans="1:23" x14ac:dyDescent="0.25">
      <c r="A211" t="s">
        <v>31</v>
      </c>
      <c r="B211" t="s">
        <v>32</v>
      </c>
      <c r="C211" t="s">
        <v>33</v>
      </c>
      <c r="D211" t="s">
        <v>34</v>
      </c>
      <c r="E211" t="s">
        <v>35</v>
      </c>
      <c r="F211" t="s">
        <v>36</v>
      </c>
      <c r="G211">
        <v>1141685</v>
      </c>
      <c r="H211" t="s">
        <v>87</v>
      </c>
      <c r="I211" t="s">
        <v>87</v>
      </c>
      <c r="J211" t="s">
        <v>87</v>
      </c>
      <c r="K211" t="s">
        <v>131</v>
      </c>
      <c r="L211" s="1">
        <v>46143</v>
      </c>
      <c r="M211" s="1">
        <v>46173</v>
      </c>
      <c r="N211">
        <v>86.816859723099995</v>
      </c>
      <c r="O211" t="s">
        <v>56</v>
      </c>
      <c r="P211" t="s">
        <v>63</v>
      </c>
      <c r="Q211" t="s">
        <v>2616</v>
      </c>
      <c r="R211" t="s">
        <v>158</v>
      </c>
      <c r="S211" t="s">
        <v>67</v>
      </c>
      <c r="T211" t="s">
        <v>2975</v>
      </c>
      <c r="U211" t="s">
        <v>2976</v>
      </c>
      <c r="V211">
        <v>12</v>
      </c>
      <c r="W211" s="2">
        <v>7573.0305128061</v>
      </c>
    </row>
    <row r="212" spans="1:23" x14ac:dyDescent="0.25">
      <c r="A212" t="s">
        <v>31</v>
      </c>
      <c r="B212" t="s">
        <v>32</v>
      </c>
      <c r="C212" t="s">
        <v>33</v>
      </c>
      <c r="D212" t="s">
        <v>34</v>
      </c>
      <c r="E212" t="s">
        <v>35</v>
      </c>
      <c r="F212" t="s">
        <v>36</v>
      </c>
      <c r="G212">
        <v>1141685</v>
      </c>
      <c r="H212" t="s">
        <v>78</v>
      </c>
      <c r="I212" t="s">
        <v>96</v>
      </c>
      <c r="J212" t="s">
        <v>100</v>
      </c>
      <c r="K212" t="s">
        <v>112</v>
      </c>
      <c r="L212" s="1">
        <v>46143</v>
      </c>
      <c r="M212" s="1">
        <v>46173</v>
      </c>
      <c r="N212">
        <v>744</v>
      </c>
      <c r="O212" t="s">
        <v>58</v>
      </c>
      <c r="P212" t="s">
        <v>63</v>
      </c>
      <c r="Q212" t="s">
        <v>2662</v>
      </c>
      <c r="R212" t="s">
        <v>2977</v>
      </c>
      <c r="S212" t="s">
        <v>67</v>
      </c>
      <c r="T212" t="s">
        <v>2978</v>
      </c>
      <c r="U212" t="s">
        <v>2979</v>
      </c>
      <c r="V212">
        <v>6</v>
      </c>
      <c r="W212" s="2">
        <v>64899.115599999997</v>
      </c>
    </row>
    <row r="213" spans="1:23" x14ac:dyDescent="0.25">
      <c r="A213" t="s">
        <v>31</v>
      </c>
      <c r="B213" t="s">
        <v>32</v>
      </c>
      <c r="C213" t="s">
        <v>33</v>
      </c>
      <c r="D213" t="s">
        <v>34</v>
      </c>
      <c r="E213" t="s">
        <v>35</v>
      </c>
      <c r="F213" t="s">
        <v>36</v>
      </c>
      <c r="G213">
        <v>1141685</v>
      </c>
      <c r="H213" t="s">
        <v>80</v>
      </c>
      <c r="I213" t="s">
        <v>96</v>
      </c>
      <c r="J213" t="s">
        <v>80</v>
      </c>
      <c r="K213" t="s">
        <v>122</v>
      </c>
      <c r="L213" s="1">
        <v>46143</v>
      </c>
      <c r="M213" s="1">
        <v>46173</v>
      </c>
      <c r="N213">
        <v>5.6772959999999999E-4</v>
      </c>
      <c r="O213" t="s">
        <v>56</v>
      </c>
      <c r="P213" t="s">
        <v>63</v>
      </c>
      <c r="Q213" t="s">
        <v>2616</v>
      </c>
      <c r="R213" t="s">
        <v>2617</v>
      </c>
      <c r="S213" t="s">
        <v>67</v>
      </c>
      <c r="T213" t="s">
        <v>2980</v>
      </c>
      <c r="U213" t="s">
        <v>2981</v>
      </c>
      <c r="V213">
        <v>16</v>
      </c>
      <c r="W213" s="2">
        <v>9.7160570899999993E-2</v>
      </c>
    </row>
    <row r="214" spans="1:23" x14ac:dyDescent="0.25">
      <c r="A214" t="s">
        <v>31</v>
      </c>
      <c r="B214" t="s">
        <v>32</v>
      </c>
      <c r="C214" t="s">
        <v>33</v>
      </c>
      <c r="D214" t="s">
        <v>34</v>
      </c>
      <c r="E214" t="s">
        <v>35</v>
      </c>
      <c r="F214" t="s">
        <v>36</v>
      </c>
      <c r="G214">
        <v>1141685</v>
      </c>
      <c r="H214" t="s">
        <v>77</v>
      </c>
      <c r="I214" t="s">
        <v>96</v>
      </c>
      <c r="J214" t="s">
        <v>77</v>
      </c>
      <c r="K214" t="s">
        <v>111</v>
      </c>
      <c r="L214" s="1">
        <v>46143</v>
      </c>
      <c r="M214" s="1">
        <v>46173</v>
      </c>
      <c r="N214">
        <v>13.386502355299999</v>
      </c>
      <c r="O214" t="s">
        <v>56</v>
      </c>
      <c r="P214" t="s">
        <v>63</v>
      </c>
      <c r="Q214" t="s">
        <v>2616</v>
      </c>
      <c r="R214" t="s">
        <v>2620</v>
      </c>
      <c r="S214" t="s">
        <v>67</v>
      </c>
      <c r="T214" t="s">
        <v>2982</v>
      </c>
      <c r="U214" t="s">
        <v>2983</v>
      </c>
      <c r="V214">
        <v>16</v>
      </c>
      <c r="W214" s="2">
        <v>2335.4100968027001</v>
      </c>
    </row>
    <row r="215" spans="1:23" x14ac:dyDescent="0.25">
      <c r="A215" t="s">
        <v>31</v>
      </c>
      <c r="B215" t="s">
        <v>32</v>
      </c>
      <c r="C215" t="s">
        <v>33</v>
      </c>
      <c r="D215" t="s">
        <v>34</v>
      </c>
      <c r="E215" t="s">
        <v>35</v>
      </c>
      <c r="F215" t="s">
        <v>36</v>
      </c>
      <c r="G215">
        <v>1141685</v>
      </c>
      <c r="H215" t="s">
        <v>77</v>
      </c>
      <c r="I215" t="s">
        <v>96</v>
      </c>
      <c r="J215" t="s">
        <v>77</v>
      </c>
      <c r="K215" t="s">
        <v>113</v>
      </c>
      <c r="L215" s="1">
        <v>46143</v>
      </c>
      <c r="M215" s="1">
        <v>46173</v>
      </c>
      <c r="N215">
        <v>0.14709693939999999</v>
      </c>
      <c r="O215" t="s">
        <v>56</v>
      </c>
      <c r="P215" t="s">
        <v>63</v>
      </c>
      <c r="Q215" t="s">
        <v>2616</v>
      </c>
      <c r="R215" t="s">
        <v>2620</v>
      </c>
      <c r="S215" t="s">
        <v>67</v>
      </c>
      <c r="T215" t="s">
        <v>2984</v>
      </c>
      <c r="U215" t="s">
        <v>2985</v>
      </c>
      <c r="V215">
        <v>16</v>
      </c>
      <c r="W215" s="2">
        <v>25.663028198900001</v>
      </c>
    </row>
    <row r="216" spans="1:23" x14ac:dyDescent="0.25">
      <c r="A216" t="s">
        <v>31</v>
      </c>
      <c r="B216" t="s">
        <v>32</v>
      </c>
      <c r="C216" t="s">
        <v>33</v>
      </c>
      <c r="D216" t="s">
        <v>34</v>
      </c>
      <c r="E216" t="s">
        <v>35</v>
      </c>
      <c r="F216" t="s">
        <v>36</v>
      </c>
      <c r="G216">
        <v>1141685</v>
      </c>
      <c r="H216" t="s">
        <v>77</v>
      </c>
      <c r="I216" t="s">
        <v>96</v>
      </c>
      <c r="J216" t="s">
        <v>77</v>
      </c>
      <c r="K216" t="s">
        <v>113</v>
      </c>
      <c r="L216" s="1">
        <v>46143</v>
      </c>
      <c r="M216" s="1">
        <v>46173</v>
      </c>
      <c r="N216">
        <v>2.217423E-4</v>
      </c>
      <c r="O216" t="s">
        <v>56</v>
      </c>
      <c r="P216" t="s">
        <v>63</v>
      </c>
      <c r="Q216" t="s">
        <v>2616</v>
      </c>
      <c r="R216" t="s">
        <v>2620</v>
      </c>
      <c r="S216" t="s">
        <v>67</v>
      </c>
      <c r="T216" t="s">
        <v>2986</v>
      </c>
      <c r="U216" t="s">
        <v>2987</v>
      </c>
      <c r="V216">
        <v>16</v>
      </c>
      <c r="W216" s="2">
        <v>3.4042944800000002E-2</v>
      </c>
    </row>
    <row r="217" spans="1:23" x14ac:dyDescent="0.25">
      <c r="A217" t="s">
        <v>31</v>
      </c>
      <c r="B217" t="s">
        <v>32</v>
      </c>
      <c r="C217" t="s">
        <v>33</v>
      </c>
      <c r="D217" t="s">
        <v>34</v>
      </c>
      <c r="E217" t="s">
        <v>35</v>
      </c>
      <c r="F217" t="s">
        <v>36</v>
      </c>
      <c r="G217">
        <v>1141685</v>
      </c>
      <c r="H217" t="s">
        <v>77</v>
      </c>
      <c r="I217" t="s">
        <v>96</v>
      </c>
      <c r="J217" t="s">
        <v>77</v>
      </c>
      <c r="K217" t="s">
        <v>113</v>
      </c>
      <c r="L217" s="1">
        <v>46143</v>
      </c>
      <c r="M217" s="1">
        <v>46173</v>
      </c>
      <c r="N217">
        <v>3.3448954099999997E-2</v>
      </c>
      <c r="O217" t="s">
        <v>56</v>
      </c>
      <c r="P217" t="s">
        <v>63</v>
      </c>
      <c r="Q217" t="s">
        <v>2616</v>
      </c>
      <c r="R217" t="s">
        <v>2620</v>
      </c>
      <c r="S217" t="s">
        <v>67</v>
      </c>
      <c r="T217" t="s">
        <v>2988</v>
      </c>
      <c r="U217" t="s">
        <v>2989</v>
      </c>
      <c r="V217">
        <v>16</v>
      </c>
      <c r="W217" s="2">
        <v>5.8352439900000004</v>
      </c>
    </row>
    <row r="218" spans="1:23" x14ac:dyDescent="0.25">
      <c r="A218" t="s">
        <v>31</v>
      </c>
      <c r="B218" t="s">
        <v>32</v>
      </c>
      <c r="C218" t="s">
        <v>33</v>
      </c>
      <c r="D218" t="s">
        <v>34</v>
      </c>
      <c r="E218" t="s">
        <v>35</v>
      </c>
      <c r="F218" t="s">
        <v>36</v>
      </c>
      <c r="G218">
        <v>1141685</v>
      </c>
      <c r="H218" t="s">
        <v>77</v>
      </c>
      <c r="I218" t="s">
        <v>96</v>
      </c>
      <c r="J218" t="s">
        <v>77</v>
      </c>
      <c r="K218" t="s">
        <v>113</v>
      </c>
      <c r="L218" s="1">
        <v>46143</v>
      </c>
      <c r="M218" s="1">
        <v>46173</v>
      </c>
      <c r="N218">
        <v>4.8633282999999998E-3</v>
      </c>
      <c r="O218" t="s">
        <v>56</v>
      </c>
      <c r="P218" t="s">
        <v>63</v>
      </c>
      <c r="Q218" t="s">
        <v>2616</v>
      </c>
      <c r="R218" t="s">
        <v>2620</v>
      </c>
      <c r="S218" t="s">
        <v>67</v>
      </c>
      <c r="T218" t="s">
        <v>2990</v>
      </c>
      <c r="U218" t="s">
        <v>2991</v>
      </c>
      <c r="V218">
        <v>16</v>
      </c>
      <c r="W218" s="2">
        <v>0.84664150459999998</v>
      </c>
    </row>
    <row r="219" spans="1:23" x14ac:dyDescent="0.25">
      <c r="A219" t="s">
        <v>31</v>
      </c>
      <c r="B219" t="s">
        <v>32</v>
      </c>
      <c r="C219" t="s">
        <v>33</v>
      </c>
      <c r="D219" t="s">
        <v>34</v>
      </c>
      <c r="E219" t="s">
        <v>35</v>
      </c>
      <c r="F219" t="s">
        <v>36</v>
      </c>
      <c r="G219">
        <v>1141685</v>
      </c>
      <c r="H219" t="s">
        <v>77</v>
      </c>
      <c r="I219" t="s">
        <v>96</v>
      </c>
      <c r="J219" t="s">
        <v>77</v>
      </c>
      <c r="K219" t="s">
        <v>113</v>
      </c>
      <c r="L219" s="1">
        <v>46143</v>
      </c>
      <c r="M219" s="1">
        <v>46173</v>
      </c>
      <c r="N219">
        <v>9.5025739000000001E-3</v>
      </c>
      <c r="O219" t="s">
        <v>56</v>
      </c>
      <c r="P219" t="s">
        <v>63</v>
      </c>
      <c r="Q219" t="s">
        <v>2662</v>
      </c>
      <c r="R219" t="s">
        <v>2795</v>
      </c>
      <c r="S219" t="s">
        <v>67</v>
      </c>
      <c r="T219" t="s">
        <v>2992</v>
      </c>
      <c r="U219" t="s">
        <v>2993</v>
      </c>
      <c r="V219">
        <v>7</v>
      </c>
      <c r="W219" s="2">
        <v>1.6588807524</v>
      </c>
    </row>
    <row r="220" spans="1:23" x14ac:dyDescent="0.25">
      <c r="A220" t="s">
        <v>31</v>
      </c>
      <c r="B220" t="s">
        <v>32</v>
      </c>
      <c r="C220" t="s">
        <v>33</v>
      </c>
      <c r="D220" t="s">
        <v>34</v>
      </c>
      <c r="E220" t="s">
        <v>35</v>
      </c>
      <c r="F220" t="s">
        <v>36</v>
      </c>
      <c r="G220">
        <v>1141685</v>
      </c>
      <c r="H220" t="s">
        <v>90</v>
      </c>
      <c r="I220" t="s">
        <v>43</v>
      </c>
      <c r="J220" t="s">
        <v>105</v>
      </c>
      <c r="K220" t="s">
        <v>128</v>
      </c>
      <c r="L220" s="1">
        <v>46143</v>
      </c>
      <c r="M220" s="1">
        <v>46173</v>
      </c>
      <c r="N220">
        <v>1</v>
      </c>
      <c r="O220" t="s">
        <v>135</v>
      </c>
      <c r="P220" t="s">
        <v>63</v>
      </c>
      <c r="Q220" t="s">
        <v>2676</v>
      </c>
      <c r="R220" t="s">
        <v>2994</v>
      </c>
      <c r="S220" t="s">
        <v>2678</v>
      </c>
      <c r="T220" t="s">
        <v>2995</v>
      </c>
      <c r="U220" t="s">
        <v>2996</v>
      </c>
      <c r="V220">
        <v>8</v>
      </c>
      <c r="W220" s="2">
        <v>261689.99999999709</v>
      </c>
    </row>
    <row r="221" spans="1:23" x14ac:dyDescent="0.25">
      <c r="A221" t="s">
        <v>31</v>
      </c>
      <c r="B221" t="s">
        <v>32</v>
      </c>
      <c r="C221" t="s">
        <v>33</v>
      </c>
      <c r="D221" t="s">
        <v>34</v>
      </c>
      <c r="E221" t="s">
        <v>35</v>
      </c>
      <c r="F221" t="s">
        <v>36</v>
      </c>
      <c r="G221">
        <v>1141685</v>
      </c>
      <c r="H221" t="s">
        <v>76</v>
      </c>
      <c r="I221" t="s">
        <v>95</v>
      </c>
      <c r="J221" t="s">
        <v>99</v>
      </c>
      <c r="K221" t="s">
        <v>109</v>
      </c>
      <c r="L221" s="1">
        <v>46143</v>
      </c>
      <c r="M221" s="1">
        <v>46173</v>
      </c>
      <c r="N221">
        <v>1.966704</v>
      </c>
      <c r="O221" t="s">
        <v>58</v>
      </c>
      <c r="P221" t="s">
        <v>63</v>
      </c>
      <c r="Q221" t="s">
        <v>2635</v>
      </c>
      <c r="R221" t="s">
        <v>2617</v>
      </c>
      <c r="S221" t="s">
        <v>67</v>
      </c>
      <c r="T221" t="s">
        <v>2781</v>
      </c>
      <c r="U221" t="s">
        <v>2782</v>
      </c>
      <c r="V221">
        <v>16</v>
      </c>
      <c r="W221" s="2">
        <v>0</v>
      </c>
    </row>
    <row r="222" spans="1:23" x14ac:dyDescent="0.25">
      <c r="A222" t="s">
        <v>31</v>
      </c>
      <c r="B222" t="s">
        <v>32</v>
      </c>
      <c r="C222" t="s">
        <v>33</v>
      </c>
      <c r="D222" t="s">
        <v>34</v>
      </c>
      <c r="E222" t="s">
        <v>35</v>
      </c>
      <c r="F222" t="s">
        <v>36</v>
      </c>
      <c r="G222">
        <v>1141685</v>
      </c>
      <c r="H222" t="s">
        <v>76</v>
      </c>
      <c r="I222" t="s">
        <v>95</v>
      </c>
      <c r="J222" t="s">
        <v>99</v>
      </c>
      <c r="K222" t="s">
        <v>109</v>
      </c>
      <c r="L222" s="1">
        <v>46143</v>
      </c>
      <c r="M222" s="1">
        <v>46173</v>
      </c>
      <c r="N222">
        <v>128</v>
      </c>
      <c r="O222" t="s">
        <v>58</v>
      </c>
      <c r="P222" t="s">
        <v>63</v>
      </c>
      <c r="Q222" t="s">
        <v>2635</v>
      </c>
      <c r="R222" t="s">
        <v>2620</v>
      </c>
      <c r="S222" t="s">
        <v>67</v>
      </c>
      <c r="T222" t="s">
        <v>2646</v>
      </c>
      <c r="U222" t="s">
        <v>2647</v>
      </c>
      <c r="V222">
        <v>16</v>
      </c>
      <c r="W222" s="2">
        <v>0</v>
      </c>
    </row>
    <row r="223" spans="1:23" x14ac:dyDescent="0.25">
      <c r="A223" t="s">
        <v>31</v>
      </c>
      <c r="B223" t="s">
        <v>32</v>
      </c>
      <c r="C223" t="s">
        <v>33</v>
      </c>
      <c r="D223" t="s">
        <v>34</v>
      </c>
      <c r="E223" t="s">
        <v>35</v>
      </c>
      <c r="F223" t="s">
        <v>36</v>
      </c>
      <c r="G223">
        <v>1141685</v>
      </c>
      <c r="H223" t="s">
        <v>76</v>
      </c>
      <c r="I223" t="s">
        <v>95</v>
      </c>
      <c r="J223" t="s">
        <v>99</v>
      </c>
      <c r="K223" t="s">
        <v>109</v>
      </c>
      <c r="L223" s="1">
        <v>46143</v>
      </c>
      <c r="M223" s="1">
        <v>46173</v>
      </c>
      <c r="N223">
        <v>177</v>
      </c>
      <c r="O223" t="s">
        <v>58</v>
      </c>
      <c r="P223" t="s">
        <v>63</v>
      </c>
      <c r="Q223" t="s">
        <v>2635</v>
      </c>
      <c r="R223" t="s">
        <v>2620</v>
      </c>
      <c r="S223" t="s">
        <v>67</v>
      </c>
      <c r="T223" t="s">
        <v>2779</v>
      </c>
      <c r="U223" t="s">
        <v>2780</v>
      </c>
      <c r="V223">
        <v>16</v>
      </c>
      <c r="W223" s="2">
        <v>0</v>
      </c>
    </row>
    <row r="224" spans="1:23" x14ac:dyDescent="0.25">
      <c r="A224" t="s">
        <v>31</v>
      </c>
      <c r="B224" t="s">
        <v>32</v>
      </c>
      <c r="C224" t="s">
        <v>33</v>
      </c>
      <c r="D224" t="s">
        <v>34</v>
      </c>
      <c r="E224" t="s">
        <v>35</v>
      </c>
      <c r="F224" t="s">
        <v>36</v>
      </c>
      <c r="G224">
        <v>1141685</v>
      </c>
      <c r="H224" t="s">
        <v>76</v>
      </c>
      <c r="I224" t="s">
        <v>95</v>
      </c>
      <c r="J224" t="s">
        <v>99</v>
      </c>
      <c r="K224" t="s">
        <v>109</v>
      </c>
      <c r="L224" s="1">
        <v>46143</v>
      </c>
      <c r="M224" s="1">
        <v>46173</v>
      </c>
      <c r="N224">
        <v>1</v>
      </c>
      <c r="O224" t="s">
        <v>58</v>
      </c>
      <c r="P224" t="s">
        <v>63</v>
      </c>
      <c r="Q224" t="s">
        <v>2635</v>
      </c>
      <c r="R224" t="s">
        <v>2620</v>
      </c>
      <c r="S224" t="s">
        <v>67</v>
      </c>
      <c r="T224" t="s">
        <v>2646</v>
      </c>
      <c r="U224" t="s">
        <v>2647</v>
      </c>
      <c r="V224">
        <v>16</v>
      </c>
      <c r="W224" s="2">
        <v>0</v>
      </c>
    </row>
    <row r="225" spans="1:23" x14ac:dyDescent="0.25">
      <c r="A225" t="s">
        <v>31</v>
      </c>
      <c r="B225" t="s">
        <v>32</v>
      </c>
      <c r="C225" t="s">
        <v>33</v>
      </c>
      <c r="D225" t="s">
        <v>34</v>
      </c>
      <c r="E225" t="s">
        <v>35</v>
      </c>
      <c r="F225" t="s">
        <v>36</v>
      </c>
      <c r="G225">
        <v>1141685</v>
      </c>
      <c r="H225" t="s">
        <v>78</v>
      </c>
      <c r="I225" t="s">
        <v>96</v>
      </c>
      <c r="J225" t="s">
        <v>100</v>
      </c>
      <c r="K225" t="s">
        <v>112</v>
      </c>
      <c r="L225" s="1">
        <v>46143</v>
      </c>
      <c r="M225" s="1">
        <v>46173</v>
      </c>
      <c r="N225">
        <v>744</v>
      </c>
      <c r="O225" t="s">
        <v>58</v>
      </c>
      <c r="P225" t="s">
        <v>63</v>
      </c>
      <c r="Q225" t="s">
        <v>2616</v>
      </c>
      <c r="R225" t="s">
        <v>2997</v>
      </c>
      <c r="S225" t="s">
        <v>67</v>
      </c>
      <c r="T225" t="s">
        <v>2998</v>
      </c>
      <c r="U225" t="s">
        <v>2999</v>
      </c>
      <c r="V225">
        <v>13</v>
      </c>
      <c r="W225" s="2">
        <v>64899.115599999997</v>
      </c>
    </row>
    <row r="226" spans="1:23" x14ac:dyDescent="0.25">
      <c r="A226" t="s">
        <v>31</v>
      </c>
      <c r="B226" t="s">
        <v>32</v>
      </c>
      <c r="C226" t="s">
        <v>33</v>
      </c>
      <c r="D226" t="s">
        <v>34</v>
      </c>
      <c r="E226" t="s">
        <v>35</v>
      </c>
      <c r="F226" t="s">
        <v>36</v>
      </c>
      <c r="G226">
        <v>1141685</v>
      </c>
      <c r="H226" t="s">
        <v>78</v>
      </c>
      <c r="I226" t="s">
        <v>96</v>
      </c>
      <c r="J226" t="s">
        <v>100</v>
      </c>
      <c r="K226" t="s">
        <v>112</v>
      </c>
      <c r="L226" s="1">
        <v>46143</v>
      </c>
      <c r="M226" s="1">
        <v>46173</v>
      </c>
      <c r="N226">
        <v>744</v>
      </c>
      <c r="O226" t="s">
        <v>58</v>
      </c>
      <c r="P226" t="s">
        <v>63</v>
      </c>
      <c r="Q226" t="s">
        <v>2616</v>
      </c>
      <c r="R226" t="s">
        <v>3000</v>
      </c>
      <c r="S226" t="s">
        <v>67</v>
      </c>
      <c r="T226" t="s">
        <v>3001</v>
      </c>
      <c r="U226" t="s">
        <v>3002</v>
      </c>
      <c r="V226">
        <v>14</v>
      </c>
      <c r="W226" s="2">
        <v>64899.115599999997</v>
      </c>
    </row>
    <row r="227" spans="1:23" x14ac:dyDescent="0.25">
      <c r="A227" t="s">
        <v>31</v>
      </c>
      <c r="B227" t="s">
        <v>32</v>
      </c>
      <c r="C227" t="s">
        <v>33</v>
      </c>
      <c r="D227" t="s">
        <v>34</v>
      </c>
      <c r="E227" t="s">
        <v>35</v>
      </c>
      <c r="F227" t="s">
        <v>36</v>
      </c>
      <c r="G227">
        <v>1141685</v>
      </c>
      <c r="H227" t="s">
        <v>75</v>
      </c>
      <c r="I227" t="s">
        <v>94</v>
      </c>
      <c r="J227" t="s">
        <v>98</v>
      </c>
      <c r="K227" t="s">
        <v>108</v>
      </c>
      <c r="L227" s="1">
        <v>46143</v>
      </c>
      <c r="M227" s="1">
        <v>46173</v>
      </c>
      <c r="N227">
        <v>9.6574160300000003E-2</v>
      </c>
      <c r="O227" t="s">
        <v>56</v>
      </c>
      <c r="P227" t="s">
        <v>63</v>
      </c>
      <c r="Q227" t="s">
        <v>2616</v>
      </c>
      <c r="R227" t="s">
        <v>2620</v>
      </c>
      <c r="S227" t="s">
        <v>67</v>
      </c>
      <c r="T227" t="s">
        <v>3003</v>
      </c>
      <c r="U227" t="s">
        <v>3004</v>
      </c>
      <c r="V227">
        <v>16</v>
      </c>
      <c r="W227" s="2">
        <v>202.1783436874</v>
      </c>
    </row>
    <row r="228" spans="1:23" x14ac:dyDescent="0.25">
      <c r="A228" t="s">
        <v>31</v>
      </c>
      <c r="B228" t="s">
        <v>32</v>
      </c>
      <c r="C228" t="s">
        <v>33</v>
      </c>
      <c r="D228" t="s">
        <v>34</v>
      </c>
      <c r="E228" t="s">
        <v>35</v>
      </c>
      <c r="F228" t="s">
        <v>36</v>
      </c>
      <c r="G228">
        <v>1141685</v>
      </c>
      <c r="H228" t="s">
        <v>75</v>
      </c>
      <c r="I228" t="s">
        <v>94</v>
      </c>
      <c r="J228" t="s">
        <v>98</v>
      </c>
      <c r="K228" t="s">
        <v>108</v>
      </c>
      <c r="L228" s="1">
        <v>46143</v>
      </c>
      <c r="M228" s="1">
        <v>46173</v>
      </c>
      <c r="N228">
        <v>0.1102011604</v>
      </c>
      <c r="O228" t="s">
        <v>56</v>
      </c>
      <c r="P228" t="s">
        <v>63</v>
      </c>
      <c r="Q228" t="s">
        <v>2616</v>
      </c>
      <c r="R228" t="s">
        <v>2620</v>
      </c>
      <c r="S228" t="s">
        <v>67</v>
      </c>
      <c r="T228" t="s">
        <v>3005</v>
      </c>
      <c r="U228" t="s">
        <v>3006</v>
      </c>
      <c r="V228">
        <v>16</v>
      </c>
      <c r="W228" s="2">
        <v>230.71333336399999</v>
      </c>
    </row>
    <row r="229" spans="1:23" x14ac:dyDescent="0.25">
      <c r="A229" t="s">
        <v>31</v>
      </c>
      <c r="B229" t="s">
        <v>32</v>
      </c>
      <c r="C229" t="s">
        <v>33</v>
      </c>
      <c r="D229" t="s">
        <v>34</v>
      </c>
      <c r="E229" t="s">
        <v>35</v>
      </c>
      <c r="F229" t="s">
        <v>36</v>
      </c>
      <c r="G229">
        <v>1141685</v>
      </c>
      <c r="H229" t="s">
        <v>75</v>
      </c>
      <c r="I229" t="s">
        <v>94</v>
      </c>
      <c r="J229" t="s">
        <v>98</v>
      </c>
      <c r="K229" t="s">
        <v>108</v>
      </c>
      <c r="L229" s="1">
        <v>46143</v>
      </c>
      <c r="M229" s="1">
        <v>46173</v>
      </c>
      <c r="N229">
        <v>1.2666608485999999</v>
      </c>
      <c r="O229" t="s">
        <v>56</v>
      </c>
      <c r="P229" t="s">
        <v>63</v>
      </c>
      <c r="Q229" t="s">
        <v>2616</v>
      </c>
      <c r="R229" t="s">
        <v>2620</v>
      </c>
      <c r="S229" t="s">
        <v>67</v>
      </c>
      <c r="T229" t="s">
        <v>3007</v>
      </c>
      <c r="U229" t="s">
        <v>3008</v>
      </c>
      <c r="V229">
        <v>16</v>
      </c>
      <c r="W229" s="2">
        <v>2651.7762414478002</v>
      </c>
    </row>
    <row r="230" spans="1:23" x14ac:dyDescent="0.25">
      <c r="A230" t="s">
        <v>31</v>
      </c>
      <c r="B230" t="s">
        <v>32</v>
      </c>
      <c r="C230" t="s">
        <v>33</v>
      </c>
      <c r="D230" t="s">
        <v>34</v>
      </c>
      <c r="E230" t="s">
        <v>35</v>
      </c>
      <c r="F230" t="s">
        <v>36</v>
      </c>
      <c r="G230">
        <v>1141685</v>
      </c>
      <c r="H230" t="s">
        <v>75</v>
      </c>
      <c r="I230" t="s">
        <v>94</v>
      </c>
      <c r="J230" t="s">
        <v>98</v>
      </c>
      <c r="K230" t="s">
        <v>108</v>
      </c>
      <c r="L230" s="1">
        <v>46143</v>
      </c>
      <c r="M230" s="1">
        <v>46173</v>
      </c>
      <c r="N230">
        <v>9.5060576699999996E-2</v>
      </c>
      <c r="O230" t="s">
        <v>56</v>
      </c>
      <c r="P230" t="s">
        <v>63</v>
      </c>
      <c r="Q230" t="s">
        <v>2616</v>
      </c>
      <c r="R230" t="s">
        <v>2620</v>
      </c>
      <c r="S230" t="s">
        <v>67</v>
      </c>
      <c r="T230" t="s">
        <v>3009</v>
      </c>
      <c r="U230" t="s">
        <v>3010</v>
      </c>
      <c r="V230">
        <v>16</v>
      </c>
      <c r="W230" s="2">
        <v>182.980124397</v>
      </c>
    </row>
    <row r="231" spans="1:23" x14ac:dyDescent="0.25">
      <c r="A231" t="s">
        <v>31</v>
      </c>
      <c r="B231" t="s">
        <v>32</v>
      </c>
      <c r="C231" t="s">
        <v>33</v>
      </c>
      <c r="D231" t="s">
        <v>34</v>
      </c>
      <c r="E231" t="s">
        <v>35</v>
      </c>
      <c r="F231" t="s">
        <v>36</v>
      </c>
      <c r="G231">
        <v>1141685</v>
      </c>
      <c r="H231" t="s">
        <v>80</v>
      </c>
      <c r="I231" t="s">
        <v>96</v>
      </c>
      <c r="J231" t="s">
        <v>80</v>
      </c>
      <c r="K231" t="s">
        <v>122</v>
      </c>
      <c r="L231" s="1">
        <v>46143</v>
      </c>
      <c r="M231" s="1">
        <v>46173</v>
      </c>
      <c r="N231">
        <v>3.5219578472999999</v>
      </c>
      <c r="O231" t="s">
        <v>56</v>
      </c>
      <c r="P231" t="s">
        <v>63</v>
      </c>
      <c r="Q231" t="s">
        <v>2616</v>
      </c>
      <c r="R231" t="s">
        <v>2617</v>
      </c>
      <c r="S231" t="s">
        <v>67</v>
      </c>
      <c r="T231" t="s">
        <v>3011</v>
      </c>
      <c r="U231" t="s">
        <v>3012</v>
      </c>
      <c r="V231">
        <v>16</v>
      </c>
      <c r="W231" s="2">
        <v>614.43787411150004</v>
      </c>
    </row>
    <row r="232" spans="1:23" x14ac:dyDescent="0.25">
      <c r="A232" t="s">
        <v>31</v>
      </c>
      <c r="B232" t="s">
        <v>32</v>
      </c>
      <c r="C232" t="s">
        <v>33</v>
      </c>
      <c r="D232" t="s">
        <v>34</v>
      </c>
      <c r="E232" t="s">
        <v>35</v>
      </c>
      <c r="F232" t="s">
        <v>36</v>
      </c>
      <c r="G232">
        <v>1141685</v>
      </c>
      <c r="H232" t="s">
        <v>91</v>
      </c>
      <c r="I232" t="s">
        <v>95</v>
      </c>
      <c r="J232" t="s">
        <v>106</v>
      </c>
      <c r="K232" t="s">
        <v>479</v>
      </c>
      <c r="L232" s="1">
        <v>46143</v>
      </c>
      <c r="M232" s="1">
        <v>46173</v>
      </c>
      <c r="N232">
        <v>1</v>
      </c>
      <c r="O232" t="s">
        <v>58</v>
      </c>
      <c r="P232" t="s">
        <v>63</v>
      </c>
      <c r="Q232" t="s">
        <v>2635</v>
      </c>
      <c r="R232" t="s">
        <v>2620</v>
      </c>
      <c r="S232" t="s">
        <v>67</v>
      </c>
      <c r="T232" t="s">
        <v>2644</v>
      </c>
      <c r="U232" t="s">
        <v>2645</v>
      </c>
      <c r="V232">
        <v>16</v>
      </c>
      <c r="W232" s="2">
        <v>4361.5</v>
      </c>
    </row>
    <row r="233" spans="1:23" x14ac:dyDescent="0.25">
      <c r="A233" t="s">
        <v>31</v>
      </c>
      <c r="B233" t="s">
        <v>32</v>
      </c>
      <c r="C233" t="s">
        <v>33</v>
      </c>
      <c r="D233" t="s">
        <v>34</v>
      </c>
      <c r="E233" t="s">
        <v>35</v>
      </c>
      <c r="F233" t="s">
        <v>36</v>
      </c>
      <c r="G233">
        <v>1141685</v>
      </c>
      <c r="H233" t="s">
        <v>80</v>
      </c>
      <c r="I233" t="s">
        <v>96</v>
      </c>
      <c r="J233" t="s">
        <v>80</v>
      </c>
      <c r="K233" t="s">
        <v>122</v>
      </c>
      <c r="L233" s="1">
        <v>46143</v>
      </c>
      <c r="M233" s="1">
        <v>46173</v>
      </c>
      <c r="N233">
        <v>7.5394305999999999E-3</v>
      </c>
      <c r="O233" t="s">
        <v>56</v>
      </c>
      <c r="P233" t="s">
        <v>63</v>
      </c>
      <c r="Q233" t="s">
        <v>2616</v>
      </c>
      <c r="R233" t="s">
        <v>2620</v>
      </c>
      <c r="S233" t="s">
        <v>67</v>
      </c>
      <c r="T233" t="s">
        <v>3013</v>
      </c>
      <c r="U233" t="s">
        <v>3014</v>
      </c>
      <c r="V233">
        <v>16</v>
      </c>
      <c r="W233" s="2">
        <v>1.3174895799999999</v>
      </c>
    </row>
    <row r="234" spans="1:23" x14ac:dyDescent="0.25">
      <c r="A234" t="s">
        <v>31</v>
      </c>
      <c r="B234" t="s">
        <v>32</v>
      </c>
      <c r="C234" t="s">
        <v>33</v>
      </c>
      <c r="D234" t="s">
        <v>34</v>
      </c>
      <c r="E234" t="s">
        <v>35</v>
      </c>
      <c r="F234" t="s">
        <v>36</v>
      </c>
      <c r="G234">
        <v>1141685</v>
      </c>
      <c r="H234" t="s">
        <v>80</v>
      </c>
      <c r="I234" t="s">
        <v>96</v>
      </c>
      <c r="J234" t="s">
        <v>80</v>
      </c>
      <c r="K234" t="s">
        <v>122</v>
      </c>
      <c r="L234" s="1">
        <v>46143</v>
      </c>
      <c r="M234" s="1">
        <v>46173</v>
      </c>
      <c r="N234">
        <v>1.3150863014</v>
      </c>
      <c r="O234" t="s">
        <v>56</v>
      </c>
      <c r="P234" t="s">
        <v>63</v>
      </c>
      <c r="Q234" t="s">
        <v>2616</v>
      </c>
      <c r="R234" t="s">
        <v>2620</v>
      </c>
      <c r="S234" t="s">
        <v>67</v>
      </c>
      <c r="T234" t="s">
        <v>3015</v>
      </c>
      <c r="U234" t="s">
        <v>3016</v>
      </c>
      <c r="V234">
        <v>16</v>
      </c>
      <c r="W234" s="2">
        <v>229.42836140700001</v>
      </c>
    </row>
    <row r="235" spans="1:23" x14ac:dyDescent="0.25">
      <c r="A235" t="s">
        <v>31</v>
      </c>
      <c r="B235" t="s">
        <v>32</v>
      </c>
      <c r="C235" t="s">
        <v>33</v>
      </c>
      <c r="D235" t="s">
        <v>34</v>
      </c>
      <c r="E235" t="s">
        <v>35</v>
      </c>
      <c r="F235" t="s">
        <v>36</v>
      </c>
      <c r="G235">
        <v>1141685</v>
      </c>
      <c r="H235" t="s">
        <v>79</v>
      </c>
      <c r="I235" t="s">
        <v>94</v>
      </c>
      <c r="J235" t="s">
        <v>101</v>
      </c>
      <c r="K235" t="s">
        <v>116</v>
      </c>
      <c r="L235" s="1">
        <v>46143</v>
      </c>
      <c r="M235" s="1">
        <v>46173</v>
      </c>
      <c r="N235">
        <v>0.10886791630000001</v>
      </c>
      <c r="O235" t="s">
        <v>56</v>
      </c>
      <c r="P235" t="s">
        <v>63</v>
      </c>
      <c r="Q235" t="s">
        <v>2616</v>
      </c>
      <c r="R235" t="s">
        <v>2617</v>
      </c>
      <c r="S235" t="s">
        <v>67</v>
      </c>
      <c r="T235" t="s">
        <v>3017</v>
      </c>
      <c r="U235" t="s">
        <v>3018</v>
      </c>
      <c r="V235">
        <v>16</v>
      </c>
      <c r="W235" s="2">
        <v>132.6071995909</v>
      </c>
    </row>
    <row r="236" spans="1:23" x14ac:dyDescent="0.25">
      <c r="A236" t="s">
        <v>31</v>
      </c>
      <c r="B236" t="s">
        <v>32</v>
      </c>
      <c r="C236" t="s">
        <v>33</v>
      </c>
      <c r="D236" t="s">
        <v>34</v>
      </c>
      <c r="E236" t="s">
        <v>35</v>
      </c>
      <c r="F236" t="s">
        <v>36</v>
      </c>
      <c r="G236">
        <v>1141685</v>
      </c>
      <c r="H236" t="s">
        <v>79</v>
      </c>
      <c r="I236" t="s">
        <v>94</v>
      </c>
      <c r="J236" t="s">
        <v>101</v>
      </c>
      <c r="K236" t="s">
        <v>116</v>
      </c>
      <c r="L236" s="1">
        <v>46143</v>
      </c>
      <c r="M236" s="1">
        <v>46173</v>
      </c>
      <c r="N236">
        <v>5.5330687199999999E-2</v>
      </c>
      <c r="O236" t="s">
        <v>56</v>
      </c>
      <c r="P236" t="s">
        <v>63</v>
      </c>
      <c r="Q236" t="s">
        <v>2616</v>
      </c>
      <c r="R236" t="s">
        <v>2620</v>
      </c>
      <c r="S236" t="s">
        <v>67</v>
      </c>
      <c r="T236" t="s">
        <v>3019</v>
      </c>
      <c r="U236" t="s">
        <v>3020</v>
      </c>
      <c r="V236">
        <v>16</v>
      </c>
      <c r="W236" s="2">
        <v>63.725860687000001</v>
      </c>
    </row>
    <row r="237" spans="1:23" x14ac:dyDescent="0.25">
      <c r="A237" t="s">
        <v>31</v>
      </c>
      <c r="B237" t="s">
        <v>32</v>
      </c>
      <c r="C237" t="s">
        <v>33</v>
      </c>
      <c r="D237" t="s">
        <v>34</v>
      </c>
      <c r="E237" t="s">
        <v>35</v>
      </c>
      <c r="F237" t="s">
        <v>36</v>
      </c>
      <c r="G237">
        <v>1141685</v>
      </c>
      <c r="H237" t="s">
        <v>80</v>
      </c>
      <c r="I237" t="s">
        <v>96</v>
      </c>
      <c r="J237" t="s">
        <v>80</v>
      </c>
      <c r="K237" t="s">
        <v>122</v>
      </c>
      <c r="L237" s="1">
        <v>46143</v>
      </c>
      <c r="M237" s="1">
        <v>46173</v>
      </c>
      <c r="N237">
        <v>0.87907769160000004</v>
      </c>
      <c r="O237" t="s">
        <v>56</v>
      </c>
      <c r="P237" t="s">
        <v>63</v>
      </c>
      <c r="Q237" t="s">
        <v>2616</v>
      </c>
      <c r="R237" t="s">
        <v>2617</v>
      </c>
      <c r="S237" t="s">
        <v>67</v>
      </c>
      <c r="T237" t="s">
        <v>3021</v>
      </c>
      <c r="U237" t="s">
        <v>3022</v>
      </c>
      <c r="V237">
        <v>16</v>
      </c>
      <c r="W237" s="2">
        <v>153.36022678450001</v>
      </c>
    </row>
    <row r="238" spans="1:23" x14ac:dyDescent="0.25">
      <c r="A238" t="s">
        <v>31</v>
      </c>
      <c r="B238" t="s">
        <v>32</v>
      </c>
      <c r="C238" t="s">
        <v>33</v>
      </c>
      <c r="D238" t="s">
        <v>34</v>
      </c>
      <c r="E238" t="s">
        <v>35</v>
      </c>
      <c r="F238" t="s">
        <v>36</v>
      </c>
      <c r="G238">
        <v>1141685</v>
      </c>
      <c r="H238" t="s">
        <v>80</v>
      </c>
      <c r="I238" t="s">
        <v>96</v>
      </c>
      <c r="J238" t="s">
        <v>80</v>
      </c>
      <c r="K238" t="s">
        <v>122</v>
      </c>
      <c r="L238" s="1">
        <v>46143</v>
      </c>
      <c r="M238" s="1">
        <v>46173</v>
      </c>
      <c r="N238">
        <v>2.3940908265999998</v>
      </c>
      <c r="O238" t="s">
        <v>56</v>
      </c>
      <c r="P238" t="s">
        <v>63</v>
      </c>
      <c r="Q238" t="s">
        <v>2616</v>
      </c>
      <c r="R238" t="s">
        <v>2620</v>
      </c>
      <c r="S238" t="s">
        <v>67</v>
      </c>
      <c r="T238" t="s">
        <v>3023</v>
      </c>
      <c r="U238" t="s">
        <v>3024</v>
      </c>
      <c r="V238">
        <v>16</v>
      </c>
      <c r="W238" s="2">
        <v>417.6723153387</v>
      </c>
    </row>
    <row r="239" spans="1:23" x14ac:dyDescent="0.25">
      <c r="A239" t="s">
        <v>31</v>
      </c>
      <c r="B239" t="s">
        <v>32</v>
      </c>
      <c r="C239" t="s">
        <v>33</v>
      </c>
      <c r="D239" t="s">
        <v>34</v>
      </c>
      <c r="E239" t="s">
        <v>35</v>
      </c>
      <c r="F239" t="s">
        <v>36</v>
      </c>
      <c r="G239">
        <v>1141685</v>
      </c>
      <c r="H239" t="s">
        <v>80</v>
      </c>
      <c r="I239" t="s">
        <v>96</v>
      </c>
      <c r="J239" t="s">
        <v>80</v>
      </c>
      <c r="K239" t="s">
        <v>122</v>
      </c>
      <c r="L239" s="1">
        <v>46143</v>
      </c>
      <c r="M239" s="1">
        <v>46173</v>
      </c>
      <c r="N239">
        <v>2.3758213259000001</v>
      </c>
      <c r="O239" t="s">
        <v>56</v>
      </c>
      <c r="P239" t="s">
        <v>63</v>
      </c>
      <c r="Q239" t="s">
        <v>2616</v>
      </c>
      <c r="R239" t="s">
        <v>2620</v>
      </c>
      <c r="S239" t="s">
        <v>67</v>
      </c>
      <c r="T239" t="s">
        <v>3025</v>
      </c>
      <c r="U239" t="s">
        <v>3026</v>
      </c>
      <c r="V239">
        <v>16</v>
      </c>
      <c r="W239" s="2">
        <v>414.48749389789998</v>
      </c>
    </row>
    <row r="240" spans="1:23" x14ac:dyDescent="0.25">
      <c r="A240" t="s">
        <v>31</v>
      </c>
      <c r="B240" t="s">
        <v>32</v>
      </c>
      <c r="C240" t="s">
        <v>33</v>
      </c>
      <c r="D240" t="s">
        <v>34</v>
      </c>
      <c r="E240" t="s">
        <v>35</v>
      </c>
      <c r="F240" t="s">
        <v>36</v>
      </c>
      <c r="G240">
        <v>1141685</v>
      </c>
      <c r="H240" t="s">
        <v>80</v>
      </c>
      <c r="I240" t="s">
        <v>96</v>
      </c>
      <c r="J240" t="s">
        <v>80</v>
      </c>
      <c r="K240" t="s">
        <v>122</v>
      </c>
      <c r="L240" s="1">
        <v>46143</v>
      </c>
      <c r="M240" s="1">
        <v>46173</v>
      </c>
      <c r="N240">
        <v>11.829228286599999</v>
      </c>
      <c r="O240" t="s">
        <v>56</v>
      </c>
      <c r="P240" t="s">
        <v>63</v>
      </c>
      <c r="Q240" t="s">
        <v>2616</v>
      </c>
      <c r="R240" t="s">
        <v>2620</v>
      </c>
      <c r="S240" t="s">
        <v>67</v>
      </c>
      <c r="T240" t="s">
        <v>3027</v>
      </c>
      <c r="U240" t="s">
        <v>3028</v>
      </c>
      <c r="V240">
        <v>16</v>
      </c>
      <c r="W240" s="2">
        <v>2063.7299068582001</v>
      </c>
    </row>
    <row r="241" spans="1:23" x14ac:dyDescent="0.25">
      <c r="A241" t="s">
        <v>31</v>
      </c>
      <c r="B241" t="s">
        <v>32</v>
      </c>
      <c r="C241" t="s">
        <v>33</v>
      </c>
      <c r="D241" t="s">
        <v>34</v>
      </c>
      <c r="E241" t="s">
        <v>35</v>
      </c>
      <c r="F241" t="s">
        <v>36</v>
      </c>
      <c r="G241">
        <v>1141685</v>
      </c>
      <c r="H241" t="s">
        <v>80</v>
      </c>
      <c r="I241" t="s">
        <v>96</v>
      </c>
      <c r="J241" t="s">
        <v>80</v>
      </c>
      <c r="K241" t="s">
        <v>122</v>
      </c>
      <c r="L241" s="1">
        <v>46143</v>
      </c>
      <c r="M241" s="1">
        <v>46173</v>
      </c>
      <c r="N241">
        <v>2.3690256941999999</v>
      </c>
      <c r="O241" t="s">
        <v>56</v>
      </c>
      <c r="P241" t="s">
        <v>63</v>
      </c>
      <c r="Q241" t="s">
        <v>2616</v>
      </c>
      <c r="R241" t="s">
        <v>2620</v>
      </c>
      <c r="S241" t="s">
        <v>67</v>
      </c>
      <c r="T241" t="s">
        <v>3029</v>
      </c>
      <c r="U241" t="s">
        <v>3030</v>
      </c>
      <c r="V241">
        <v>16</v>
      </c>
      <c r="W241" s="2">
        <v>413.30419589740001</v>
      </c>
    </row>
    <row r="242" spans="1:23" x14ac:dyDescent="0.25">
      <c r="A242" t="s">
        <v>31</v>
      </c>
      <c r="B242" t="s">
        <v>32</v>
      </c>
      <c r="C242" t="s">
        <v>33</v>
      </c>
      <c r="D242" t="s">
        <v>34</v>
      </c>
      <c r="E242" t="s">
        <v>35</v>
      </c>
      <c r="F242" t="s">
        <v>36</v>
      </c>
      <c r="G242">
        <v>1141685</v>
      </c>
      <c r="H242" t="s">
        <v>76</v>
      </c>
      <c r="I242" t="s">
        <v>95</v>
      </c>
      <c r="J242" t="s">
        <v>99</v>
      </c>
      <c r="K242" t="s">
        <v>109</v>
      </c>
      <c r="L242" s="1">
        <v>46143</v>
      </c>
      <c r="M242" s="1">
        <v>46173</v>
      </c>
      <c r="N242">
        <v>0.81668300000000005</v>
      </c>
      <c r="O242" t="s">
        <v>58</v>
      </c>
      <c r="P242" t="s">
        <v>63</v>
      </c>
      <c r="Q242" t="s">
        <v>2635</v>
      </c>
      <c r="R242" t="s">
        <v>2620</v>
      </c>
      <c r="S242" t="s">
        <v>67</v>
      </c>
      <c r="T242" t="s">
        <v>2779</v>
      </c>
      <c r="U242" t="s">
        <v>2780</v>
      </c>
      <c r="V242">
        <v>16</v>
      </c>
      <c r="W242" s="2">
        <v>0</v>
      </c>
    </row>
    <row r="243" spans="1:23" x14ac:dyDescent="0.25">
      <c r="A243" t="s">
        <v>31</v>
      </c>
      <c r="B243" t="s">
        <v>32</v>
      </c>
      <c r="C243" t="s">
        <v>33</v>
      </c>
      <c r="D243" t="s">
        <v>34</v>
      </c>
      <c r="E243" t="s">
        <v>35</v>
      </c>
      <c r="F243" t="s">
        <v>36</v>
      </c>
      <c r="G243">
        <v>1141685</v>
      </c>
      <c r="H243" t="s">
        <v>76</v>
      </c>
      <c r="I243" t="s">
        <v>95</v>
      </c>
      <c r="J243" t="s">
        <v>99</v>
      </c>
      <c r="K243" t="s">
        <v>109</v>
      </c>
      <c r="L243" s="1">
        <v>46143</v>
      </c>
      <c r="M243" s="1">
        <v>46173</v>
      </c>
      <c r="N243">
        <v>2.950059</v>
      </c>
      <c r="O243" t="s">
        <v>58</v>
      </c>
      <c r="P243" t="s">
        <v>63</v>
      </c>
      <c r="Q243" t="s">
        <v>2635</v>
      </c>
      <c r="R243" t="s">
        <v>2620</v>
      </c>
      <c r="S243" t="s">
        <v>67</v>
      </c>
      <c r="T243" t="s">
        <v>2779</v>
      </c>
      <c r="U243" t="s">
        <v>2780</v>
      </c>
      <c r="V243">
        <v>16</v>
      </c>
      <c r="W243" s="2">
        <v>0</v>
      </c>
    </row>
    <row r="244" spans="1:23" x14ac:dyDescent="0.25">
      <c r="A244" t="s">
        <v>31</v>
      </c>
      <c r="B244" t="s">
        <v>32</v>
      </c>
      <c r="C244" t="s">
        <v>33</v>
      </c>
      <c r="D244" t="s">
        <v>34</v>
      </c>
      <c r="E244" t="s">
        <v>35</v>
      </c>
      <c r="F244" t="s">
        <v>36</v>
      </c>
      <c r="G244">
        <v>1141685</v>
      </c>
      <c r="H244" t="s">
        <v>79</v>
      </c>
      <c r="I244" t="s">
        <v>94</v>
      </c>
      <c r="J244" t="s">
        <v>101</v>
      </c>
      <c r="K244" t="s">
        <v>116</v>
      </c>
      <c r="L244" s="1">
        <v>46143</v>
      </c>
      <c r="M244" s="1">
        <v>46173</v>
      </c>
      <c r="N244">
        <v>0.340494452</v>
      </c>
      <c r="O244" t="s">
        <v>56</v>
      </c>
      <c r="P244" t="s">
        <v>63</v>
      </c>
      <c r="Q244" t="s">
        <v>2616</v>
      </c>
      <c r="R244" t="s">
        <v>2620</v>
      </c>
      <c r="S244" t="s">
        <v>67</v>
      </c>
      <c r="T244" t="s">
        <v>3031</v>
      </c>
      <c r="U244" t="s">
        <v>3032</v>
      </c>
      <c r="V244">
        <v>16</v>
      </c>
      <c r="W244" s="2">
        <v>475.22474120750002</v>
      </c>
    </row>
    <row r="245" spans="1:23" x14ac:dyDescent="0.25">
      <c r="A245" t="s">
        <v>31</v>
      </c>
      <c r="B245" t="s">
        <v>32</v>
      </c>
      <c r="C245" t="s">
        <v>33</v>
      </c>
      <c r="D245" t="s">
        <v>34</v>
      </c>
      <c r="E245" t="s">
        <v>35</v>
      </c>
      <c r="F245" t="s">
        <v>36</v>
      </c>
      <c r="G245">
        <v>1141685</v>
      </c>
      <c r="H245" t="s">
        <v>79</v>
      </c>
      <c r="I245" t="s">
        <v>94</v>
      </c>
      <c r="J245" t="s">
        <v>101</v>
      </c>
      <c r="K245" t="s">
        <v>116</v>
      </c>
      <c r="L245" s="1">
        <v>46143</v>
      </c>
      <c r="M245" s="1">
        <v>46173</v>
      </c>
      <c r="N245">
        <v>0.13791476380000001</v>
      </c>
      <c r="O245" t="s">
        <v>56</v>
      </c>
      <c r="P245" t="s">
        <v>63</v>
      </c>
      <c r="Q245" t="s">
        <v>2616</v>
      </c>
      <c r="R245" t="s">
        <v>2620</v>
      </c>
      <c r="S245" t="s">
        <v>67</v>
      </c>
      <c r="T245" t="s">
        <v>3033</v>
      </c>
      <c r="U245" t="s">
        <v>3034</v>
      </c>
      <c r="V245">
        <v>16</v>
      </c>
      <c r="W245" s="2">
        <v>161.2376851098</v>
      </c>
    </row>
    <row r="246" spans="1:23" x14ac:dyDescent="0.25">
      <c r="A246" t="s">
        <v>31</v>
      </c>
      <c r="B246" t="s">
        <v>32</v>
      </c>
      <c r="C246" t="s">
        <v>33</v>
      </c>
      <c r="D246" t="s">
        <v>34</v>
      </c>
      <c r="E246" t="s">
        <v>35</v>
      </c>
      <c r="F246" t="s">
        <v>36</v>
      </c>
      <c r="G246">
        <v>1141685</v>
      </c>
      <c r="H246" t="s">
        <v>79</v>
      </c>
      <c r="I246" t="s">
        <v>94</v>
      </c>
      <c r="J246" t="s">
        <v>101</v>
      </c>
      <c r="K246" t="s">
        <v>116</v>
      </c>
      <c r="L246" s="1">
        <v>46143</v>
      </c>
      <c r="M246" s="1">
        <v>46173</v>
      </c>
      <c r="N246">
        <v>6.8018915099999994E-2</v>
      </c>
      <c r="O246" t="s">
        <v>56</v>
      </c>
      <c r="P246" t="s">
        <v>63</v>
      </c>
      <c r="Q246" t="s">
        <v>2616</v>
      </c>
      <c r="R246" t="s">
        <v>2620</v>
      </c>
      <c r="S246" t="s">
        <v>67</v>
      </c>
      <c r="T246" t="s">
        <v>3035</v>
      </c>
      <c r="U246" t="s">
        <v>3036</v>
      </c>
      <c r="V246">
        <v>16</v>
      </c>
      <c r="W246" s="2">
        <v>94.930722733300001</v>
      </c>
    </row>
    <row r="247" spans="1:23" x14ac:dyDescent="0.25">
      <c r="A247" t="s">
        <v>31</v>
      </c>
      <c r="B247" t="s">
        <v>32</v>
      </c>
      <c r="C247" t="s">
        <v>33</v>
      </c>
      <c r="D247" t="s">
        <v>34</v>
      </c>
      <c r="E247" t="s">
        <v>35</v>
      </c>
      <c r="F247" t="s">
        <v>36</v>
      </c>
      <c r="G247">
        <v>1141685</v>
      </c>
      <c r="H247" t="s">
        <v>79</v>
      </c>
      <c r="I247" t="s">
        <v>94</v>
      </c>
      <c r="J247" t="s">
        <v>101</v>
      </c>
      <c r="K247" t="s">
        <v>116</v>
      </c>
      <c r="L247" s="1">
        <v>46143</v>
      </c>
      <c r="M247" s="1">
        <v>46173</v>
      </c>
      <c r="N247">
        <v>7.1183576200000001E-2</v>
      </c>
      <c r="O247" t="s">
        <v>56</v>
      </c>
      <c r="P247" t="s">
        <v>63</v>
      </c>
      <c r="Q247" t="s">
        <v>2616</v>
      </c>
      <c r="R247" t="s">
        <v>2620</v>
      </c>
      <c r="S247" t="s">
        <v>67</v>
      </c>
      <c r="T247" t="s">
        <v>3037</v>
      </c>
      <c r="U247" t="s">
        <v>3038</v>
      </c>
      <c r="V247">
        <v>16</v>
      </c>
      <c r="W247" s="2">
        <v>99.347554454200008</v>
      </c>
    </row>
    <row r="248" spans="1:23" x14ac:dyDescent="0.25">
      <c r="A248" t="s">
        <v>31</v>
      </c>
      <c r="B248" t="s">
        <v>32</v>
      </c>
      <c r="C248" t="s">
        <v>33</v>
      </c>
      <c r="D248" t="s">
        <v>34</v>
      </c>
      <c r="E248" t="s">
        <v>35</v>
      </c>
      <c r="F248" t="s">
        <v>36</v>
      </c>
      <c r="G248">
        <v>1141685</v>
      </c>
      <c r="H248" t="s">
        <v>77</v>
      </c>
      <c r="I248" t="s">
        <v>96</v>
      </c>
      <c r="J248" t="s">
        <v>77</v>
      </c>
      <c r="K248" t="s">
        <v>110</v>
      </c>
      <c r="L248" s="1">
        <v>46143</v>
      </c>
      <c r="M248" s="1">
        <v>46173</v>
      </c>
      <c r="N248">
        <v>744</v>
      </c>
      <c r="O248" t="s">
        <v>58</v>
      </c>
      <c r="P248" t="s">
        <v>63</v>
      </c>
      <c r="Q248" t="s">
        <v>2662</v>
      </c>
      <c r="R248" t="s">
        <v>3039</v>
      </c>
      <c r="S248" t="s">
        <v>67</v>
      </c>
      <c r="T248" t="s">
        <v>172</v>
      </c>
      <c r="U248" t="s">
        <v>327</v>
      </c>
      <c r="V248">
        <v>7</v>
      </c>
      <c r="W248" s="2">
        <v>129798.2412</v>
      </c>
    </row>
    <row r="249" spans="1:23" x14ac:dyDescent="0.25">
      <c r="A249" t="s">
        <v>31</v>
      </c>
      <c r="B249" t="s">
        <v>32</v>
      </c>
      <c r="C249" t="s">
        <v>33</v>
      </c>
      <c r="D249" t="s">
        <v>34</v>
      </c>
      <c r="E249" t="s">
        <v>35</v>
      </c>
      <c r="F249" t="s">
        <v>36</v>
      </c>
      <c r="G249">
        <v>1141685</v>
      </c>
      <c r="H249" t="s">
        <v>76</v>
      </c>
      <c r="I249" t="s">
        <v>95</v>
      </c>
      <c r="J249" t="s">
        <v>99</v>
      </c>
      <c r="K249" t="s">
        <v>109</v>
      </c>
      <c r="L249" s="1">
        <v>46143</v>
      </c>
      <c r="M249" s="1">
        <v>46173</v>
      </c>
      <c r="N249">
        <v>76</v>
      </c>
      <c r="O249" t="s">
        <v>58</v>
      </c>
      <c r="P249" t="s">
        <v>63</v>
      </c>
      <c r="Q249" t="s">
        <v>2635</v>
      </c>
      <c r="R249" t="s">
        <v>2620</v>
      </c>
      <c r="S249" t="s">
        <v>67</v>
      </c>
      <c r="T249" t="s">
        <v>2646</v>
      </c>
      <c r="U249" t="s">
        <v>2647</v>
      </c>
      <c r="V249">
        <v>16</v>
      </c>
      <c r="W249" s="2">
        <v>0</v>
      </c>
    </row>
    <row r="250" spans="1:23" x14ac:dyDescent="0.25">
      <c r="A250" t="s">
        <v>31</v>
      </c>
      <c r="B250" t="s">
        <v>32</v>
      </c>
      <c r="C250" t="s">
        <v>33</v>
      </c>
      <c r="D250" t="s">
        <v>34</v>
      </c>
      <c r="E250" t="s">
        <v>35</v>
      </c>
      <c r="F250" t="s">
        <v>36</v>
      </c>
      <c r="G250">
        <v>1141685</v>
      </c>
      <c r="H250" t="s">
        <v>76</v>
      </c>
      <c r="I250" t="s">
        <v>95</v>
      </c>
      <c r="J250" t="s">
        <v>99</v>
      </c>
      <c r="K250" t="s">
        <v>109</v>
      </c>
      <c r="L250" s="1">
        <v>46143</v>
      </c>
      <c r="M250" s="1">
        <v>46173</v>
      </c>
      <c r="N250">
        <v>1.966704</v>
      </c>
      <c r="O250" t="s">
        <v>58</v>
      </c>
      <c r="P250" t="s">
        <v>63</v>
      </c>
      <c r="Q250" t="s">
        <v>2635</v>
      </c>
      <c r="R250" t="s">
        <v>2620</v>
      </c>
      <c r="S250" t="s">
        <v>67</v>
      </c>
      <c r="T250" t="s">
        <v>2646</v>
      </c>
      <c r="U250" t="s">
        <v>2647</v>
      </c>
      <c r="V250">
        <v>16</v>
      </c>
      <c r="W250" s="2">
        <v>0</v>
      </c>
    </row>
    <row r="251" spans="1:23" x14ac:dyDescent="0.25">
      <c r="A251" t="s">
        <v>31</v>
      </c>
      <c r="B251" t="s">
        <v>32</v>
      </c>
      <c r="C251" t="s">
        <v>33</v>
      </c>
      <c r="D251" t="s">
        <v>34</v>
      </c>
      <c r="E251" t="s">
        <v>35</v>
      </c>
      <c r="F251" t="s">
        <v>36</v>
      </c>
      <c r="G251">
        <v>1141685</v>
      </c>
      <c r="H251" t="s">
        <v>76</v>
      </c>
      <c r="I251" t="s">
        <v>95</v>
      </c>
      <c r="J251" t="s">
        <v>99</v>
      </c>
      <c r="K251" t="s">
        <v>109</v>
      </c>
      <c r="L251" s="1">
        <v>46143</v>
      </c>
      <c r="M251" s="1">
        <v>46173</v>
      </c>
      <c r="N251">
        <v>1.9667060000000001</v>
      </c>
      <c r="O251" t="s">
        <v>58</v>
      </c>
      <c r="P251" t="s">
        <v>63</v>
      </c>
      <c r="Q251" t="s">
        <v>2635</v>
      </c>
      <c r="R251" t="s">
        <v>2620</v>
      </c>
      <c r="S251" t="s">
        <v>67</v>
      </c>
      <c r="T251" t="s">
        <v>2646</v>
      </c>
      <c r="U251" t="s">
        <v>2647</v>
      </c>
      <c r="V251">
        <v>16</v>
      </c>
      <c r="W251" s="2">
        <v>0</v>
      </c>
    </row>
    <row r="252" spans="1:23" x14ac:dyDescent="0.25">
      <c r="A252" t="s">
        <v>31</v>
      </c>
      <c r="B252" t="s">
        <v>32</v>
      </c>
      <c r="C252" t="s">
        <v>33</v>
      </c>
      <c r="D252" t="s">
        <v>34</v>
      </c>
      <c r="E252" t="s">
        <v>35</v>
      </c>
      <c r="F252" t="s">
        <v>36</v>
      </c>
      <c r="G252">
        <v>1141685</v>
      </c>
      <c r="H252" t="s">
        <v>79</v>
      </c>
      <c r="I252" t="s">
        <v>94</v>
      </c>
      <c r="J252" t="s">
        <v>101</v>
      </c>
      <c r="K252" t="s">
        <v>114</v>
      </c>
      <c r="L252" s="1">
        <v>46143</v>
      </c>
      <c r="M252" s="1">
        <v>46173</v>
      </c>
      <c r="N252">
        <v>6.2336166999999998E-3</v>
      </c>
      <c r="O252" t="s">
        <v>56</v>
      </c>
      <c r="P252" t="s">
        <v>63</v>
      </c>
      <c r="Q252" t="s">
        <v>2662</v>
      </c>
      <c r="R252" t="s">
        <v>2795</v>
      </c>
      <c r="S252" t="s">
        <v>67</v>
      </c>
      <c r="T252" t="s">
        <v>3040</v>
      </c>
      <c r="U252" t="s">
        <v>3041</v>
      </c>
      <c r="V252">
        <v>7</v>
      </c>
      <c r="W252" s="2">
        <v>8.6961180961999993</v>
      </c>
    </row>
    <row r="253" spans="1:23" x14ac:dyDescent="0.25">
      <c r="A253" t="s">
        <v>31</v>
      </c>
      <c r="B253" t="s">
        <v>32</v>
      </c>
      <c r="C253" t="s">
        <v>33</v>
      </c>
      <c r="D253" t="s">
        <v>34</v>
      </c>
      <c r="E253" t="s">
        <v>35</v>
      </c>
      <c r="F253" t="s">
        <v>36</v>
      </c>
      <c r="G253">
        <v>1141685</v>
      </c>
      <c r="H253" t="s">
        <v>1351</v>
      </c>
      <c r="I253" t="s">
        <v>1353</v>
      </c>
      <c r="J253" t="s">
        <v>1351</v>
      </c>
      <c r="K253" t="s">
        <v>1356</v>
      </c>
      <c r="L253" s="1">
        <v>46143</v>
      </c>
      <c r="M253" s="1">
        <v>46173</v>
      </c>
      <c r="N253">
        <v>1.1632</v>
      </c>
      <c r="O253" t="s">
        <v>59</v>
      </c>
      <c r="P253" t="s">
        <v>63</v>
      </c>
      <c r="Q253" t="s">
        <v>2662</v>
      </c>
      <c r="R253" t="s">
        <v>2663</v>
      </c>
      <c r="S253" t="s">
        <v>68</v>
      </c>
      <c r="T253" t="s">
        <v>3042</v>
      </c>
      <c r="U253" t="s">
        <v>3043</v>
      </c>
      <c r="V253">
        <v>8</v>
      </c>
      <c r="W253" s="2">
        <v>525.59232266239997</v>
      </c>
    </row>
    <row r="254" spans="1:23" x14ac:dyDescent="0.25">
      <c r="A254" t="s">
        <v>31</v>
      </c>
      <c r="B254" t="s">
        <v>32</v>
      </c>
      <c r="C254" t="s">
        <v>33</v>
      </c>
      <c r="D254" t="s">
        <v>34</v>
      </c>
      <c r="E254" t="s">
        <v>35</v>
      </c>
      <c r="F254" t="s">
        <v>36</v>
      </c>
      <c r="G254">
        <v>1141685</v>
      </c>
      <c r="H254" t="s">
        <v>1351</v>
      </c>
      <c r="I254" t="s">
        <v>1353</v>
      </c>
      <c r="J254" t="s">
        <v>1351</v>
      </c>
      <c r="K254" t="s">
        <v>1357</v>
      </c>
      <c r="L254" s="1">
        <v>46143</v>
      </c>
      <c r="M254" s="1">
        <v>46173</v>
      </c>
      <c r="N254">
        <v>0.53406325600000004</v>
      </c>
      <c r="O254" t="s">
        <v>56</v>
      </c>
      <c r="P254" t="s">
        <v>63</v>
      </c>
      <c r="Q254" t="s">
        <v>2662</v>
      </c>
      <c r="R254" t="s">
        <v>2663</v>
      </c>
      <c r="S254" t="s">
        <v>68</v>
      </c>
      <c r="T254" t="s">
        <v>3044</v>
      </c>
      <c r="U254" t="s">
        <v>3045</v>
      </c>
      <c r="V254">
        <v>8</v>
      </c>
      <c r="W254" s="2">
        <v>1304.4173639065</v>
      </c>
    </row>
    <row r="255" spans="1:23" x14ac:dyDescent="0.25">
      <c r="A255" t="s">
        <v>31</v>
      </c>
      <c r="B255" t="s">
        <v>32</v>
      </c>
      <c r="C255" t="s">
        <v>33</v>
      </c>
      <c r="D255" t="s">
        <v>34</v>
      </c>
      <c r="E255" t="s">
        <v>35</v>
      </c>
      <c r="F255" t="s">
        <v>36</v>
      </c>
      <c r="G255">
        <v>1141685</v>
      </c>
      <c r="H255" t="s">
        <v>79</v>
      </c>
      <c r="I255" t="s">
        <v>94</v>
      </c>
      <c r="J255" t="s">
        <v>101</v>
      </c>
      <c r="K255" t="s">
        <v>114</v>
      </c>
      <c r="L255" s="1">
        <v>46143</v>
      </c>
      <c r="M255" s="1">
        <v>46173</v>
      </c>
      <c r="N255">
        <v>2.8204527E-3</v>
      </c>
      <c r="O255" t="s">
        <v>56</v>
      </c>
      <c r="P255" t="s">
        <v>63</v>
      </c>
      <c r="Q255" t="s">
        <v>2616</v>
      </c>
      <c r="R255" t="s">
        <v>2620</v>
      </c>
      <c r="S255" t="s">
        <v>67</v>
      </c>
      <c r="T255" t="s">
        <v>3046</v>
      </c>
      <c r="U255" t="s">
        <v>3047</v>
      </c>
      <c r="V255">
        <v>16</v>
      </c>
      <c r="W255" s="2">
        <v>3.9340754606999999</v>
      </c>
    </row>
    <row r="256" spans="1:23" x14ac:dyDescent="0.25">
      <c r="A256" t="s">
        <v>31</v>
      </c>
      <c r="B256" t="s">
        <v>32</v>
      </c>
      <c r="C256" t="s">
        <v>33</v>
      </c>
      <c r="D256" t="s">
        <v>34</v>
      </c>
      <c r="E256" t="s">
        <v>35</v>
      </c>
      <c r="F256" t="s">
        <v>36</v>
      </c>
      <c r="G256">
        <v>1141685</v>
      </c>
      <c r="H256" t="s">
        <v>79</v>
      </c>
      <c r="I256" t="s">
        <v>94</v>
      </c>
      <c r="J256" t="s">
        <v>101</v>
      </c>
      <c r="K256" t="s">
        <v>114</v>
      </c>
      <c r="L256" s="1">
        <v>46143</v>
      </c>
      <c r="M256" s="1">
        <v>46173</v>
      </c>
      <c r="N256">
        <v>6.6185560000000003E-4</v>
      </c>
      <c r="O256" t="s">
        <v>56</v>
      </c>
      <c r="P256" t="s">
        <v>63</v>
      </c>
      <c r="Q256" t="s">
        <v>2616</v>
      </c>
      <c r="R256" t="s">
        <v>2620</v>
      </c>
      <c r="S256" t="s">
        <v>67</v>
      </c>
      <c r="T256" t="s">
        <v>3048</v>
      </c>
      <c r="U256" t="s">
        <v>3049</v>
      </c>
      <c r="V256">
        <v>16</v>
      </c>
      <c r="W256" s="2">
        <v>0.92288994359999998</v>
      </c>
    </row>
    <row r="257" spans="1:23" x14ac:dyDescent="0.25">
      <c r="A257" t="s">
        <v>31</v>
      </c>
      <c r="B257" t="s">
        <v>32</v>
      </c>
      <c r="C257" t="s">
        <v>33</v>
      </c>
      <c r="D257" t="s">
        <v>34</v>
      </c>
      <c r="E257" t="s">
        <v>35</v>
      </c>
      <c r="F257" t="s">
        <v>36</v>
      </c>
      <c r="G257">
        <v>1141685</v>
      </c>
      <c r="H257" t="s">
        <v>79</v>
      </c>
      <c r="I257" t="s">
        <v>94</v>
      </c>
      <c r="J257" t="s">
        <v>101</v>
      </c>
      <c r="K257" t="s">
        <v>114</v>
      </c>
      <c r="L257" s="1">
        <v>46143</v>
      </c>
      <c r="M257" s="1">
        <v>46173</v>
      </c>
      <c r="N257">
        <v>8.7949730000000002E-4</v>
      </c>
      <c r="O257" t="s">
        <v>56</v>
      </c>
      <c r="P257" t="s">
        <v>63</v>
      </c>
      <c r="Q257" t="s">
        <v>2616</v>
      </c>
      <c r="R257" t="s">
        <v>2620</v>
      </c>
      <c r="S257" t="s">
        <v>67</v>
      </c>
      <c r="T257" t="s">
        <v>3050</v>
      </c>
      <c r="U257" t="s">
        <v>3051</v>
      </c>
      <c r="V257">
        <v>16</v>
      </c>
      <c r="W257" s="2">
        <v>1.2301971357999999</v>
      </c>
    </row>
    <row r="258" spans="1:23" x14ac:dyDescent="0.25">
      <c r="A258" t="s">
        <v>31</v>
      </c>
      <c r="B258" t="s">
        <v>32</v>
      </c>
      <c r="C258" t="s">
        <v>33</v>
      </c>
      <c r="D258" t="s">
        <v>34</v>
      </c>
      <c r="E258" t="s">
        <v>35</v>
      </c>
      <c r="F258" t="s">
        <v>36</v>
      </c>
      <c r="G258">
        <v>1141685</v>
      </c>
      <c r="H258" t="s">
        <v>77</v>
      </c>
      <c r="I258" t="s">
        <v>96</v>
      </c>
      <c r="J258" t="s">
        <v>77</v>
      </c>
      <c r="K258" t="s">
        <v>111</v>
      </c>
      <c r="L258" s="1">
        <v>46143</v>
      </c>
      <c r="M258" s="1">
        <v>46173</v>
      </c>
      <c r="N258">
        <v>4.0807849999999999E-4</v>
      </c>
      <c r="O258" t="s">
        <v>56</v>
      </c>
      <c r="P258" t="s">
        <v>63</v>
      </c>
      <c r="Q258" t="s">
        <v>2616</v>
      </c>
      <c r="R258" t="s">
        <v>2617</v>
      </c>
      <c r="S258" t="s">
        <v>67</v>
      </c>
      <c r="T258" t="s">
        <v>3052</v>
      </c>
      <c r="U258" t="s">
        <v>3053</v>
      </c>
      <c r="V258">
        <v>16</v>
      </c>
      <c r="W258" s="2">
        <v>7.2650175899999989E-2</v>
      </c>
    </row>
    <row r="259" spans="1:23" x14ac:dyDescent="0.25">
      <c r="A259" t="s">
        <v>31</v>
      </c>
      <c r="B259" t="s">
        <v>32</v>
      </c>
      <c r="C259" t="s">
        <v>33</v>
      </c>
      <c r="D259" t="s">
        <v>34</v>
      </c>
      <c r="E259" t="s">
        <v>35</v>
      </c>
      <c r="F259" t="s">
        <v>36</v>
      </c>
      <c r="G259">
        <v>1141685</v>
      </c>
      <c r="H259" t="s">
        <v>1351</v>
      </c>
      <c r="I259" t="s">
        <v>1353</v>
      </c>
      <c r="J259" t="s">
        <v>1351</v>
      </c>
      <c r="K259" t="s">
        <v>1357</v>
      </c>
      <c r="L259" s="1">
        <v>46143</v>
      </c>
      <c r="M259" s="1">
        <v>46173</v>
      </c>
      <c r="N259">
        <v>0.42724672899999999</v>
      </c>
      <c r="O259" t="s">
        <v>56</v>
      </c>
      <c r="P259" t="s">
        <v>63</v>
      </c>
      <c r="Q259" t="s">
        <v>2662</v>
      </c>
      <c r="R259" t="s">
        <v>2663</v>
      </c>
      <c r="S259" t="s">
        <v>68</v>
      </c>
      <c r="T259" t="s">
        <v>3054</v>
      </c>
      <c r="U259" t="s">
        <v>3055</v>
      </c>
      <c r="V259">
        <v>8</v>
      </c>
      <c r="W259" s="2">
        <v>834.82124854819995</v>
      </c>
    </row>
    <row r="260" spans="1:23" x14ac:dyDescent="0.25">
      <c r="A260" t="s">
        <v>31</v>
      </c>
      <c r="B260" t="s">
        <v>32</v>
      </c>
      <c r="C260" t="s">
        <v>33</v>
      </c>
      <c r="D260" t="s">
        <v>34</v>
      </c>
      <c r="E260" t="s">
        <v>35</v>
      </c>
      <c r="F260" t="s">
        <v>36</v>
      </c>
      <c r="G260">
        <v>1141685</v>
      </c>
      <c r="H260" t="s">
        <v>77</v>
      </c>
      <c r="I260" t="s">
        <v>96</v>
      </c>
      <c r="J260" t="s">
        <v>77</v>
      </c>
      <c r="K260" t="s">
        <v>111</v>
      </c>
      <c r="L260" s="1">
        <v>46143</v>
      </c>
      <c r="M260" s="1">
        <v>46173</v>
      </c>
      <c r="N260">
        <v>5.9533687000000004E-3</v>
      </c>
      <c r="O260" t="s">
        <v>56</v>
      </c>
      <c r="P260" t="s">
        <v>63</v>
      </c>
      <c r="Q260" t="s">
        <v>2662</v>
      </c>
      <c r="R260" t="s">
        <v>2795</v>
      </c>
      <c r="S260" t="s">
        <v>67</v>
      </c>
      <c r="T260" t="s">
        <v>3056</v>
      </c>
      <c r="U260" t="s">
        <v>3057</v>
      </c>
      <c r="V260">
        <v>7</v>
      </c>
      <c r="W260" s="2">
        <v>1.0339897435000001</v>
      </c>
    </row>
    <row r="261" spans="1:23" x14ac:dyDescent="0.25">
      <c r="A261" t="s">
        <v>31</v>
      </c>
      <c r="B261" t="s">
        <v>32</v>
      </c>
      <c r="C261" t="s">
        <v>33</v>
      </c>
      <c r="D261" t="s">
        <v>34</v>
      </c>
      <c r="E261" t="s">
        <v>35</v>
      </c>
      <c r="F261" t="s">
        <v>36</v>
      </c>
      <c r="G261">
        <v>1141685</v>
      </c>
      <c r="H261" t="s">
        <v>38</v>
      </c>
      <c r="I261" t="s">
        <v>38</v>
      </c>
      <c r="J261" t="s">
        <v>38</v>
      </c>
      <c r="K261" t="s">
        <v>50</v>
      </c>
      <c r="L261" s="1">
        <v>46143</v>
      </c>
      <c r="M261" s="1">
        <v>46173</v>
      </c>
      <c r="N261">
        <v>744</v>
      </c>
      <c r="O261" t="s">
        <v>61</v>
      </c>
      <c r="P261" t="s">
        <v>63</v>
      </c>
      <c r="Q261" t="s">
        <v>2676</v>
      </c>
      <c r="R261" t="s">
        <v>2705</v>
      </c>
      <c r="S261" t="s">
        <v>67</v>
      </c>
      <c r="T261" t="s">
        <v>3058</v>
      </c>
      <c r="U261" t="s">
        <v>3059</v>
      </c>
      <c r="V261">
        <v>6</v>
      </c>
      <c r="W261" s="2">
        <v>324.496128</v>
      </c>
    </row>
    <row r="262" spans="1:23" x14ac:dyDescent="0.25">
      <c r="A262" t="s">
        <v>31</v>
      </c>
      <c r="B262" t="s">
        <v>32</v>
      </c>
      <c r="C262" t="s">
        <v>33</v>
      </c>
      <c r="D262" t="s">
        <v>34</v>
      </c>
      <c r="E262" t="s">
        <v>35</v>
      </c>
      <c r="F262" t="s">
        <v>36</v>
      </c>
      <c r="G262">
        <v>1141685</v>
      </c>
      <c r="H262" t="s">
        <v>76</v>
      </c>
      <c r="I262" t="s">
        <v>95</v>
      </c>
      <c r="J262" t="s">
        <v>99</v>
      </c>
      <c r="K262" t="s">
        <v>109</v>
      </c>
      <c r="L262" s="1">
        <v>46143</v>
      </c>
      <c r="M262" s="1">
        <v>46173</v>
      </c>
      <c r="N262">
        <v>176</v>
      </c>
      <c r="O262" t="s">
        <v>58</v>
      </c>
      <c r="P262" t="s">
        <v>63</v>
      </c>
      <c r="Q262" t="s">
        <v>2635</v>
      </c>
      <c r="R262" t="s">
        <v>2617</v>
      </c>
      <c r="S262" t="s">
        <v>67</v>
      </c>
      <c r="T262" t="s">
        <v>2636</v>
      </c>
      <c r="U262" t="s">
        <v>2637</v>
      </c>
      <c r="V262">
        <v>16</v>
      </c>
      <c r="W262" s="2">
        <v>0</v>
      </c>
    </row>
    <row r="263" spans="1:23" x14ac:dyDescent="0.25">
      <c r="A263" t="s">
        <v>31</v>
      </c>
      <c r="B263" t="s">
        <v>32</v>
      </c>
      <c r="C263" t="s">
        <v>33</v>
      </c>
      <c r="D263" t="s">
        <v>34</v>
      </c>
      <c r="E263" t="s">
        <v>35</v>
      </c>
      <c r="F263" t="s">
        <v>36</v>
      </c>
      <c r="G263">
        <v>1141685</v>
      </c>
      <c r="H263" t="s">
        <v>76</v>
      </c>
      <c r="I263" t="s">
        <v>95</v>
      </c>
      <c r="J263" t="s">
        <v>99</v>
      </c>
      <c r="K263" t="s">
        <v>109</v>
      </c>
      <c r="L263" s="1">
        <v>46143</v>
      </c>
      <c r="M263" s="1">
        <v>46173</v>
      </c>
      <c r="N263">
        <v>0.28333900000000001</v>
      </c>
      <c r="O263" t="s">
        <v>58</v>
      </c>
      <c r="P263" t="s">
        <v>63</v>
      </c>
      <c r="Q263" t="s">
        <v>2635</v>
      </c>
      <c r="R263" t="s">
        <v>2617</v>
      </c>
      <c r="S263" t="s">
        <v>67</v>
      </c>
      <c r="T263" t="s">
        <v>2781</v>
      </c>
      <c r="U263" t="s">
        <v>2782</v>
      </c>
      <c r="V263">
        <v>16</v>
      </c>
      <c r="W263" s="2">
        <v>0</v>
      </c>
    </row>
    <row r="264" spans="1:23" x14ac:dyDescent="0.25">
      <c r="A264" t="s">
        <v>31</v>
      </c>
      <c r="B264" t="s">
        <v>32</v>
      </c>
      <c r="C264" t="s">
        <v>33</v>
      </c>
      <c r="D264" t="s">
        <v>34</v>
      </c>
      <c r="E264" t="s">
        <v>35</v>
      </c>
      <c r="F264" t="s">
        <v>36</v>
      </c>
      <c r="G264">
        <v>1141685</v>
      </c>
      <c r="H264" t="s">
        <v>76</v>
      </c>
      <c r="I264" t="s">
        <v>95</v>
      </c>
      <c r="J264" t="s">
        <v>99</v>
      </c>
      <c r="K264" t="s">
        <v>109</v>
      </c>
      <c r="L264" s="1">
        <v>46143</v>
      </c>
      <c r="M264" s="1">
        <v>46173</v>
      </c>
      <c r="N264">
        <v>0.183337</v>
      </c>
      <c r="O264" t="s">
        <v>58</v>
      </c>
      <c r="P264" t="s">
        <v>63</v>
      </c>
      <c r="Q264" t="s">
        <v>2635</v>
      </c>
      <c r="R264" t="s">
        <v>2620</v>
      </c>
      <c r="S264" t="s">
        <v>67</v>
      </c>
      <c r="T264" t="s">
        <v>2779</v>
      </c>
      <c r="U264" t="s">
        <v>2780</v>
      </c>
      <c r="V264">
        <v>16</v>
      </c>
      <c r="W264" s="2">
        <v>0</v>
      </c>
    </row>
    <row r="265" spans="1:23" x14ac:dyDescent="0.25">
      <c r="A265" t="s">
        <v>31</v>
      </c>
      <c r="B265" t="s">
        <v>32</v>
      </c>
      <c r="C265" t="s">
        <v>33</v>
      </c>
      <c r="D265" t="s">
        <v>34</v>
      </c>
      <c r="E265" t="s">
        <v>35</v>
      </c>
      <c r="F265" t="s">
        <v>36</v>
      </c>
      <c r="G265">
        <v>1141685</v>
      </c>
      <c r="H265" t="s">
        <v>76</v>
      </c>
      <c r="I265" t="s">
        <v>95</v>
      </c>
      <c r="J265" t="s">
        <v>99</v>
      </c>
      <c r="K265" t="s">
        <v>109</v>
      </c>
      <c r="L265" s="1">
        <v>46143</v>
      </c>
      <c r="M265" s="1">
        <v>46173</v>
      </c>
      <c r="N265">
        <v>1.966704</v>
      </c>
      <c r="O265" t="s">
        <v>58</v>
      </c>
      <c r="P265" t="s">
        <v>63</v>
      </c>
      <c r="Q265" t="s">
        <v>2635</v>
      </c>
      <c r="R265" t="s">
        <v>2620</v>
      </c>
      <c r="S265" t="s">
        <v>67</v>
      </c>
      <c r="T265" t="s">
        <v>2646</v>
      </c>
      <c r="U265" t="s">
        <v>2647</v>
      </c>
      <c r="V265">
        <v>16</v>
      </c>
      <c r="W265" s="2">
        <v>0</v>
      </c>
    </row>
    <row r="266" spans="1:23" x14ac:dyDescent="0.25">
      <c r="A266" t="s">
        <v>31</v>
      </c>
      <c r="B266" t="s">
        <v>32</v>
      </c>
      <c r="C266" t="s">
        <v>33</v>
      </c>
      <c r="D266" t="s">
        <v>34</v>
      </c>
      <c r="E266" t="s">
        <v>35</v>
      </c>
      <c r="F266" t="s">
        <v>36</v>
      </c>
      <c r="G266">
        <v>1141685</v>
      </c>
      <c r="H266" t="s">
        <v>76</v>
      </c>
      <c r="I266" t="s">
        <v>95</v>
      </c>
      <c r="J266" t="s">
        <v>99</v>
      </c>
      <c r="K266" t="s">
        <v>109</v>
      </c>
      <c r="L266" s="1">
        <v>46143</v>
      </c>
      <c r="M266" s="1">
        <v>46173</v>
      </c>
      <c r="N266">
        <v>357</v>
      </c>
      <c r="O266" t="s">
        <v>58</v>
      </c>
      <c r="P266" t="s">
        <v>63</v>
      </c>
      <c r="Q266" t="s">
        <v>2635</v>
      </c>
      <c r="R266" t="s">
        <v>2617</v>
      </c>
      <c r="S266" t="s">
        <v>67</v>
      </c>
      <c r="T266" t="s">
        <v>2781</v>
      </c>
      <c r="U266" t="s">
        <v>2782</v>
      </c>
      <c r="V266">
        <v>16</v>
      </c>
      <c r="W266" s="2">
        <v>0</v>
      </c>
    </row>
    <row r="267" spans="1:23" x14ac:dyDescent="0.25">
      <c r="A267" t="s">
        <v>31</v>
      </c>
      <c r="B267" t="s">
        <v>32</v>
      </c>
      <c r="C267" t="s">
        <v>33</v>
      </c>
      <c r="D267" t="s">
        <v>34</v>
      </c>
      <c r="E267" t="s">
        <v>35</v>
      </c>
      <c r="F267" t="s">
        <v>36</v>
      </c>
      <c r="G267">
        <v>1141685</v>
      </c>
      <c r="H267" t="s">
        <v>76</v>
      </c>
      <c r="I267" t="s">
        <v>95</v>
      </c>
      <c r="J267" t="s">
        <v>99</v>
      </c>
      <c r="K267" t="s">
        <v>109</v>
      </c>
      <c r="L267" s="1">
        <v>46143</v>
      </c>
      <c r="M267" s="1">
        <v>46173</v>
      </c>
      <c r="N267">
        <v>128</v>
      </c>
      <c r="O267" t="s">
        <v>58</v>
      </c>
      <c r="P267" t="s">
        <v>63</v>
      </c>
      <c r="Q267" t="s">
        <v>2635</v>
      </c>
      <c r="R267" t="s">
        <v>2617</v>
      </c>
      <c r="S267" t="s">
        <v>67</v>
      </c>
      <c r="T267" t="s">
        <v>2781</v>
      </c>
      <c r="U267" t="s">
        <v>2782</v>
      </c>
      <c r="V267">
        <v>16</v>
      </c>
      <c r="W267" s="2">
        <v>0</v>
      </c>
    </row>
    <row r="268" spans="1:23" x14ac:dyDescent="0.25">
      <c r="A268" t="s">
        <v>31</v>
      </c>
      <c r="B268" t="s">
        <v>32</v>
      </c>
      <c r="C268" t="s">
        <v>33</v>
      </c>
      <c r="D268" t="s">
        <v>34</v>
      </c>
      <c r="E268" t="s">
        <v>35</v>
      </c>
      <c r="F268" t="s">
        <v>36</v>
      </c>
      <c r="G268">
        <v>1141685</v>
      </c>
      <c r="H268" t="s">
        <v>76</v>
      </c>
      <c r="I268" t="s">
        <v>95</v>
      </c>
      <c r="J268" t="s">
        <v>99</v>
      </c>
      <c r="K268" t="s">
        <v>109</v>
      </c>
      <c r="L268" s="1">
        <v>46143</v>
      </c>
      <c r="M268" s="1">
        <v>46173</v>
      </c>
      <c r="N268">
        <v>0.983352</v>
      </c>
      <c r="O268" t="s">
        <v>58</v>
      </c>
      <c r="P268" t="s">
        <v>63</v>
      </c>
      <c r="Q268" t="s">
        <v>2635</v>
      </c>
      <c r="R268" t="s">
        <v>2620</v>
      </c>
      <c r="S268" t="s">
        <v>67</v>
      </c>
      <c r="T268" t="s">
        <v>2646</v>
      </c>
      <c r="U268" t="s">
        <v>2647</v>
      </c>
      <c r="V268">
        <v>16</v>
      </c>
      <c r="W268" s="2">
        <v>0</v>
      </c>
    </row>
    <row r="269" spans="1:23" x14ac:dyDescent="0.25">
      <c r="A269" t="s">
        <v>31</v>
      </c>
      <c r="B269" t="s">
        <v>32</v>
      </c>
      <c r="C269" t="s">
        <v>33</v>
      </c>
      <c r="D269" t="s">
        <v>34</v>
      </c>
      <c r="E269" t="s">
        <v>35</v>
      </c>
      <c r="F269" t="s">
        <v>36</v>
      </c>
      <c r="G269">
        <v>1141685</v>
      </c>
      <c r="H269" t="s">
        <v>76</v>
      </c>
      <c r="I269" t="s">
        <v>95</v>
      </c>
      <c r="J269" t="s">
        <v>99</v>
      </c>
      <c r="K269" t="s">
        <v>109</v>
      </c>
      <c r="L269" s="1">
        <v>46143</v>
      </c>
      <c r="M269" s="1">
        <v>46173</v>
      </c>
      <c r="N269">
        <v>128</v>
      </c>
      <c r="O269" t="s">
        <v>58</v>
      </c>
      <c r="P269" t="s">
        <v>63</v>
      </c>
      <c r="Q269" t="s">
        <v>2635</v>
      </c>
      <c r="R269" t="s">
        <v>2620</v>
      </c>
      <c r="S269" t="s">
        <v>67</v>
      </c>
      <c r="T269" t="s">
        <v>2646</v>
      </c>
      <c r="U269" t="s">
        <v>2647</v>
      </c>
      <c r="V269">
        <v>16</v>
      </c>
      <c r="W269" s="2">
        <v>0</v>
      </c>
    </row>
    <row r="270" spans="1:23" x14ac:dyDescent="0.25">
      <c r="A270" t="s">
        <v>31</v>
      </c>
      <c r="B270" t="s">
        <v>32</v>
      </c>
      <c r="C270" t="s">
        <v>33</v>
      </c>
      <c r="D270" t="s">
        <v>34</v>
      </c>
      <c r="E270" t="s">
        <v>35</v>
      </c>
      <c r="F270" t="s">
        <v>36</v>
      </c>
      <c r="G270">
        <v>1141685</v>
      </c>
      <c r="H270" t="s">
        <v>76</v>
      </c>
      <c r="I270" t="s">
        <v>95</v>
      </c>
      <c r="J270" t="s">
        <v>99</v>
      </c>
      <c r="K270" t="s">
        <v>109</v>
      </c>
      <c r="L270" s="1">
        <v>46143</v>
      </c>
      <c r="M270" s="1">
        <v>46173</v>
      </c>
      <c r="N270">
        <v>2.049944</v>
      </c>
      <c r="O270" t="s">
        <v>58</v>
      </c>
      <c r="P270" t="s">
        <v>63</v>
      </c>
      <c r="Q270" t="s">
        <v>2635</v>
      </c>
      <c r="R270" t="s">
        <v>2620</v>
      </c>
      <c r="S270" t="s">
        <v>67</v>
      </c>
      <c r="T270" t="s">
        <v>2646</v>
      </c>
      <c r="U270" t="s">
        <v>2647</v>
      </c>
      <c r="V270">
        <v>16</v>
      </c>
      <c r="W270" s="2">
        <v>0</v>
      </c>
    </row>
    <row r="271" spans="1:23" x14ac:dyDescent="0.25">
      <c r="A271" t="s">
        <v>31</v>
      </c>
      <c r="B271" t="s">
        <v>32</v>
      </c>
      <c r="C271" t="s">
        <v>33</v>
      </c>
      <c r="D271" t="s">
        <v>34</v>
      </c>
      <c r="E271" t="s">
        <v>35</v>
      </c>
      <c r="F271" t="s">
        <v>36</v>
      </c>
      <c r="G271">
        <v>1141685</v>
      </c>
      <c r="H271" t="s">
        <v>76</v>
      </c>
      <c r="I271" t="s">
        <v>95</v>
      </c>
      <c r="J271" t="s">
        <v>99</v>
      </c>
      <c r="K271" t="s">
        <v>109</v>
      </c>
      <c r="L271" s="1">
        <v>46143</v>
      </c>
      <c r="M271" s="1">
        <v>46173</v>
      </c>
      <c r="N271">
        <v>181.366522</v>
      </c>
      <c r="O271" t="s">
        <v>58</v>
      </c>
      <c r="P271" t="s">
        <v>63</v>
      </c>
      <c r="Q271" t="s">
        <v>2635</v>
      </c>
      <c r="R271" t="s">
        <v>2620</v>
      </c>
      <c r="S271" t="s">
        <v>67</v>
      </c>
      <c r="T271" t="s">
        <v>2646</v>
      </c>
      <c r="U271" t="s">
        <v>2647</v>
      </c>
      <c r="V271">
        <v>16</v>
      </c>
      <c r="W271" s="2">
        <v>0</v>
      </c>
    </row>
    <row r="272" spans="1:23" x14ac:dyDescent="0.25">
      <c r="A272" t="s">
        <v>31</v>
      </c>
      <c r="B272" t="s">
        <v>32</v>
      </c>
      <c r="C272" t="s">
        <v>33</v>
      </c>
      <c r="D272" t="s">
        <v>34</v>
      </c>
      <c r="E272" t="s">
        <v>35</v>
      </c>
      <c r="F272" t="s">
        <v>36</v>
      </c>
      <c r="G272">
        <v>1141685</v>
      </c>
      <c r="H272" t="s">
        <v>80</v>
      </c>
      <c r="I272" t="s">
        <v>96</v>
      </c>
      <c r="J272" t="s">
        <v>80</v>
      </c>
      <c r="K272" t="s">
        <v>115</v>
      </c>
      <c r="L272" s="1">
        <v>46143</v>
      </c>
      <c r="M272" s="1">
        <v>46173</v>
      </c>
      <c r="N272">
        <v>15.2159740077</v>
      </c>
      <c r="O272" t="s">
        <v>56</v>
      </c>
      <c r="P272" t="s">
        <v>63</v>
      </c>
      <c r="Q272" t="s">
        <v>2616</v>
      </c>
      <c r="R272" t="s">
        <v>2620</v>
      </c>
      <c r="S272" t="s">
        <v>67</v>
      </c>
      <c r="T272" t="s">
        <v>3060</v>
      </c>
      <c r="U272" t="s">
        <v>3061</v>
      </c>
      <c r="V272">
        <v>16</v>
      </c>
      <c r="W272" s="2">
        <v>2654.5793663408999</v>
      </c>
    </row>
    <row r="273" spans="1:23" x14ac:dyDescent="0.25">
      <c r="A273" t="s">
        <v>31</v>
      </c>
      <c r="B273" t="s">
        <v>32</v>
      </c>
      <c r="C273" t="s">
        <v>33</v>
      </c>
      <c r="D273" t="s">
        <v>34</v>
      </c>
      <c r="E273" t="s">
        <v>35</v>
      </c>
      <c r="F273" t="s">
        <v>36</v>
      </c>
      <c r="G273">
        <v>1141685</v>
      </c>
      <c r="H273" t="s">
        <v>82</v>
      </c>
      <c r="I273" t="s">
        <v>82</v>
      </c>
      <c r="J273" t="s">
        <v>82</v>
      </c>
      <c r="K273" t="s">
        <v>120</v>
      </c>
      <c r="L273" s="1">
        <v>46143</v>
      </c>
      <c r="M273" s="1">
        <v>46173</v>
      </c>
      <c r="N273">
        <v>1</v>
      </c>
      <c r="O273" t="s">
        <v>61</v>
      </c>
      <c r="P273" t="s">
        <v>63</v>
      </c>
      <c r="Q273" t="s">
        <v>2662</v>
      </c>
      <c r="R273" t="s">
        <v>149</v>
      </c>
      <c r="S273" t="s">
        <v>68</v>
      </c>
      <c r="T273" t="s">
        <v>256</v>
      </c>
      <c r="U273" t="s">
        <v>411</v>
      </c>
      <c r="V273">
        <v>6</v>
      </c>
      <c r="W273" s="2">
        <v>2691.9341720419998</v>
      </c>
    </row>
    <row r="274" spans="1:23" x14ac:dyDescent="0.25">
      <c r="A274" t="s">
        <v>31</v>
      </c>
      <c r="B274" t="s">
        <v>32</v>
      </c>
      <c r="C274" t="s">
        <v>33</v>
      </c>
      <c r="D274" t="s">
        <v>34</v>
      </c>
      <c r="E274" t="s">
        <v>35</v>
      </c>
      <c r="F274" t="s">
        <v>36</v>
      </c>
      <c r="G274">
        <v>1141685</v>
      </c>
      <c r="H274" t="s">
        <v>82</v>
      </c>
      <c r="I274" t="s">
        <v>82</v>
      </c>
      <c r="J274" t="s">
        <v>82</v>
      </c>
      <c r="K274" t="s">
        <v>120</v>
      </c>
      <c r="L274" s="1">
        <v>46143</v>
      </c>
      <c r="M274" s="1">
        <v>46173</v>
      </c>
      <c r="N274">
        <v>1</v>
      </c>
      <c r="O274" t="s">
        <v>61</v>
      </c>
      <c r="P274" t="s">
        <v>63</v>
      </c>
      <c r="Q274" t="s">
        <v>2662</v>
      </c>
      <c r="R274" t="s">
        <v>147</v>
      </c>
      <c r="S274" t="s">
        <v>68</v>
      </c>
      <c r="T274" t="s">
        <v>3062</v>
      </c>
      <c r="U274" t="s">
        <v>3063</v>
      </c>
      <c r="V274">
        <v>6</v>
      </c>
      <c r="W274" s="2">
        <v>2701.3181935473999</v>
      </c>
    </row>
    <row r="275" spans="1:23" x14ac:dyDescent="0.25">
      <c r="A275" t="s">
        <v>31</v>
      </c>
      <c r="B275" t="s">
        <v>32</v>
      </c>
      <c r="C275" t="s">
        <v>33</v>
      </c>
      <c r="D275" t="s">
        <v>34</v>
      </c>
      <c r="E275" t="s">
        <v>35</v>
      </c>
      <c r="F275" t="s">
        <v>36</v>
      </c>
      <c r="G275">
        <v>1141685</v>
      </c>
      <c r="H275" t="s">
        <v>1350</v>
      </c>
      <c r="I275" t="s">
        <v>1352</v>
      </c>
      <c r="J275" t="s">
        <v>1350</v>
      </c>
      <c r="K275" t="s">
        <v>1355</v>
      </c>
      <c r="L275" s="1">
        <v>46143</v>
      </c>
      <c r="M275" s="1">
        <v>46143</v>
      </c>
      <c r="N275">
        <v>741</v>
      </c>
      <c r="O275" t="s">
        <v>58</v>
      </c>
      <c r="P275" t="s">
        <v>63</v>
      </c>
      <c r="Q275" t="s">
        <v>2635</v>
      </c>
      <c r="R275" t="s">
        <v>3064</v>
      </c>
      <c r="S275" t="s">
        <v>67</v>
      </c>
      <c r="T275" t="s">
        <v>70</v>
      </c>
      <c r="U275" t="s">
        <v>73</v>
      </c>
      <c r="V275">
        <v>6</v>
      </c>
      <c r="W275" s="2">
        <v>0</v>
      </c>
    </row>
    <row r="276" spans="1:23" x14ac:dyDescent="0.25">
      <c r="A276" t="s">
        <v>31</v>
      </c>
      <c r="B276" t="s">
        <v>32</v>
      </c>
      <c r="C276" t="s">
        <v>33</v>
      </c>
      <c r="D276" t="s">
        <v>34</v>
      </c>
      <c r="E276" t="s">
        <v>35</v>
      </c>
      <c r="F276" t="s">
        <v>36</v>
      </c>
      <c r="G276">
        <v>1141685</v>
      </c>
      <c r="H276" t="s">
        <v>1350</v>
      </c>
      <c r="I276" t="s">
        <v>1352</v>
      </c>
      <c r="J276" t="s">
        <v>1350</v>
      </c>
      <c r="K276" t="s">
        <v>1355</v>
      </c>
      <c r="L276" s="1">
        <v>46144</v>
      </c>
      <c r="M276" s="1">
        <v>46144</v>
      </c>
      <c r="N276">
        <v>741</v>
      </c>
      <c r="O276" t="s">
        <v>58</v>
      </c>
      <c r="P276" t="s">
        <v>63</v>
      </c>
      <c r="Q276" t="s">
        <v>2635</v>
      </c>
      <c r="R276" t="s">
        <v>3064</v>
      </c>
      <c r="S276" t="s">
        <v>67</v>
      </c>
      <c r="T276" t="s">
        <v>70</v>
      </c>
      <c r="U276" t="s">
        <v>73</v>
      </c>
      <c r="V276">
        <v>6</v>
      </c>
      <c r="W276" s="2">
        <v>0</v>
      </c>
    </row>
    <row r="277" spans="1:23" x14ac:dyDescent="0.25">
      <c r="A277" t="s">
        <v>31</v>
      </c>
      <c r="B277" t="s">
        <v>32</v>
      </c>
      <c r="C277" t="s">
        <v>33</v>
      </c>
      <c r="D277" t="s">
        <v>34</v>
      </c>
      <c r="E277" t="s">
        <v>35</v>
      </c>
      <c r="F277" t="s">
        <v>36</v>
      </c>
      <c r="G277">
        <v>1141685</v>
      </c>
      <c r="H277" t="s">
        <v>1350</v>
      </c>
      <c r="I277" t="s">
        <v>1352</v>
      </c>
      <c r="J277" t="s">
        <v>1350</v>
      </c>
      <c r="K277" t="s">
        <v>1355</v>
      </c>
      <c r="L277" s="1">
        <v>46145</v>
      </c>
      <c r="M277" s="1">
        <v>46145</v>
      </c>
      <c r="N277">
        <v>741</v>
      </c>
      <c r="O277" t="s">
        <v>58</v>
      </c>
      <c r="P277" t="s">
        <v>63</v>
      </c>
      <c r="Q277" t="s">
        <v>2635</v>
      </c>
      <c r="R277" t="s">
        <v>3064</v>
      </c>
      <c r="S277" t="s">
        <v>67</v>
      </c>
      <c r="T277" t="s">
        <v>70</v>
      </c>
      <c r="U277" t="s">
        <v>73</v>
      </c>
      <c r="V277">
        <v>6</v>
      </c>
      <c r="W277" s="2">
        <v>0</v>
      </c>
    </row>
    <row r="278" spans="1:23" x14ac:dyDescent="0.25">
      <c r="A278" t="s">
        <v>31</v>
      </c>
      <c r="B278" t="s">
        <v>32</v>
      </c>
      <c r="C278" t="s">
        <v>33</v>
      </c>
      <c r="D278" t="s">
        <v>34</v>
      </c>
      <c r="E278" t="s">
        <v>35</v>
      </c>
      <c r="F278" t="s">
        <v>36</v>
      </c>
      <c r="G278">
        <v>1141685</v>
      </c>
      <c r="H278" t="s">
        <v>1350</v>
      </c>
      <c r="I278" t="s">
        <v>1352</v>
      </c>
      <c r="J278" t="s">
        <v>1350</v>
      </c>
      <c r="K278" t="s">
        <v>1355</v>
      </c>
      <c r="L278" s="1">
        <v>46146</v>
      </c>
      <c r="M278" s="1">
        <v>46146</v>
      </c>
      <c r="N278">
        <v>741</v>
      </c>
      <c r="O278" t="s">
        <v>58</v>
      </c>
      <c r="P278" t="s">
        <v>63</v>
      </c>
      <c r="Q278" t="s">
        <v>2635</v>
      </c>
      <c r="R278" t="s">
        <v>3064</v>
      </c>
      <c r="S278" t="s">
        <v>67</v>
      </c>
      <c r="T278" t="s">
        <v>70</v>
      </c>
      <c r="U278" t="s">
        <v>73</v>
      </c>
      <c r="V278">
        <v>6</v>
      </c>
      <c r="W278" s="2">
        <v>0</v>
      </c>
    </row>
    <row r="279" spans="1:23" x14ac:dyDescent="0.25">
      <c r="A279" t="s">
        <v>31</v>
      </c>
      <c r="B279" t="s">
        <v>32</v>
      </c>
      <c r="C279" t="s">
        <v>33</v>
      </c>
      <c r="D279" t="s">
        <v>34</v>
      </c>
      <c r="E279" t="s">
        <v>35</v>
      </c>
      <c r="F279" t="s">
        <v>36</v>
      </c>
      <c r="G279">
        <v>1141685</v>
      </c>
      <c r="H279" t="s">
        <v>1350</v>
      </c>
      <c r="I279" t="s">
        <v>1352</v>
      </c>
      <c r="J279" t="s">
        <v>1350</v>
      </c>
      <c r="K279" t="s">
        <v>1355</v>
      </c>
      <c r="L279" s="1">
        <v>46147</v>
      </c>
      <c r="M279" s="1">
        <v>46147</v>
      </c>
      <c r="N279">
        <v>741</v>
      </c>
      <c r="O279" t="s">
        <v>58</v>
      </c>
      <c r="P279" t="s">
        <v>63</v>
      </c>
      <c r="Q279" t="s">
        <v>2635</v>
      </c>
      <c r="R279" t="s">
        <v>3064</v>
      </c>
      <c r="S279" t="s">
        <v>67</v>
      </c>
      <c r="T279" t="s">
        <v>70</v>
      </c>
      <c r="U279" t="s">
        <v>73</v>
      </c>
      <c r="V279">
        <v>6</v>
      </c>
      <c r="W279" s="2">
        <v>0</v>
      </c>
    </row>
    <row r="280" spans="1:23" x14ac:dyDescent="0.25">
      <c r="A280" t="s">
        <v>31</v>
      </c>
      <c r="B280" t="s">
        <v>32</v>
      </c>
      <c r="C280" t="s">
        <v>33</v>
      </c>
      <c r="D280" t="s">
        <v>34</v>
      </c>
      <c r="E280" t="s">
        <v>35</v>
      </c>
      <c r="F280" t="s">
        <v>36</v>
      </c>
      <c r="G280">
        <v>1141685</v>
      </c>
      <c r="H280" t="s">
        <v>1350</v>
      </c>
      <c r="I280" t="s">
        <v>1352</v>
      </c>
      <c r="J280" t="s">
        <v>1350</v>
      </c>
      <c r="K280" t="s">
        <v>1355</v>
      </c>
      <c r="L280" s="1">
        <v>46148</v>
      </c>
      <c r="M280" s="1">
        <v>46148</v>
      </c>
      <c r="N280">
        <v>741</v>
      </c>
      <c r="O280" t="s">
        <v>58</v>
      </c>
      <c r="P280" t="s">
        <v>63</v>
      </c>
      <c r="Q280" t="s">
        <v>2635</v>
      </c>
      <c r="R280" t="s">
        <v>3064</v>
      </c>
      <c r="S280" t="s">
        <v>67</v>
      </c>
      <c r="T280" t="s">
        <v>70</v>
      </c>
      <c r="U280" t="s">
        <v>73</v>
      </c>
      <c r="V280">
        <v>6</v>
      </c>
      <c r="W280" s="2">
        <v>0</v>
      </c>
    </row>
    <row r="281" spans="1:23" x14ac:dyDescent="0.25">
      <c r="A281" t="s">
        <v>31</v>
      </c>
      <c r="B281" t="s">
        <v>32</v>
      </c>
      <c r="C281" t="s">
        <v>33</v>
      </c>
      <c r="D281" t="s">
        <v>34</v>
      </c>
      <c r="E281" t="s">
        <v>35</v>
      </c>
      <c r="F281" t="s">
        <v>36</v>
      </c>
      <c r="G281">
        <v>1141685</v>
      </c>
      <c r="H281" t="s">
        <v>1350</v>
      </c>
      <c r="I281" t="s">
        <v>1352</v>
      </c>
      <c r="J281" t="s">
        <v>1350</v>
      </c>
      <c r="K281" t="s">
        <v>1355</v>
      </c>
      <c r="L281" s="1">
        <v>46149</v>
      </c>
      <c r="M281" s="1">
        <v>46149</v>
      </c>
      <c r="N281">
        <v>741</v>
      </c>
      <c r="O281" t="s">
        <v>58</v>
      </c>
      <c r="P281" t="s">
        <v>63</v>
      </c>
      <c r="Q281" t="s">
        <v>2635</v>
      </c>
      <c r="R281" t="s">
        <v>3064</v>
      </c>
      <c r="S281" t="s">
        <v>67</v>
      </c>
      <c r="T281" t="s">
        <v>70</v>
      </c>
      <c r="U281" t="s">
        <v>73</v>
      </c>
      <c r="V281">
        <v>6</v>
      </c>
      <c r="W281" s="2">
        <v>0</v>
      </c>
    </row>
    <row r="282" spans="1:23" x14ac:dyDescent="0.25">
      <c r="A282" t="s">
        <v>31</v>
      </c>
      <c r="B282" t="s">
        <v>32</v>
      </c>
      <c r="C282" t="s">
        <v>33</v>
      </c>
      <c r="D282" t="s">
        <v>34</v>
      </c>
      <c r="E282" t="s">
        <v>35</v>
      </c>
      <c r="F282" t="s">
        <v>36</v>
      </c>
      <c r="G282">
        <v>1141685</v>
      </c>
      <c r="H282" t="s">
        <v>1350</v>
      </c>
      <c r="I282" t="s">
        <v>1352</v>
      </c>
      <c r="J282" t="s">
        <v>1350</v>
      </c>
      <c r="K282" t="s">
        <v>1355</v>
      </c>
      <c r="L282" s="1">
        <v>46150</v>
      </c>
      <c r="M282" s="1">
        <v>46150</v>
      </c>
      <c r="N282">
        <v>741</v>
      </c>
      <c r="O282" t="s">
        <v>58</v>
      </c>
      <c r="P282" t="s">
        <v>63</v>
      </c>
      <c r="Q282" t="s">
        <v>2635</v>
      </c>
      <c r="R282" t="s">
        <v>3064</v>
      </c>
      <c r="S282" t="s">
        <v>67</v>
      </c>
      <c r="T282" t="s">
        <v>70</v>
      </c>
      <c r="U282" t="s">
        <v>73</v>
      </c>
      <c r="V282">
        <v>6</v>
      </c>
      <c r="W282" s="2">
        <v>0</v>
      </c>
    </row>
    <row r="283" spans="1:23" x14ac:dyDescent="0.25">
      <c r="A283" t="s">
        <v>31</v>
      </c>
      <c r="B283" t="s">
        <v>32</v>
      </c>
      <c r="C283" t="s">
        <v>33</v>
      </c>
      <c r="D283" t="s">
        <v>34</v>
      </c>
      <c r="E283" t="s">
        <v>35</v>
      </c>
      <c r="F283" t="s">
        <v>36</v>
      </c>
      <c r="G283">
        <v>1141685</v>
      </c>
      <c r="H283" t="s">
        <v>1350</v>
      </c>
      <c r="I283" t="s">
        <v>1352</v>
      </c>
      <c r="J283" t="s">
        <v>1350</v>
      </c>
      <c r="K283" t="s">
        <v>1355</v>
      </c>
      <c r="L283" s="1">
        <v>46151</v>
      </c>
      <c r="M283" s="1">
        <v>46151</v>
      </c>
      <c r="N283">
        <v>741</v>
      </c>
      <c r="O283" t="s">
        <v>58</v>
      </c>
      <c r="P283" t="s">
        <v>63</v>
      </c>
      <c r="Q283" t="s">
        <v>2635</v>
      </c>
      <c r="R283" t="s">
        <v>3064</v>
      </c>
      <c r="S283" t="s">
        <v>67</v>
      </c>
      <c r="T283" t="s">
        <v>70</v>
      </c>
      <c r="U283" t="s">
        <v>73</v>
      </c>
      <c r="V283">
        <v>6</v>
      </c>
      <c r="W283" s="2">
        <v>0</v>
      </c>
    </row>
    <row r="284" spans="1:23" x14ac:dyDescent="0.25">
      <c r="A284" t="s">
        <v>31</v>
      </c>
      <c r="B284" t="s">
        <v>32</v>
      </c>
      <c r="C284" t="s">
        <v>33</v>
      </c>
      <c r="D284" t="s">
        <v>34</v>
      </c>
      <c r="E284" t="s">
        <v>35</v>
      </c>
      <c r="F284" t="s">
        <v>36</v>
      </c>
      <c r="G284">
        <v>1141685</v>
      </c>
      <c r="H284" t="s">
        <v>1350</v>
      </c>
      <c r="I284" t="s">
        <v>1352</v>
      </c>
      <c r="J284" t="s">
        <v>1350</v>
      </c>
      <c r="K284" t="s">
        <v>1355</v>
      </c>
      <c r="L284" s="1">
        <v>46152</v>
      </c>
      <c r="M284" s="1">
        <v>46152</v>
      </c>
      <c r="N284">
        <v>741</v>
      </c>
      <c r="O284" t="s">
        <v>58</v>
      </c>
      <c r="P284" t="s">
        <v>63</v>
      </c>
      <c r="Q284" t="s">
        <v>2635</v>
      </c>
      <c r="R284" t="s">
        <v>3064</v>
      </c>
      <c r="S284" t="s">
        <v>67</v>
      </c>
      <c r="T284" t="s">
        <v>70</v>
      </c>
      <c r="U284" t="s">
        <v>73</v>
      </c>
      <c r="V284">
        <v>6</v>
      </c>
      <c r="W284" s="2">
        <v>0</v>
      </c>
    </row>
    <row r="285" spans="1:23" x14ac:dyDescent="0.25">
      <c r="A285" t="s">
        <v>31</v>
      </c>
      <c r="B285" t="s">
        <v>32</v>
      </c>
      <c r="C285" t="s">
        <v>33</v>
      </c>
      <c r="D285" t="s">
        <v>34</v>
      </c>
      <c r="E285" t="s">
        <v>35</v>
      </c>
      <c r="F285" t="s">
        <v>36</v>
      </c>
      <c r="G285">
        <v>1141685</v>
      </c>
      <c r="H285" t="s">
        <v>1350</v>
      </c>
      <c r="I285" t="s">
        <v>1352</v>
      </c>
      <c r="J285" t="s">
        <v>1350</v>
      </c>
      <c r="K285" t="s">
        <v>1355</v>
      </c>
      <c r="L285" s="1">
        <v>46153</v>
      </c>
      <c r="M285" s="1">
        <v>46153</v>
      </c>
      <c r="N285">
        <v>741</v>
      </c>
      <c r="O285" t="s">
        <v>58</v>
      </c>
      <c r="P285" t="s">
        <v>63</v>
      </c>
      <c r="Q285" t="s">
        <v>2635</v>
      </c>
      <c r="R285" t="s">
        <v>3064</v>
      </c>
      <c r="S285" t="s">
        <v>67</v>
      </c>
      <c r="T285" t="s">
        <v>70</v>
      </c>
      <c r="U285" t="s">
        <v>73</v>
      </c>
      <c r="V285">
        <v>6</v>
      </c>
      <c r="W285" s="2">
        <v>0</v>
      </c>
    </row>
    <row r="286" spans="1:23" x14ac:dyDescent="0.25">
      <c r="A286" t="s">
        <v>31</v>
      </c>
      <c r="B286" t="s">
        <v>32</v>
      </c>
      <c r="C286" t="s">
        <v>33</v>
      </c>
      <c r="D286" t="s">
        <v>34</v>
      </c>
      <c r="E286" t="s">
        <v>35</v>
      </c>
      <c r="F286" t="s">
        <v>36</v>
      </c>
      <c r="G286">
        <v>1141685</v>
      </c>
      <c r="H286" t="s">
        <v>1350</v>
      </c>
      <c r="I286" t="s">
        <v>1352</v>
      </c>
      <c r="J286" t="s">
        <v>1350</v>
      </c>
      <c r="K286" t="s">
        <v>1355</v>
      </c>
      <c r="L286" s="1">
        <v>46154</v>
      </c>
      <c r="M286" s="1">
        <v>46154</v>
      </c>
      <c r="N286">
        <v>741</v>
      </c>
      <c r="O286" t="s">
        <v>58</v>
      </c>
      <c r="P286" t="s">
        <v>63</v>
      </c>
      <c r="Q286" t="s">
        <v>2635</v>
      </c>
      <c r="R286" t="s">
        <v>3064</v>
      </c>
      <c r="S286" t="s">
        <v>67</v>
      </c>
      <c r="T286" t="s">
        <v>70</v>
      </c>
      <c r="U286" t="s">
        <v>73</v>
      </c>
      <c r="V286">
        <v>6</v>
      </c>
      <c r="W286" s="2">
        <v>0</v>
      </c>
    </row>
    <row r="287" spans="1:23" x14ac:dyDescent="0.25">
      <c r="A287" t="s">
        <v>31</v>
      </c>
      <c r="B287" t="s">
        <v>32</v>
      </c>
      <c r="C287" t="s">
        <v>33</v>
      </c>
      <c r="D287" t="s">
        <v>34</v>
      </c>
      <c r="E287" t="s">
        <v>35</v>
      </c>
      <c r="F287" t="s">
        <v>36</v>
      </c>
      <c r="G287">
        <v>1141685</v>
      </c>
      <c r="H287" t="s">
        <v>1350</v>
      </c>
      <c r="I287" t="s">
        <v>1352</v>
      </c>
      <c r="J287" t="s">
        <v>1350</v>
      </c>
      <c r="K287" t="s">
        <v>1355</v>
      </c>
      <c r="L287" s="1">
        <v>46155</v>
      </c>
      <c r="M287" s="1">
        <v>46155</v>
      </c>
      <c r="N287">
        <v>741</v>
      </c>
      <c r="O287" t="s">
        <v>58</v>
      </c>
      <c r="P287" t="s">
        <v>63</v>
      </c>
      <c r="Q287" t="s">
        <v>2635</v>
      </c>
      <c r="R287" t="s">
        <v>3064</v>
      </c>
      <c r="S287" t="s">
        <v>67</v>
      </c>
      <c r="T287" t="s">
        <v>70</v>
      </c>
      <c r="U287" t="s">
        <v>73</v>
      </c>
      <c r="V287">
        <v>6</v>
      </c>
      <c r="W287" s="2">
        <v>0</v>
      </c>
    </row>
    <row r="288" spans="1:23" x14ac:dyDescent="0.25">
      <c r="A288" t="s">
        <v>31</v>
      </c>
      <c r="B288" t="s">
        <v>32</v>
      </c>
      <c r="C288" t="s">
        <v>33</v>
      </c>
      <c r="D288" t="s">
        <v>34</v>
      </c>
      <c r="E288" t="s">
        <v>35</v>
      </c>
      <c r="F288" t="s">
        <v>36</v>
      </c>
      <c r="G288">
        <v>1141685</v>
      </c>
      <c r="H288" t="s">
        <v>1350</v>
      </c>
      <c r="I288" t="s">
        <v>1352</v>
      </c>
      <c r="J288" t="s">
        <v>1350</v>
      </c>
      <c r="K288" t="s">
        <v>1355</v>
      </c>
      <c r="L288" s="1">
        <v>46156</v>
      </c>
      <c r="M288" s="1">
        <v>46156</v>
      </c>
      <c r="N288">
        <v>741</v>
      </c>
      <c r="O288" t="s">
        <v>58</v>
      </c>
      <c r="P288" t="s">
        <v>63</v>
      </c>
      <c r="Q288" t="s">
        <v>2635</v>
      </c>
      <c r="R288" t="s">
        <v>3064</v>
      </c>
      <c r="S288" t="s">
        <v>67</v>
      </c>
      <c r="T288" t="s">
        <v>70</v>
      </c>
      <c r="U288" t="s">
        <v>73</v>
      </c>
      <c r="V288">
        <v>6</v>
      </c>
      <c r="W288" s="2">
        <v>0</v>
      </c>
    </row>
    <row r="289" spans="1:23" x14ac:dyDescent="0.25">
      <c r="A289" t="s">
        <v>31</v>
      </c>
      <c r="B289" t="s">
        <v>32</v>
      </c>
      <c r="C289" t="s">
        <v>33</v>
      </c>
      <c r="D289" t="s">
        <v>34</v>
      </c>
      <c r="E289" t="s">
        <v>35</v>
      </c>
      <c r="F289" t="s">
        <v>36</v>
      </c>
      <c r="G289">
        <v>1141685</v>
      </c>
      <c r="H289" t="s">
        <v>1350</v>
      </c>
      <c r="I289" t="s">
        <v>1352</v>
      </c>
      <c r="J289" t="s">
        <v>1350</v>
      </c>
      <c r="K289" t="s">
        <v>1355</v>
      </c>
      <c r="L289" s="1">
        <v>46157</v>
      </c>
      <c r="M289" s="1">
        <v>46157</v>
      </c>
      <c r="N289">
        <v>741</v>
      </c>
      <c r="O289" t="s">
        <v>58</v>
      </c>
      <c r="P289" t="s">
        <v>63</v>
      </c>
      <c r="Q289" t="s">
        <v>2635</v>
      </c>
      <c r="R289" t="s">
        <v>3064</v>
      </c>
      <c r="S289" t="s">
        <v>67</v>
      </c>
      <c r="T289" t="s">
        <v>70</v>
      </c>
      <c r="U289" t="s">
        <v>73</v>
      </c>
      <c r="V289">
        <v>6</v>
      </c>
      <c r="W289" s="2">
        <v>0</v>
      </c>
    </row>
    <row r="290" spans="1:23" x14ac:dyDescent="0.25">
      <c r="A290" t="s">
        <v>31</v>
      </c>
      <c r="B290" t="s">
        <v>32</v>
      </c>
      <c r="C290" t="s">
        <v>33</v>
      </c>
      <c r="D290" t="s">
        <v>34</v>
      </c>
      <c r="E290" t="s">
        <v>35</v>
      </c>
      <c r="F290" t="s">
        <v>36</v>
      </c>
      <c r="G290">
        <v>1141685</v>
      </c>
      <c r="H290" t="s">
        <v>1350</v>
      </c>
      <c r="I290" t="s">
        <v>1352</v>
      </c>
      <c r="J290" t="s">
        <v>1350</v>
      </c>
      <c r="K290" t="s">
        <v>1355</v>
      </c>
      <c r="L290" s="1">
        <v>46158</v>
      </c>
      <c r="M290" s="1">
        <v>46158</v>
      </c>
      <c r="N290">
        <v>741</v>
      </c>
      <c r="O290" t="s">
        <v>58</v>
      </c>
      <c r="P290" t="s">
        <v>63</v>
      </c>
      <c r="Q290" t="s">
        <v>2635</v>
      </c>
      <c r="R290" t="s">
        <v>3064</v>
      </c>
      <c r="S290" t="s">
        <v>67</v>
      </c>
      <c r="T290" t="s">
        <v>70</v>
      </c>
      <c r="U290" t="s">
        <v>73</v>
      </c>
      <c r="V290">
        <v>6</v>
      </c>
      <c r="W290" s="2">
        <v>0</v>
      </c>
    </row>
    <row r="291" spans="1:23" x14ac:dyDescent="0.25">
      <c r="A291" t="s">
        <v>31</v>
      </c>
      <c r="B291" t="s">
        <v>32</v>
      </c>
      <c r="C291" t="s">
        <v>33</v>
      </c>
      <c r="D291" t="s">
        <v>34</v>
      </c>
      <c r="E291" t="s">
        <v>35</v>
      </c>
      <c r="F291" t="s">
        <v>36</v>
      </c>
      <c r="G291">
        <v>1141685</v>
      </c>
      <c r="H291" t="s">
        <v>1350</v>
      </c>
      <c r="I291" t="s">
        <v>1352</v>
      </c>
      <c r="J291" t="s">
        <v>1350</v>
      </c>
      <c r="K291" t="s">
        <v>1355</v>
      </c>
      <c r="L291" s="1">
        <v>46159</v>
      </c>
      <c r="M291" s="1">
        <v>46159</v>
      </c>
      <c r="N291">
        <v>741</v>
      </c>
      <c r="O291" t="s">
        <v>58</v>
      </c>
      <c r="P291" t="s">
        <v>63</v>
      </c>
      <c r="Q291" t="s">
        <v>2635</v>
      </c>
      <c r="R291" t="s">
        <v>3064</v>
      </c>
      <c r="S291" t="s">
        <v>67</v>
      </c>
      <c r="T291" t="s">
        <v>70</v>
      </c>
      <c r="U291" t="s">
        <v>73</v>
      </c>
      <c r="V291">
        <v>6</v>
      </c>
      <c r="W291" s="2">
        <v>0</v>
      </c>
    </row>
    <row r="292" spans="1:23" x14ac:dyDescent="0.25">
      <c r="A292" t="s">
        <v>31</v>
      </c>
      <c r="B292" t="s">
        <v>32</v>
      </c>
      <c r="C292" t="s">
        <v>33</v>
      </c>
      <c r="D292" t="s">
        <v>34</v>
      </c>
      <c r="E292" t="s">
        <v>35</v>
      </c>
      <c r="F292" t="s">
        <v>36</v>
      </c>
      <c r="G292">
        <v>1141685</v>
      </c>
      <c r="H292" t="s">
        <v>1350</v>
      </c>
      <c r="I292" t="s">
        <v>1352</v>
      </c>
      <c r="J292" t="s">
        <v>1350</v>
      </c>
      <c r="K292" t="s">
        <v>1355</v>
      </c>
      <c r="L292" s="1">
        <v>46160</v>
      </c>
      <c r="M292" s="1">
        <v>46160</v>
      </c>
      <c r="N292">
        <v>741</v>
      </c>
      <c r="O292" t="s">
        <v>58</v>
      </c>
      <c r="P292" t="s">
        <v>63</v>
      </c>
      <c r="Q292" t="s">
        <v>2635</v>
      </c>
      <c r="R292" t="s">
        <v>3064</v>
      </c>
      <c r="S292" t="s">
        <v>67</v>
      </c>
      <c r="T292" t="s">
        <v>70</v>
      </c>
      <c r="U292" t="s">
        <v>73</v>
      </c>
      <c r="V292">
        <v>6</v>
      </c>
      <c r="W292" s="2">
        <v>0</v>
      </c>
    </row>
    <row r="293" spans="1:23" x14ac:dyDescent="0.25">
      <c r="A293" t="s">
        <v>31</v>
      </c>
      <c r="B293" t="s">
        <v>32</v>
      </c>
      <c r="C293" t="s">
        <v>33</v>
      </c>
      <c r="D293" t="s">
        <v>34</v>
      </c>
      <c r="E293" t="s">
        <v>35</v>
      </c>
      <c r="F293" t="s">
        <v>36</v>
      </c>
      <c r="G293">
        <v>1141685</v>
      </c>
      <c r="H293" t="s">
        <v>1350</v>
      </c>
      <c r="I293" t="s">
        <v>1352</v>
      </c>
      <c r="J293" t="s">
        <v>1350</v>
      </c>
      <c r="K293" t="s">
        <v>1355</v>
      </c>
      <c r="L293" s="1">
        <v>46161</v>
      </c>
      <c r="M293" s="1">
        <v>46161</v>
      </c>
      <c r="N293">
        <v>741</v>
      </c>
      <c r="O293" t="s">
        <v>58</v>
      </c>
      <c r="P293" t="s">
        <v>63</v>
      </c>
      <c r="Q293" t="s">
        <v>2635</v>
      </c>
      <c r="R293" t="s">
        <v>3064</v>
      </c>
      <c r="S293" t="s">
        <v>67</v>
      </c>
      <c r="T293" t="s">
        <v>70</v>
      </c>
      <c r="U293" t="s">
        <v>73</v>
      </c>
      <c r="V293">
        <v>6</v>
      </c>
      <c r="W293" s="2">
        <v>0</v>
      </c>
    </row>
    <row r="294" spans="1:23" x14ac:dyDescent="0.25">
      <c r="A294" t="s">
        <v>31</v>
      </c>
      <c r="B294" t="s">
        <v>32</v>
      </c>
      <c r="C294" t="s">
        <v>33</v>
      </c>
      <c r="D294" t="s">
        <v>34</v>
      </c>
      <c r="E294" t="s">
        <v>35</v>
      </c>
      <c r="F294" t="s">
        <v>36</v>
      </c>
      <c r="G294">
        <v>1141685</v>
      </c>
      <c r="H294" t="s">
        <v>1350</v>
      </c>
      <c r="I294" t="s">
        <v>1352</v>
      </c>
      <c r="J294" t="s">
        <v>1350</v>
      </c>
      <c r="K294" t="s">
        <v>1355</v>
      </c>
      <c r="L294" s="1">
        <v>46162</v>
      </c>
      <c r="M294" s="1">
        <v>46162</v>
      </c>
      <c r="N294">
        <v>741</v>
      </c>
      <c r="O294" t="s">
        <v>58</v>
      </c>
      <c r="P294" t="s">
        <v>63</v>
      </c>
      <c r="Q294" t="s">
        <v>2635</v>
      </c>
      <c r="R294" t="s">
        <v>3064</v>
      </c>
      <c r="S294" t="s">
        <v>67</v>
      </c>
      <c r="T294" t="s">
        <v>70</v>
      </c>
      <c r="U294" t="s">
        <v>73</v>
      </c>
      <c r="V294">
        <v>6</v>
      </c>
      <c r="W294" s="2">
        <v>0</v>
      </c>
    </row>
    <row r="295" spans="1:23" x14ac:dyDescent="0.25">
      <c r="A295" t="s">
        <v>31</v>
      </c>
      <c r="B295" t="s">
        <v>32</v>
      </c>
      <c r="C295" t="s">
        <v>33</v>
      </c>
      <c r="D295" t="s">
        <v>34</v>
      </c>
      <c r="E295" t="s">
        <v>35</v>
      </c>
      <c r="F295" t="s">
        <v>36</v>
      </c>
      <c r="G295">
        <v>1141685</v>
      </c>
      <c r="H295" t="s">
        <v>1350</v>
      </c>
      <c r="I295" t="s">
        <v>1352</v>
      </c>
      <c r="J295" t="s">
        <v>1350</v>
      </c>
      <c r="K295" t="s">
        <v>1355</v>
      </c>
      <c r="L295" s="1">
        <v>46163</v>
      </c>
      <c r="M295" s="1">
        <v>46163</v>
      </c>
      <c r="N295">
        <v>741</v>
      </c>
      <c r="O295" t="s">
        <v>58</v>
      </c>
      <c r="P295" t="s">
        <v>63</v>
      </c>
      <c r="Q295" t="s">
        <v>2635</v>
      </c>
      <c r="R295" t="s">
        <v>3064</v>
      </c>
      <c r="S295" t="s">
        <v>67</v>
      </c>
      <c r="T295" t="s">
        <v>70</v>
      </c>
      <c r="U295" t="s">
        <v>73</v>
      </c>
      <c r="V295">
        <v>6</v>
      </c>
      <c r="W295" s="2">
        <v>0</v>
      </c>
    </row>
    <row r="296" spans="1:23" x14ac:dyDescent="0.25">
      <c r="A296" t="s">
        <v>31</v>
      </c>
      <c r="B296" t="s">
        <v>32</v>
      </c>
      <c r="C296" t="s">
        <v>33</v>
      </c>
      <c r="D296" t="s">
        <v>34</v>
      </c>
      <c r="E296" t="s">
        <v>35</v>
      </c>
      <c r="F296" t="s">
        <v>36</v>
      </c>
      <c r="G296">
        <v>1141685</v>
      </c>
      <c r="H296" t="s">
        <v>1350</v>
      </c>
      <c r="I296" t="s">
        <v>1352</v>
      </c>
      <c r="J296" t="s">
        <v>1350</v>
      </c>
      <c r="K296" t="s">
        <v>1355</v>
      </c>
      <c r="L296" s="1">
        <v>46164</v>
      </c>
      <c r="M296" s="1">
        <v>46164</v>
      </c>
      <c r="N296">
        <v>741</v>
      </c>
      <c r="O296" t="s">
        <v>58</v>
      </c>
      <c r="P296" t="s">
        <v>63</v>
      </c>
      <c r="Q296" t="s">
        <v>2635</v>
      </c>
      <c r="R296" t="s">
        <v>3064</v>
      </c>
      <c r="S296" t="s">
        <v>67</v>
      </c>
      <c r="T296" t="s">
        <v>70</v>
      </c>
      <c r="U296" t="s">
        <v>73</v>
      </c>
      <c r="V296">
        <v>6</v>
      </c>
      <c r="W296" s="2">
        <v>0</v>
      </c>
    </row>
    <row r="297" spans="1:23" x14ac:dyDescent="0.25">
      <c r="A297" t="s">
        <v>31</v>
      </c>
      <c r="B297" t="s">
        <v>32</v>
      </c>
      <c r="C297" t="s">
        <v>33</v>
      </c>
      <c r="D297" t="s">
        <v>34</v>
      </c>
      <c r="E297" t="s">
        <v>35</v>
      </c>
      <c r="F297" t="s">
        <v>36</v>
      </c>
      <c r="G297">
        <v>1141685</v>
      </c>
      <c r="H297" t="s">
        <v>1350</v>
      </c>
      <c r="I297" t="s">
        <v>1352</v>
      </c>
      <c r="J297" t="s">
        <v>1350</v>
      </c>
      <c r="K297" t="s">
        <v>1355</v>
      </c>
      <c r="L297" s="1">
        <v>46165</v>
      </c>
      <c r="M297" s="1">
        <v>46165</v>
      </c>
      <c r="N297">
        <v>741</v>
      </c>
      <c r="O297" t="s">
        <v>58</v>
      </c>
      <c r="P297" t="s">
        <v>63</v>
      </c>
      <c r="Q297" t="s">
        <v>2635</v>
      </c>
      <c r="R297" t="s">
        <v>3064</v>
      </c>
      <c r="S297" t="s">
        <v>67</v>
      </c>
      <c r="T297" t="s">
        <v>70</v>
      </c>
      <c r="U297" t="s">
        <v>73</v>
      </c>
      <c r="V297">
        <v>6</v>
      </c>
      <c r="W297" s="2">
        <v>0</v>
      </c>
    </row>
    <row r="298" spans="1:23" x14ac:dyDescent="0.25">
      <c r="A298" t="s">
        <v>31</v>
      </c>
      <c r="B298" t="s">
        <v>32</v>
      </c>
      <c r="C298" t="s">
        <v>33</v>
      </c>
      <c r="D298" t="s">
        <v>34</v>
      </c>
      <c r="E298" t="s">
        <v>35</v>
      </c>
      <c r="F298" t="s">
        <v>36</v>
      </c>
      <c r="G298">
        <v>1141685</v>
      </c>
      <c r="H298" t="s">
        <v>1350</v>
      </c>
      <c r="I298" t="s">
        <v>1352</v>
      </c>
      <c r="J298" t="s">
        <v>1350</v>
      </c>
      <c r="K298" t="s">
        <v>1355</v>
      </c>
      <c r="L298" s="1">
        <v>46166</v>
      </c>
      <c r="M298" s="1">
        <v>46166</v>
      </c>
      <c r="N298">
        <v>741</v>
      </c>
      <c r="O298" t="s">
        <v>58</v>
      </c>
      <c r="P298" t="s">
        <v>63</v>
      </c>
      <c r="Q298" t="s">
        <v>2635</v>
      </c>
      <c r="R298" t="s">
        <v>3064</v>
      </c>
      <c r="S298" t="s">
        <v>67</v>
      </c>
      <c r="T298" t="s">
        <v>70</v>
      </c>
      <c r="U298" t="s">
        <v>73</v>
      </c>
      <c r="V298">
        <v>6</v>
      </c>
      <c r="W298" s="2">
        <v>0</v>
      </c>
    </row>
    <row r="299" spans="1:23" x14ac:dyDescent="0.25">
      <c r="A299" t="s">
        <v>31</v>
      </c>
      <c r="B299" t="s">
        <v>32</v>
      </c>
      <c r="C299" t="s">
        <v>33</v>
      </c>
      <c r="D299" t="s">
        <v>34</v>
      </c>
      <c r="E299" t="s">
        <v>35</v>
      </c>
      <c r="F299" t="s">
        <v>36</v>
      </c>
      <c r="G299">
        <v>1141685</v>
      </c>
      <c r="H299" t="s">
        <v>1350</v>
      </c>
      <c r="I299" t="s">
        <v>1352</v>
      </c>
      <c r="J299" t="s">
        <v>1350</v>
      </c>
      <c r="K299" t="s">
        <v>1355</v>
      </c>
      <c r="L299" s="1">
        <v>46167</v>
      </c>
      <c r="M299" s="1">
        <v>46167</v>
      </c>
      <c r="N299">
        <v>741</v>
      </c>
      <c r="O299" t="s">
        <v>58</v>
      </c>
      <c r="P299" t="s">
        <v>63</v>
      </c>
      <c r="Q299" t="s">
        <v>2635</v>
      </c>
      <c r="R299" t="s">
        <v>3064</v>
      </c>
      <c r="S299" t="s">
        <v>67</v>
      </c>
      <c r="T299" t="s">
        <v>70</v>
      </c>
      <c r="U299" t="s">
        <v>73</v>
      </c>
      <c r="V299">
        <v>6</v>
      </c>
      <c r="W299" s="2">
        <v>0</v>
      </c>
    </row>
    <row r="300" spans="1:23" x14ac:dyDescent="0.25">
      <c r="A300" t="s">
        <v>31</v>
      </c>
      <c r="B300" t="s">
        <v>32</v>
      </c>
      <c r="C300" t="s">
        <v>33</v>
      </c>
      <c r="D300" t="s">
        <v>34</v>
      </c>
      <c r="E300" t="s">
        <v>35</v>
      </c>
      <c r="F300" t="s">
        <v>36</v>
      </c>
      <c r="G300">
        <v>1141685</v>
      </c>
      <c r="H300" t="s">
        <v>1350</v>
      </c>
      <c r="I300" t="s">
        <v>1352</v>
      </c>
      <c r="J300" t="s">
        <v>1350</v>
      </c>
      <c r="K300" t="s">
        <v>1355</v>
      </c>
      <c r="L300" s="1">
        <v>46168</v>
      </c>
      <c r="M300" s="1">
        <v>46168</v>
      </c>
      <c r="N300">
        <v>741</v>
      </c>
      <c r="O300" t="s">
        <v>58</v>
      </c>
      <c r="P300" t="s">
        <v>63</v>
      </c>
      <c r="Q300" t="s">
        <v>2635</v>
      </c>
      <c r="R300" t="s">
        <v>3064</v>
      </c>
      <c r="S300" t="s">
        <v>67</v>
      </c>
      <c r="T300" t="s">
        <v>70</v>
      </c>
      <c r="U300" t="s">
        <v>73</v>
      </c>
      <c r="V300">
        <v>6</v>
      </c>
      <c r="W300" s="2">
        <v>0</v>
      </c>
    </row>
    <row r="301" spans="1:23" x14ac:dyDescent="0.25">
      <c r="A301" t="s">
        <v>31</v>
      </c>
      <c r="B301" t="s">
        <v>32</v>
      </c>
      <c r="C301" t="s">
        <v>33</v>
      </c>
      <c r="D301" t="s">
        <v>34</v>
      </c>
      <c r="E301" t="s">
        <v>35</v>
      </c>
      <c r="F301" t="s">
        <v>36</v>
      </c>
      <c r="G301">
        <v>1141685</v>
      </c>
      <c r="H301" t="s">
        <v>1350</v>
      </c>
      <c r="I301" t="s">
        <v>1352</v>
      </c>
      <c r="J301" t="s">
        <v>1350</v>
      </c>
      <c r="K301" t="s">
        <v>1355</v>
      </c>
      <c r="L301" s="1">
        <v>46169</v>
      </c>
      <c r="M301" s="1">
        <v>46169</v>
      </c>
      <c r="N301">
        <v>741</v>
      </c>
      <c r="O301" t="s">
        <v>58</v>
      </c>
      <c r="P301" t="s">
        <v>63</v>
      </c>
      <c r="Q301" t="s">
        <v>2635</v>
      </c>
      <c r="R301" t="s">
        <v>3064</v>
      </c>
      <c r="S301" t="s">
        <v>67</v>
      </c>
      <c r="T301" t="s">
        <v>70</v>
      </c>
      <c r="U301" t="s">
        <v>73</v>
      </c>
      <c r="V301">
        <v>6</v>
      </c>
      <c r="W301" s="2">
        <v>0</v>
      </c>
    </row>
    <row r="302" spans="1:23" x14ac:dyDescent="0.25">
      <c r="A302" t="s">
        <v>31</v>
      </c>
      <c r="B302" t="s">
        <v>32</v>
      </c>
      <c r="C302" t="s">
        <v>33</v>
      </c>
      <c r="D302" t="s">
        <v>34</v>
      </c>
      <c r="E302" t="s">
        <v>35</v>
      </c>
      <c r="F302" t="s">
        <v>36</v>
      </c>
      <c r="G302">
        <v>1141685</v>
      </c>
      <c r="H302" t="s">
        <v>1350</v>
      </c>
      <c r="I302" t="s">
        <v>1352</v>
      </c>
      <c r="J302" t="s">
        <v>1350</v>
      </c>
      <c r="K302" t="s">
        <v>1355</v>
      </c>
      <c r="L302" s="1">
        <v>46170</v>
      </c>
      <c r="M302" s="1">
        <v>46170</v>
      </c>
      <c r="N302">
        <v>741</v>
      </c>
      <c r="O302" t="s">
        <v>58</v>
      </c>
      <c r="P302" t="s">
        <v>63</v>
      </c>
      <c r="Q302" t="s">
        <v>2635</v>
      </c>
      <c r="R302" t="s">
        <v>3064</v>
      </c>
      <c r="S302" t="s">
        <v>67</v>
      </c>
      <c r="T302" t="s">
        <v>70</v>
      </c>
      <c r="U302" t="s">
        <v>73</v>
      </c>
      <c r="V302">
        <v>6</v>
      </c>
      <c r="W302" s="2">
        <v>0</v>
      </c>
    </row>
    <row r="303" spans="1:23" x14ac:dyDescent="0.25">
      <c r="A303" t="s">
        <v>31</v>
      </c>
      <c r="B303" t="s">
        <v>32</v>
      </c>
      <c r="C303" t="s">
        <v>33</v>
      </c>
      <c r="D303" t="s">
        <v>34</v>
      </c>
      <c r="E303" t="s">
        <v>35</v>
      </c>
      <c r="F303" t="s">
        <v>36</v>
      </c>
      <c r="G303">
        <v>1141685</v>
      </c>
      <c r="H303" t="s">
        <v>1350</v>
      </c>
      <c r="I303" t="s">
        <v>1352</v>
      </c>
      <c r="J303" t="s">
        <v>1350</v>
      </c>
      <c r="K303" t="s">
        <v>1355</v>
      </c>
      <c r="L303" s="1">
        <v>46171</v>
      </c>
      <c r="M303" s="1">
        <v>46171</v>
      </c>
      <c r="N303">
        <v>741</v>
      </c>
      <c r="O303" t="s">
        <v>58</v>
      </c>
      <c r="P303" t="s">
        <v>63</v>
      </c>
      <c r="Q303" t="s">
        <v>2635</v>
      </c>
      <c r="R303" t="s">
        <v>3064</v>
      </c>
      <c r="S303" t="s">
        <v>67</v>
      </c>
      <c r="T303" t="s">
        <v>70</v>
      </c>
      <c r="U303" t="s">
        <v>73</v>
      </c>
      <c r="V303">
        <v>6</v>
      </c>
      <c r="W303" s="2">
        <v>0</v>
      </c>
    </row>
    <row r="304" spans="1:23" x14ac:dyDescent="0.25">
      <c r="A304" t="s">
        <v>31</v>
      </c>
      <c r="B304" t="s">
        <v>32</v>
      </c>
      <c r="C304" t="s">
        <v>33</v>
      </c>
      <c r="D304" t="s">
        <v>34</v>
      </c>
      <c r="E304" t="s">
        <v>35</v>
      </c>
      <c r="F304" t="s">
        <v>36</v>
      </c>
      <c r="G304">
        <v>1141685</v>
      </c>
      <c r="H304" t="s">
        <v>1350</v>
      </c>
      <c r="I304" t="s">
        <v>1352</v>
      </c>
      <c r="J304" t="s">
        <v>1350</v>
      </c>
      <c r="K304" t="s">
        <v>1355</v>
      </c>
      <c r="L304" s="1">
        <v>46172</v>
      </c>
      <c r="M304" s="1">
        <v>46172</v>
      </c>
      <c r="N304">
        <v>741</v>
      </c>
      <c r="O304" t="s">
        <v>58</v>
      </c>
      <c r="P304" t="s">
        <v>63</v>
      </c>
      <c r="Q304" t="s">
        <v>2635</v>
      </c>
      <c r="R304" t="s">
        <v>3064</v>
      </c>
      <c r="S304" t="s">
        <v>67</v>
      </c>
      <c r="T304" t="s">
        <v>70</v>
      </c>
      <c r="U304" t="s">
        <v>73</v>
      </c>
      <c r="V304">
        <v>6</v>
      </c>
      <c r="W304" s="2">
        <v>0</v>
      </c>
    </row>
    <row r="305" spans="1:23" x14ac:dyDescent="0.25">
      <c r="A305" t="s">
        <v>31</v>
      </c>
      <c r="B305" t="s">
        <v>32</v>
      </c>
      <c r="C305" t="s">
        <v>33</v>
      </c>
      <c r="D305" t="s">
        <v>34</v>
      </c>
      <c r="E305" t="s">
        <v>35</v>
      </c>
      <c r="F305" t="s">
        <v>36</v>
      </c>
      <c r="G305">
        <v>1141685</v>
      </c>
      <c r="H305" t="s">
        <v>1350</v>
      </c>
      <c r="I305" t="s">
        <v>1352</v>
      </c>
      <c r="J305" t="s">
        <v>1350</v>
      </c>
      <c r="K305" t="s">
        <v>1355</v>
      </c>
      <c r="L305" s="1">
        <v>46173</v>
      </c>
      <c r="M305" s="1">
        <v>46173</v>
      </c>
      <c r="N305">
        <v>741</v>
      </c>
      <c r="O305" t="s">
        <v>58</v>
      </c>
      <c r="P305" t="s">
        <v>63</v>
      </c>
      <c r="Q305" t="s">
        <v>2635</v>
      </c>
      <c r="R305" t="s">
        <v>3064</v>
      </c>
      <c r="S305" t="s">
        <v>67</v>
      </c>
      <c r="T305" t="s">
        <v>70</v>
      </c>
      <c r="U305" t="s">
        <v>73</v>
      </c>
      <c r="V305">
        <v>6</v>
      </c>
      <c r="W305" s="2">
        <v>0</v>
      </c>
    </row>
    <row r="306" spans="1:23" x14ac:dyDescent="0.25">
      <c r="A306" t="s">
        <v>31</v>
      </c>
      <c r="B306" t="s">
        <v>32</v>
      </c>
      <c r="C306" t="s">
        <v>33</v>
      </c>
      <c r="D306" t="s">
        <v>34</v>
      </c>
      <c r="E306" t="s">
        <v>35</v>
      </c>
      <c r="F306" t="s">
        <v>36</v>
      </c>
      <c r="G306">
        <v>1141685</v>
      </c>
      <c r="H306" t="s">
        <v>3065</v>
      </c>
      <c r="I306" t="s">
        <v>42</v>
      </c>
      <c r="J306" t="s">
        <v>3065</v>
      </c>
      <c r="K306" t="s">
        <v>3066</v>
      </c>
      <c r="L306" s="1">
        <v>46143</v>
      </c>
      <c r="M306" s="1">
        <v>46143</v>
      </c>
      <c r="N306">
        <v>12845.667799999999</v>
      </c>
      <c r="O306" t="s">
        <v>59</v>
      </c>
      <c r="P306" t="s">
        <v>63</v>
      </c>
      <c r="Q306" t="s">
        <v>2635</v>
      </c>
      <c r="R306" t="s">
        <v>3067</v>
      </c>
      <c r="S306" t="s">
        <v>67</v>
      </c>
      <c r="T306" t="s">
        <v>3068</v>
      </c>
      <c r="U306" t="s">
        <v>3069</v>
      </c>
      <c r="V306">
        <v>8</v>
      </c>
      <c r="W306" s="2">
        <v>217358.84448352669</v>
      </c>
    </row>
    <row r="307" spans="1:23" x14ac:dyDescent="0.25">
      <c r="A307" t="s">
        <v>31</v>
      </c>
      <c r="B307" t="s">
        <v>32</v>
      </c>
      <c r="C307" t="s">
        <v>33</v>
      </c>
      <c r="D307" t="s">
        <v>34</v>
      </c>
      <c r="E307" t="s">
        <v>35</v>
      </c>
      <c r="F307" t="s">
        <v>36</v>
      </c>
      <c r="G307">
        <v>1141685</v>
      </c>
      <c r="H307" t="s">
        <v>3065</v>
      </c>
      <c r="I307" t="s">
        <v>42</v>
      </c>
      <c r="J307" t="s">
        <v>3065</v>
      </c>
      <c r="K307" t="s">
        <v>3066</v>
      </c>
      <c r="L307" s="1">
        <v>46144</v>
      </c>
      <c r="M307" s="1">
        <v>46144</v>
      </c>
      <c r="N307">
        <v>12845.667799999999</v>
      </c>
      <c r="O307" t="s">
        <v>59</v>
      </c>
      <c r="P307" t="s">
        <v>63</v>
      </c>
      <c r="Q307" t="s">
        <v>2635</v>
      </c>
      <c r="R307" t="s">
        <v>3067</v>
      </c>
      <c r="S307" t="s">
        <v>67</v>
      </c>
      <c r="T307" t="s">
        <v>3068</v>
      </c>
      <c r="U307" t="s">
        <v>3069</v>
      </c>
      <c r="V307">
        <v>8</v>
      </c>
      <c r="W307" s="2">
        <v>217358.84448352669</v>
      </c>
    </row>
    <row r="308" spans="1:23" x14ac:dyDescent="0.25">
      <c r="A308" t="s">
        <v>31</v>
      </c>
      <c r="B308" t="s">
        <v>32</v>
      </c>
      <c r="C308" t="s">
        <v>33</v>
      </c>
      <c r="D308" t="s">
        <v>34</v>
      </c>
      <c r="E308" t="s">
        <v>35</v>
      </c>
      <c r="F308" t="s">
        <v>36</v>
      </c>
      <c r="G308">
        <v>1141685</v>
      </c>
      <c r="H308" t="s">
        <v>3065</v>
      </c>
      <c r="I308" t="s">
        <v>42</v>
      </c>
      <c r="J308" t="s">
        <v>3065</v>
      </c>
      <c r="K308" t="s">
        <v>3066</v>
      </c>
      <c r="L308" s="1">
        <v>46145</v>
      </c>
      <c r="M308" s="1">
        <v>46145</v>
      </c>
      <c r="N308">
        <v>12845.667799999999</v>
      </c>
      <c r="O308" t="s">
        <v>59</v>
      </c>
      <c r="P308" t="s">
        <v>63</v>
      </c>
      <c r="Q308" t="s">
        <v>2635</v>
      </c>
      <c r="R308" t="s">
        <v>3067</v>
      </c>
      <c r="S308" t="s">
        <v>67</v>
      </c>
      <c r="T308" t="s">
        <v>3068</v>
      </c>
      <c r="U308" t="s">
        <v>3069</v>
      </c>
      <c r="V308">
        <v>8</v>
      </c>
      <c r="W308" s="2">
        <v>217358.84448352669</v>
      </c>
    </row>
    <row r="309" spans="1:23" x14ac:dyDescent="0.25">
      <c r="A309" t="s">
        <v>31</v>
      </c>
      <c r="B309" t="s">
        <v>32</v>
      </c>
      <c r="C309" t="s">
        <v>33</v>
      </c>
      <c r="D309" t="s">
        <v>34</v>
      </c>
      <c r="E309" t="s">
        <v>35</v>
      </c>
      <c r="F309" t="s">
        <v>36</v>
      </c>
      <c r="G309">
        <v>1141685</v>
      </c>
      <c r="H309" t="s">
        <v>3065</v>
      </c>
      <c r="I309" t="s">
        <v>42</v>
      </c>
      <c r="J309" t="s">
        <v>3065</v>
      </c>
      <c r="K309" t="s">
        <v>3066</v>
      </c>
      <c r="L309" s="1">
        <v>46146</v>
      </c>
      <c r="M309" s="1">
        <v>46146</v>
      </c>
      <c r="N309">
        <v>12845.667799999999</v>
      </c>
      <c r="O309" t="s">
        <v>59</v>
      </c>
      <c r="P309" t="s">
        <v>63</v>
      </c>
      <c r="Q309" t="s">
        <v>2635</v>
      </c>
      <c r="R309" t="s">
        <v>3067</v>
      </c>
      <c r="S309" t="s">
        <v>67</v>
      </c>
      <c r="T309" t="s">
        <v>3068</v>
      </c>
      <c r="U309" t="s">
        <v>3069</v>
      </c>
      <c r="V309">
        <v>8</v>
      </c>
      <c r="W309" s="2">
        <v>217358.84448352669</v>
      </c>
    </row>
    <row r="310" spans="1:23" x14ac:dyDescent="0.25">
      <c r="A310" t="s">
        <v>31</v>
      </c>
      <c r="B310" t="s">
        <v>32</v>
      </c>
      <c r="C310" t="s">
        <v>33</v>
      </c>
      <c r="D310" t="s">
        <v>34</v>
      </c>
      <c r="E310" t="s">
        <v>35</v>
      </c>
      <c r="F310" t="s">
        <v>36</v>
      </c>
      <c r="G310">
        <v>1141685</v>
      </c>
      <c r="H310" t="s">
        <v>3065</v>
      </c>
      <c r="I310" t="s">
        <v>42</v>
      </c>
      <c r="J310" t="s">
        <v>3065</v>
      </c>
      <c r="K310" t="s">
        <v>3066</v>
      </c>
      <c r="L310" s="1">
        <v>46147</v>
      </c>
      <c r="M310" s="1">
        <v>46147</v>
      </c>
      <c r="N310">
        <v>12845.667799999999</v>
      </c>
      <c r="O310" t="s">
        <v>59</v>
      </c>
      <c r="P310" t="s">
        <v>63</v>
      </c>
      <c r="Q310" t="s">
        <v>2635</v>
      </c>
      <c r="R310" t="s">
        <v>3067</v>
      </c>
      <c r="S310" t="s">
        <v>67</v>
      </c>
      <c r="T310" t="s">
        <v>3068</v>
      </c>
      <c r="U310" t="s">
        <v>3069</v>
      </c>
      <c r="V310">
        <v>8</v>
      </c>
      <c r="W310" s="2">
        <v>217358.84448352669</v>
      </c>
    </row>
    <row r="311" spans="1:23" x14ac:dyDescent="0.25">
      <c r="A311" t="s">
        <v>31</v>
      </c>
      <c r="B311" t="s">
        <v>32</v>
      </c>
      <c r="C311" t="s">
        <v>33</v>
      </c>
      <c r="D311" t="s">
        <v>34</v>
      </c>
      <c r="E311" t="s">
        <v>35</v>
      </c>
      <c r="F311" t="s">
        <v>36</v>
      </c>
      <c r="G311">
        <v>1141685</v>
      </c>
      <c r="H311" t="s">
        <v>3065</v>
      </c>
      <c r="I311" t="s">
        <v>42</v>
      </c>
      <c r="J311" t="s">
        <v>3065</v>
      </c>
      <c r="K311" t="s">
        <v>3066</v>
      </c>
      <c r="L311" s="1">
        <v>46148</v>
      </c>
      <c r="M311" s="1">
        <v>46148</v>
      </c>
      <c r="N311">
        <v>12845.667799999999</v>
      </c>
      <c r="O311" t="s">
        <v>59</v>
      </c>
      <c r="P311" t="s">
        <v>63</v>
      </c>
      <c r="Q311" t="s">
        <v>2635</v>
      </c>
      <c r="R311" t="s">
        <v>3067</v>
      </c>
      <c r="S311" t="s">
        <v>67</v>
      </c>
      <c r="T311" t="s">
        <v>3068</v>
      </c>
      <c r="U311" t="s">
        <v>3069</v>
      </c>
      <c r="V311">
        <v>8</v>
      </c>
      <c r="W311" s="2">
        <v>217358.84448352669</v>
      </c>
    </row>
    <row r="312" spans="1:23" x14ac:dyDescent="0.25">
      <c r="A312" t="s">
        <v>31</v>
      </c>
      <c r="B312" t="s">
        <v>32</v>
      </c>
      <c r="C312" t="s">
        <v>33</v>
      </c>
      <c r="D312" t="s">
        <v>34</v>
      </c>
      <c r="E312" t="s">
        <v>35</v>
      </c>
      <c r="F312" t="s">
        <v>36</v>
      </c>
      <c r="G312">
        <v>1141685</v>
      </c>
      <c r="H312" t="s">
        <v>3065</v>
      </c>
      <c r="I312" t="s">
        <v>42</v>
      </c>
      <c r="J312" t="s">
        <v>3065</v>
      </c>
      <c r="K312" t="s">
        <v>3066</v>
      </c>
      <c r="L312" s="1">
        <v>46149</v>
      </c>
      <c r="M312" s="1">
        <v>46149</v>
      </c>
      <c r="N312">
        <v>12845.667799999999</v>
      </c>
      <c r="O312" t="s">
        <v>59</v>
      </c>
      <c r="P312" t="s">
        <v>63</v>
      </c>
      <c r="Q312" t="s">
        <v>2635</v>
      </c>
      <c r="R312" t="s">
        <v>3067</v>
      </c>
      <c r="S312" t="s">
        <v>67</v>
      </c>
      <c r="T312" t="s">
        <v>3068</v>
      </c>
      <c r="U312" t="s">
        <v>3069</v>
      </c>
      <c r="V312">
        <v>8</v>
      </c>
      <c r="W312" s="2">
        <v>217358.84448352669</v>
      </c>
    </row>
    <row r="313" spans="1:23" x14ac:dyDescent="0.25">
      <c r="A313" t="s">
        <v>31</v>
      </c>
      <c r="B313" t="s">
        <v>32</v>
      </c>
      <c r="C313" t="s">
        <v>33</v>
      </c>
      <c r="D313" t="s">
        <v>34</v>
      </c>
      <c r="E313" t="s">
        <v>35</v>
      </c>
      <c r="F313" t="s">
        <v>36</v>
      </c>
      <c r="G313">
        <v>1141685</v>
      </c>
      <c r="H313" t="s">
        <v>3065</v>
      </c>
      <c r="I313" t="s">
        <v>42</v>
      </c>
      <c r="J313" t="s">
        <v>3065</v>
      </c>
      <c r="K313" t="s">
        <v>3066</v>
      </c>
      <c r="L313" s="1">
        <v>46150</v>
      </c>
      <c r="M313" s="1">
        <v>46150</v>
      </c>
      <c r="N313">
        <v>12845.667799999999</v>
      </c>
      <c r="O313" t="s">
        <v>59</v>
      </c>
      <c r="P313" t="s">
        <v>63</v>
      </c>
      <c r="Q313" t="s">
        <v>2635</v>
      </c>
      <c r="R313" t="s">
        <v>3067</v>
      </c>
      <c r="S313" t="s">
        <v>67</v>
      </c>
      <c r="T313" t="s">
        <v>3068</v>
      </c>
      <c r="U313" t="s">
        <v>3069</v>
      </c>
      <c r="V313">
        <v>8</v>
      </c>
      <c r="W313" s="2">
        <v>217358.84448352669</v>
      </c>
    </row>
    <row r="314" spans="1:23" x14ac:dyDescent="0.25">
      <c r="A314" t="s">
        <v>31</v>
      </c>
      <c r="B314" t="s">
        <v>32</v>
      </c>
      <c r="C314" t="s">
        <v>33</v>
      </c>
      <c r="D314" t="s">
        <v>34</v>
      </c>
      <c r="E314" t="s">
        <v>35</v>
      </c>
      <c r="F314" t="s">
        <v>36</v>
      </c>
      <c r="G314">
        <v>1141685</v>
      </c>
      <c r="H314" t="s">
        <v>3065</v>
      </c>
      <c r="I314" t="s">
        <v>42</v>
      </c>
      <c r="J314" t="s">
        <v>3065</v>
      </c>
      <c r="K314" t="s">
        <v>3066</v>
      </c>
      <c r="L314" s="1">
        <v>46151</v>
      </c>
      <c r="M314" s="1">
        <v>46151</v>
      </c>
      <c r="N314">
        <v>12845.667799999999</v>
      </c>
      <c r="O314" t="s">
        <v>59</v>
      </c>
      <c r="P314" t="s">
        <v>63</v>
      </c>
      <c r="Q314" t="s">
        <v>2635</v>
      </c>
      <c r="R314" t="s">
        <v>3067</v>
      </c>
      <c r="S314" t="s">
        <v>67</v>
      </c>
      <c r="T314" t="s">
        <v>3068</v>
      </c>
      <c r="U314" t="s">
        <v>3069</v>
      </c>
      <c r="V314">
        <v>8</v>
      </c>
      <c r="W314" s="2">
        <v>217358.84448352669</v>
      </c>
    </row>
    <row r="315" spans="1:23" x14ac:dyDescent="0.25">
      <c r="A315" t="s">
        <v>31</v>
      </c>
      <c r="B315" t="s">
        <v>32</v>
      </c>
      <c r="C315" t="s">
        <v>33</v>
      </c>
      <c r="D315" t="s">
        <v>34</v>
      </c>
      <c r="E315" t="s">
        <v>35</v>
      </c>
      <c r="F315" t="s">
        <v>36</v>
      </c>
      <c r="G315">
        <v>1141685</v>
      </c>
      <c r="H315" t="s">
        <v>3065</v>
      </c>
      <c r="I315" t="s">
        <v>42</v>
      </c>
      <c r="J315" t="s">
        <v>3065</v>
      </c>
      <c r="K315" t="s">
        <v>3066</v>
      </c>
      <c r="L315" s="1">
        <v>46152</v>
      </c>
      <c r="M315" s="1">
        <v>46152</v>
      </c>
      <c r="N315">
        <v>12845.667799999999</v>
      </c>
      <c r="O315" t="s">
        <v>59</v>
      </c>
      <c r="P315" t="s">
        <v>63</v>
      </c>
      <c r="Q315" t="s">
        <v>2635</v>
      </c>
      <c r="R315" t="s">
        <v>3067</v>
      </c>
      <c r="S315" t="s">
        <v>67</v>
      </c>
      <c r="T315" t="s">
        <v>3068</v>
      </c>
      <c r="U315" t="s">
        <v>3069</v>
      </c>
      <c r="V315">
        <v>8</v>
      </c>
      <c r="W315" s="2">
        <v>217358.84448352669</v>
      </c>
    </row>
    <row r="316" spans="1:23" x14ac:dyDescent="0.25">
      <c r="A316" t="s">
        <v>31</v>
      </c>
      <c r="B316" t="s">
        <v>32</v>
      </c>
      <c r="C316" t="s">
        <v>33</v>
      </c>
      <c r="D316" t="s">
        <v>34</v>
      </c>
      <c r="E316" t="s">
        <v>35</v>
      </c>
      <c r="F316" t="s">
        <v>36</v>
      </c>
      <c r="G316">
        <v>1141685</v>
      </c>
      <c r="H316" t="s">
        <v>3065</v>
      </c>
      <c r="I316" t="s">
        <v>42</v>
      </c>
      <c r="J316" t="s">
        <v>3065</v>
      </c>
      <c r="K316" t="s">
        <v>3066</v>
      </c>
      <c r="L316" s="1">
        <v>46153</v>
      </c>
      <c r="M316" s="1">
        <v>46153</v>
      </c>
      <c r="N316">
        <v>12845.667799999999</v>
      </c>
      <c r="O316" t="s">
        <v>59</v>
      </c>
      <c r="P316" t="s">
        <v>63</v>
      </c>
      <c r="Q316" t="s">
        <v>2635</v>
      </c>
      <c r="R316" t="s">
        <v>3067</v>
      </c>
      <c r="S316" t="s">
        <v>67</v>
      </c>
      <c r="T316" t="s">
        <v>3068</v>
      </c>
      <c r="U316" t="s">
        <v>3069</v>
      </c>
      <c r="V316">
        <v>8</v>
      </c>
      <c r="W316" s="2">
        <v>217358.84448352669</v>
      </c>
    </row>
    <row r="317" spans="1:23" x14ac:dyDescent="0.25">
      <c r="A317" t="s">
        <v>31</v>
      </c>
      <c r="B317" t="s">
        <v>32</v>
      </c>
      <c r="C317" t="s">
        <v>33</v>
      </c>
      <c r="D317" t="s">
        <v>34</v>
      </c>
      <c r="E317" t="s">
        <v>35</v>
      </c>
      <c r="F317" t="s">
        <v>36</v>
      </c>
      <c r="G317">
        <v>1141685</v>
      </c>
      <c r="H317" t="s">
        <v>3065</v>
      </c>
      <c r="I317" t="s">
        <v>42</v>
      </c>
      <c r="J317" t="s">
        <v>3065</v>
      </c>
      <c r="K317" t="s">
        <v>3066</v>
      </c>
      <c r="L317" s="1">
        <v>46154</v>
      </c>
      <c r="M317" s="1">
        <v>46154</v>
      </c>
      <c r="N317">
        <v>12845.667799999999</v>
      </c>
      <c r="O317" t="s">
        <v>59</v>
      </c>
      <c r="P317" t="s">
        <v>63</v>
      </c>
      <c r="Q317" t="s">
        <v>2635</v>
      </c>
      <c r="R317" t="s">
        <v>3067</v>
      </c>
      <c r="S317" t="s">
        <v>67</v>
      </c>
      <c r="T317" t="s">
        <v>3068</v>
      </c>
      <c r="U317" t="s">
        <v>3069</v>
      </c>
      <c r="V317">
        <v>8</v>
      </c>
      <c r="W317" s="2">
        <v>217358.84448352669</v>
      </c>
    </row>
    <row r="318" spans="1:23" x14ac:dyDescent="0.25">
      <c r="A318" t="s">
        <v>31</v>
      </c>
      <c r="B318" t="s">
        <v>32</v>
      </c>
      <c r="C318" t="s">
        <v>33</v>
      </c>
      <c r="D318" t="s">
        <v>34</v>
      </c>
      <c r="E318" t="s">
        <v>35</v>
      </c>
      <c r="F318" t="s">
        <v>36</v>
      </c>
      <c r="G318">
        <v>1141685</v>
      </c>
      <c r="H318" t="s">
        <v>3065</v>
      </c>
      <c r="I318" t="s">
        <v>42</v>
      </c>
      <c r="J318" t="s">
        <v>3065</v>
      </c>
      <c r="K318" t="s">
        <v>3066</v>
      </c>
      <c r="L318" s="1">
        <v>46155</v>
      </c>
      <c r="M318" s="1">
        <v>46155</v>
      </c>
      <c r="N318">
        <v>12845.667799999999</v>
      </c>
      <c r="O318" t="s">
        <v>59</v>
      </c>
      <c r="P318" t="s">
        <v>63</v>
      </c>
      <c r="Q318" t="s">
        <v>2635</v>
      </c>
      <c r="R318" t="s">
        <v>3067</v>
      </c>
      <c r="S318" t="s">
        <v>67</v>
      </c>
      <c r="T318" t="s">
        <v>3068</v>
      </c>
      <c r="U318" t="s">
        <v>3069</v>
      </c>
      <c r="V318">
        <v>8</v>
      </c>
      <c r="W318" s="2">
        <v>217358.84448352669</v>
      </c>
    </row>
    <row r="319" spans="1:23" x14ac:dyDescent="0.25">
      <c r="A319" t="s">
        <v>31</v>
      </c>
      <c r="B319" t="s">
        <v>32</v>
      </c>
      <c r="C319" t="s">
        <v>33</v>
      </c>
      <c r="D319" t="s">
        <v>34</v>
      </c>
      <c r="E319" t="s">
        <v>35</v>
      </c>
      <c r="F319" t="s">
        <v>36</v>
      </c>
      <c r="G319">
        <v>1141685</v>
      </c>
      <c r="H319" t="s">
        <v>3065</v>
      </c>
      <c r="I319" t="s">
        <v>42</v>
      </c>
      <c r="J319" t="s">
        <v>3065</v>
      </c>
      <c r="K319" t="s">
        <v>3066</v>
      </c>
      <c r="L319" s="1">
        <v>46156</v>
      </c>
      <c r="M319" s="1">
        <v>46156</v>
      </c>
      <c r="N319">
        <v>12845.667799999999</v>
      </c>
      <c r="O319" t="s">
        <v>59</v>
      </c>
      <c r="P319" t="s">
        <v>63</v>
      </c>
      <c r="Q319" t="s">
        <v>2635</v>
      </c>
      <c r="R319" t="s">
        <v>3067</v>
      </c>
      <c r="S319" t="s">
        <v>67</v>
      </c>
      <c r="T319" t="s">
        <v>3068</v>
      </c>
      <c r="U319" t="s">
        <v>3069</v>
      </c>
      <c r="V319">
        <v>8</v>
      </c>
      <c r="W319" s="2">
        <v>217358.84448352669</v>
      </c>
    </row>
    <row r="320" spans="1:23" x14ac:dyDescent="0.25">
      <c r="A320" t="s">
        <v>31</v>
      </c>
      <c r="B320" t="s">
        <v>32</v>
      </c>
      <c r="C320" t="s">
        <v>33</v>
      </c>
      <c r="D320" t="s">
        <v>34</v>
      </c>
      <c r="E320" t="s">
        <v>35</v>
      </c>
      <c r="F320" t="s">
        <v>36</v>
      </c>
      <c r="G320">
        <v>1141685</v>
      </c>
      <c r="H320" t="s">
        <v>3065</v>
      </c>
      <c r="I320" t="s">
        <v>42</v>
      </c>
      <c r="J320" t="s">
        <v>3065</v>
      </c>
      <c r="K320" t="s">
        <v>3066</v>
      </c>
      <c r="L320" s="1">
        <v>46157</v>
      </c>
      <c r="M320" s="1">
        <v>46157</v>
      </c>
      <c r="N320">
        <v>12845.667799999999</v>
      </c>
      <c r="O320" t="s">
        <v>59</v>
      </c>
      <c r="P320" t="s">
        <v>63</v>
      </c>
      <c r="Q320" t="s">
        <v>2635</v>
      </c>
      <c r="R320" t="s">
        <v>3067</v>
      </c>
      <c r="S320" t="s">
        <v>67</v>
      </c>
      <c r="T320" t="s">
        <v>3068</v>
      </c>
      <c r="U320" t="s">
        <v>3069</v>
      </c>
      <c r="V320">
        <v>8</v>
      </c>
      <c r="W320" s="2">
        <v>217358.84448352669</v>
      </c>
    </row>
    <row r="321" spans="1:23" x14ac:dyDescent="0.25">
      <c r="A321" t="s">
        <v>31</v>
      </c>
      <c r="B321" t="s">
        <v>32</v>
      </c>
      <c r="C321" t="s">
        <v>33</v>
      </c>
      <c r="D321" t="s">
        <v>34</v>
      </c>
      <c r="E321" t="s">
        <v>35</v>
      </c>
      <c r="F321" t="s">
        <v>36</v>
      </c>
      <c r="G321">
        <v>1141685</v>
      </c>
      <c r="H321" t="s">
        <v>3065</v>
      </c>
      <c r="I321" t="s">
        <v>42</v>
      </c>
      <c r="J321" t="s">
        <v>3065</v>
      </c>
      <c r="K321" t="s">
        <v>3066</v>
      </c>
      <c r="L321" s="1">
        <v>46158</v>
      </c>
      <c r="M321" s="1">
        <v>46158</v>
      </c>
      <c r="N321">
        <v>12845.667799999999</v>
      </c>
      <c r="O321" t="s">
        <v>59</v>
      </c>
      <c r="P321" t="s">
        <v>63</v>
      </c>
      <c r="Q321" t="s">
        <v>2635</v>
      </c>
      <c r="R321" t="s">
        <v>3067</v>
      </c>
      <c r="S321" t="s">
        <v>67</v>
      </c>
      <c r="T321" t="s">
        <v>3068</v>
      </c>
      <c r="U321" t="s">
        <v>3069</v>
      </c>
      <c r="V321">
        <v>8</v>
      </c>
      <c r="W321" s="2">
        <v>217358.84448352669</v>
      </c>
    </row>
    <row r="322" spans="1:23" x14ac:dyDescent="0.25">
      <c r="A322" t="s">
        <v>31</v>
      </c>
      <c r="B322" t="s">
        <v>32</v>
      </c>
      <c r="C322" t="s">
        <v>33</v>
      </c>
      <c r="D322" t="s">
        <v>34</v>
      </c>
      <c r="E322" t="s">
        <v>35</v>
      </c>
      <c r="F322" t="s">
        <v>36</v>
      </c>
      <c r="G322">
        <v>1141685</v>
      </c>
      <c r="H322" t="s">
        <v>3065</v>
      </c>
      <c r="I322" t="s">
        <v>42</v>
      </c>
      <c r="J322" t="s">
        <v>3065</v>
      </c>
      <c r="K322" t="s">
        <v>3066</v>
      </c>
      <c r="L322" s="1">
        <v>46159</v>
      </c>
      <c r="M322" s="1">
        <v>46159</v>
      </c>
      <c r="N322">
        <v>12845.667799999999</v>
      </c>
      <c r="O322" t="s">
        <v>59</v>
      </c>
      <c r="P322" t="s">
        <v>63</v>
      </c>
      <c r="Q322" t="s">
        <v>2635</v>
      </c>
      <c r="R322" t="s">
        <v>3067</v>
      </c>
      <c r="S322" t="s">
        <v>67</v>
      </c>
      <c r="T322" t="s">
        <v>3068</v>
      </c>
      <c r="U322" t="s">
        <v>3069</v>
      </c>
      <c r="V322">
        <v>8</v>
      </c>
      <c r="W322" s="2">
        <v>217358.84448352669</v>
      </c>
    </row>
    <row r="323" spans="1:23" x14ac:dyDescent="0.25">
      <c r="A323" t="s">
        <v>31</v>
      </c>
      <c r="B323" t="s">
        <v>32</v>
      </c>
      <c r="C323" t="s">
        <v>33</v>
      </c>
      <c r="D323" t="s">
        <v>34</v>
      </c>
      <c r="E323" t="s">
        <v>35</v>
      </c>
      <c r="F323" t="s">
        <v>36</v>
      </c>
      <c r="G323">
        <v>1141685</v>
      </c>
      <c r="H323" t="s">
        <v>3065</v>
      </c>
      <c r="I323" t="s">
        <v>42</v>
      </c>
      <c r="J323" t="s">
        <v>3065</v>
      </c>
      <c r="K323" t="s">
        <v>3066</v>
      </c>
      <c r="L323" s="1">
        <v>46160</v>
      </c>
      <c r="M323" s="1">
        <v>46160</v>
      </c>
      <c r="N323">
        <v>12845.667799999999</v>
      </c>
      <c r="O323" t="s">
        <v>59</v>
      </c>
      <c r="P323" t="s">
        <v>63</v>
      </c>
      <c r="Q323" t="s">
        <v>2635</v>
      </c>
      <c r="R323" t="s">
        <v>3067</v>
      </c>
      <c r="S323" t="s">
        <v>67</v>
      </c>
      <c r="T323" t="s">
        <v>3068</v>
      </c>
      <c r="U323" t="s">
        <v>3069</v>
      </c>
      <c r="V323">
        <v>8</v>
      </c>
      <c r="W323" s="2">
        <v>217358.84448352669</v>
      </c>
    </row>
    <row r="324" spans="1:23" x14ac:dyDescent="0.25">
      <c r="A324" t="s">
        <v>31</v>
      </c>
      <c r="B324" t="s">
        <v>32</v>
      </c>
      <c r="C324" t="s">
        <v>33</v>
      </c>
      <c r="D324" t="s">
        <v>34</v>
      </c>
      <c r="E324" t="s">
        <v>35</v>
      </c>
      <c r="F324" t="s">
        <v>36</v>
      </c>
      <c r="G324">
        <v>1141685</v>
      </c>
      <c r="H324" t="s">
        <v>3065</v>
      </c>
      <c r="I324" t="s">
        <v>42</v>
      </c>
      <c r="J324" t="s">
        <v>3065</v>
      </c>
      <c r="K324" t="s">
        <v>3066</v>
      </c>
      <c r="L324" s="1">
        <v>46161</v>
      </c>
      <c r="M324" s="1">
        <v>46161</v>
      </c>
      <c r="N324">
        <v>12845.667799999999</v>
      </c>
      <c r="O324" t="s">
        <v>59</v>
      </c>
      <c r="P324" t="s">
        <v>63</v>
      </c>
      <c r="Q324" t="s">
        <v>2635</v>
      </c>
      <c r="R324" t="s">
        <v>3067</v>
      </c>
      <c r="S324" t="s">
        <v>67</v>
      </c>
      <c r="T324" t="s">
        <v>3068</v>
      </c>
      <c r="U324" t="s">
        <v>3069</v>
      </c>
      <c r="V324">
        <v>8</v>
      </c>
      <c r="W324" s="2">
        <v>217358.84448352669</v>
      </c>
    </row>
    <row r="325" spans="1:23" x14ac:dyDescent="0.25">
      <c r="A325" t="s">
        <v>31</v>
      </c>
      <c r="B325" t="s">
        <v>32</v>
      </c>
      <c r="C325" t="s">
        <v>33</v>
      </c>
      <c r="D325" t="s">
        <v>34</v>
      </c>
      <c r="E325" t="s">
        <v>35</v>
      </c>
      <c r="F325" t="s">
        <v>36</v>
      </c>
      <c r="G325">
        <v>1141685</v>
      </c>
      <c r="H325" t="s">
        <v>3065</v>
      </c>
      <c r="I325" t="s">
        <v>42</v>
      </c>
      <c r="J325" t="s">
        <v>3065</v>
      </c>
      <c r="K325" t="s">
        <v>3066</v>
      </c>
      <c r="L325" s="1">
        <v>46162</v>
      </c>
      <c r="M325" s="1">
        <v>46162</v>
      </c>
      <c r="N325">
        <v>12845.667799999999</v>
      </c>
      <c r="O325" t="s">
        <v>59</v>
      </c>
      <c r="P325" t="s">
        <v>63</v>
      </c>
      <c r="Q325" t="s">
        <v>2635</v>
      </c>
      <c r="R325" t="s">
        <v>3067</v>
      </c>
      <c r="S325" t="s">
        <v>67</v>
      </c>
      <c r="T325" t="s">
        <v>3068</v>
      </c>
      <c r="U325" t="s">
        <v>3069</v>
      </c>
      <c r="V325">
        <v>8</v>
      </c>
      <c r="W325" s="2">
        <v>217358.84448352669</v>
      </c>
    </row>
    <row r="326" spans="1:23" x14ac:dyDescent="0.25">
      <c r="A326" t="s">
        <v>31</v>
      </c>
      <c r="B326" t="s">
        <v>32</v>
      </c>
      <c r="C326" t="s">
        <v>33</v>
      </c>
      <c r="D326" t="s">
        <v>34</v>
      </c>
      <c r="E326" t="s">
        <v>35</v>
      </c>
      <c r="F326" t="s">
        <v>36</v>
      </c>
      <c r="G326">
        <v>1141685</v>
      </c>
      <c r="H326" t="s">
        <v>3065</v>
      </c>
      <c r="I326" t="s">
        <v>42</v>
      </c>
      <c r="J326" t="s">
        <v>3065</v>
      </c>
      <c r="K326" t="s">
        <v>3066</v>
      </c>
      <c r="L326" s="1">
        <v>46163</v>
      </c>
      <c r="M326" s="1">
        <v>46163</v>
      </c>
      <c r="N326">
        <v>12845.667799999999</v>
      </c>
      <c r="O326" t="s">
        <v>59</v>
      </c>
      <c r="P326" t="s">
        <v>63</v>
      </c>
      <c r="Q326" t="s">
        <v>2635</v>
      </c>
      <c r="R326" t="s">
        <v>3067</v>
      </c>
      <c r="S326" t="s">
        <v>67</v>
      </c>
      <c r="T326" t="s">
        <v>3068</v>
      </c>
      <c r="U326" t="s">
        <v>3069</v>
      </c>
      <c r="V326">
        <v>8</v>
      </c>
      <c r="W326" s="2">
        <v>217358.84448352669</v>
      </c>
    </row>
    <row r="327" spans="1:23" x14ac:dyDescent="0.25">
      <c r="A327" t="s">
        <v>31</v>
      </c>
      <c r="B327" t="s">
        <v>32</v>
      </c>
      <c r="C327" t="s">
        <v>33</v>
      </c>
      <c r="D327" t="s">
        <v>34</v>
      </c>
      <c r="E327" t="s">
        <v>35</v>
      </c>
      <c r="F327" t="s">
        <v>36</v>
      </c>
      <c r="G327">
        <v>1141685</v>
      </c>
      <c r="H327" t="s">
        <v>3065</v>
      </c>
      <c r="I327" t="s">
        <v>42</v>
      </c>
      <c r="J327" t="s">
        <v>3065</v>
      </c>
      <c r="K327" t="s">
        <v>3066</v>
      </c>
      <c r="L327" s="1">
        <v>46164</v>
      </c>
      <c r="M327" s="1">
        <v>46164</v>
      </c>
      <c r="N327">
        <v>12845.667799999999</v>
      </c>
      <c r="O327" t="s">
        <v>59</v>
      </c>
      <c r="P327" t="s">
        <v>63</v>
      </c>
      <c r="Q327" t="s">
        <v>2635</v>
      </c>
      <c r="R327" t="s">
        <v>3067</v>
      </c>
      <c r="S327" t="s">
        <v>67</v>
      </c>
      <c r="T327" t="s">
        <v>3068</v>
      </c>
      <c r="U327" t="s">
        <v>3069</v>
      </c>
      <c r="V327">
        <v>8</v>
      </c>
      <c r="W327" s="2">
        <v>217358.84448352669</v>
      </c>
    </row>
    <row r="328" spans="1:23" x14ac:dyDescent="0.25">
      <c r="A328" t="s">
        <v>31</v>
      </c>
      <c r="B328" t="s">
        <v>32</v>
      </c>
      <c r="C328" t="s">
        <v>33</v>
      </c>
      <c r="D328" t="s">
        <v>34</v>
      </c>
      <c r="E328" t="s">
        <v>35</v>
      </c>
      <c r="F328" t="s">
        <v>36</v>
      </c>
      <c r="G328">
        <v>1141685</v>
      </c>
      <c r="H328" t="s">
        <v>3065</v>
      </c>
      <c r="I328" t="s">
        <v>42</v>
      </c>
      <c r="J328" t="s">
        <v>3065</v>
      </c>
      <c r="K328" t="s">
        <v>3066</v>
      </c>
      <c r="L328" s="1">
        <v>46165</v>
      </c>
      <c r="M328" s="1">
        <v>46165</v>
      </c>
      <c r="N328">
        <v>12845.667799999999</v>
      </c>
      <c r="O328" t="s">
        <v>59</v>
      </c>
      <c r="P328" t="s">
        <v>63</v>
      </c>
      <c r="Q328" t="s">
        <v>2635</v>
      </c>
      <c r="R328" t="s">
        <v>3067</v>
      </c>
      <c r="S328" t="s">
        <v>67</v>
      </c>
      <c r="T328" t="s">
        <v>3068</v>
      </c>
      <c r="U328" t="s">
        <v>3069</v>
      </c>
      <c r="V328">
        <v>8</v>
      </c>
      <c r="W328" s="2">
        <v>217358.84448352669</v>
      </c>
    </row>
    <row r="329" spans="1:23" x14ac:dyDescent="0.25">
      <c r="A329" t="s">
        <v>31</v>
      </c>
      <c r="B329" t="s">
        <v>32</v>
      </c>
      <c r="C329" t="s">
        <v>33</v>
      </c>
      <c r="D329" t="s">
        <v>34</v>
      </c>
      <c r="E329" t="s">
        <v>35</v>
      </c>
      <c r="F329" t="s">
        <v>36</v>
      </c>
      <c r="G329">
        <v>1141685</v>
      </c>
      <c r="H329" t="s">
        <v>3065</v>
      </c>
      <c r="I329" t="s">
        <v>42</v>
      </c>
      <c r="J329" t="s">
        <v>3065</v>
      </c>
      <c r="K329" t="s">
        <v>3066</v>
      </c>
      <c r="L329" s="1">
        <v>46166</v>
      </c>
      <c r="M329" s="1">
        <v>46166</v>
      </c>
      <c r="N329">
        <v>12845.667799999999</v>
      </c>
      <c r="O329" t="s">
        <v>59</v>
      </c>
      <c r="P329" t="s">
        <v>63</v>
      </c>
      <c r="Q329" t="s">
        <v>2635</v>
      </c>
      <c r="R329" t="s">
        <v>3067</v>
      </c>
      <c r="S329" t="s">
        <v>67</v>
      </c>
      <c r="T329" t="s">
        <v>3068</v>
      </c>
      <c r="U329" t="s">
        <v>3069</v>
      </c>
      <c r="V329">
        <v>8</v>
      </c>
      <c r="W329" s="2">
        <v>217358.84448352669</v>
      </c>
    </row>
    <row r="330" spans="1:23" x14ac:dyDescent="0.25">
      <c r="A330" t="s">
        <v>31</v>
      </c>
      <c r="B330" t="s">
        <v>32</v>
      </c>
      <c r="C330" t="s">
        <v>33</v>
      </c>
      <c r="D330" t="s">
        <v>34</v>
      </c>
      <c r="E330" t="s">
        <v>35</v>
      </c>
      <c r="F330" t="s">
        <v>36</v>
      </c>
      <c r="G330">
        <v>1141685</v>
      </c>
      <c r="H330" t="s">
        <v>3065</v>
      </c>
      <c r="I330" t="s">
        <v>42</v>
      </c>
      <c r="J330" t="s">
        <v>3065</v>
      </c>
      <c r="K330" t="s">
        <v>3066</v>
      </c>
      <c r="L330" s="1">
        <v>46167</v>
      </c>
      <c r="M330" s="1">
        <v>46167</v>
      </c>
      <c r="N330">
        <v>12845.667799999999</v>
      </c>
      <c r="O330" t="s">
        <v>59</v>
      </c>
      <c r="P330" t="s">
        <v>63</v>
      </c>
      <c r="Q330" t="s">
        <v>2635</v>
      </c>
      <c r="R330" t="s">
        <v>3067</v>
      </c>
      <c r="S330" t="s">
        <v>67</v>
      </c>
      <c r="T330" t="s">
        <v>3068</v>
      </c>
      <c r="U330" t="s">
        <v>3069</v>
      </c>
      <c r="V330">
        <v>8</v>
      </c>
      <c r="W330" s="2">
        <v>217358.84448352669</v>
      </c>
    </row>
    <row r="331" spans="1:23" x14ac:dyDescent="0.25">
      <c r="A331" t="s">
        <v>31</v>
      </c>
      <c r="B331" t="s">
        <v>32</v>
      </c>
      <c r="C331" t="s">
        <v>33</v>
      </c>
      <c r="D331" t="s">
        <v>34</v>
      </c>
      <c r="E331" t="s">
        <v>35</v>
      </c>
      <c r="F331" t="s">
        <v>36</v>
      </c>
      <c r="G331">
        <v>1141685</v>
      </c>
      <c r="H331" t="s">
        <v>3065</v>
      </c>
      <c r="I331" t="s">
        <v>42</v>
      </c>
      <c r="J331" t="s">
        <v>3065</v>
      </c>
      <c r="K331" t="s">
        <v>3066</v>
      </c>
      <c r="L331" s="1">
        <v>46168</v>
      </c>
      <c r="M331" s="1">
        <v>46168</v>
      </c>
      <c r="N331">
        <v>12845.667799999999</v>
      </c>
      <c r="O331" t="s">
        <v>59</v>
      </c>
      <c r="P331" t="s">
        <v>63</v>
      </c>
      <c r="Q331" t="s">
        <v>2635</v>
      </c>
      <c r="R331" t="s">
        <v>3067</v>
      </c>
      <c r="S331" t="s">
        <v>67</v>
      </c>
      <c r="T331" t="s">
        <v>3068</v>
      </c>
      <c r="U331" t="s">
        <v>3069</v>
      </c>
      <c r="V331">
        <v>8</v>
      </c>
      <c r="W331" s="2">
        <v>217358.84448352669</v>
      </c>
    </row>
    <row r="332" spans="1:23" x14ac:dyDescent="0.25">
      <c r="A332" t="s">
        <v>31</v>
      </c>
      <c r="B332" t="s">
        <v>32</v>
      </c>
      <c r="C332" t="s">
        <v>33</v>
      </c>
      <c r="D332" t="s">
        <v>34</v>
      </c>
      <c r="E332" t="s">
        <v>35</v>
      </c>
      <c r="F332" t="s">
        <v>36</v>
      </c>
      <c r="G332">
        <v>1141685</v>
      </c>
      <c r="H332" t="s">
        <v>3065</v>
      </c>
      <c r="I332" t="s">
        <v>42</v>
      </c>
      <c r="J332" t="s">
        <v>3065</v>
      </c>
      <c r="K332" t="s">
        <v>3066</v>
      </c>
      <c r="L332" s="1">
        <v>46169</v>
      </c>
      <c r="M332" s="1">
        <v>46169</v>
      </c>
      <c r="N332">
        <v>12845.667799999999</v>
      </c>
      <c r="O332" t="s">
        <v>59</v>
      </c>
      <c r="P332" t="s">
        <v>63</v>
      </c>
      <c r="Q332" t="s">
        <v>2635</v>
      </c>
      <c r="R332" t="s">
        <v>3067</v>
      </c>
      <c r="S332" t="s">
        <v>67</v>
      </c>
      <c r="T332" t="s">
        <v>3068</v>
      </c>
      <c r="U332" t="s">
        <v>3069</v>
      </c>
      <c r="V332">
        <v>8</v>
      </c>
      <c r="W332" s="2">
        <v>217358.84448352669</v>
      </c>
    </row>
    <row r="333" spans="1:23" x14ac:dyDescent="0.25">
      <c r="A333" t="s">
        <v>31</v>
      </c>
      <c r="B333" t="s">
        <v>32</v>
      </c>
      <c r="C333" t="s">
        <v>33</v>
      </c>
      <c r="D333" t="s">
        <v>34</v>
      </c>
      <c r="E333" t="s">
        <v>35</v>
      </c>
      <c r="F333" t="s">
        <v>36</v>
      </c>
      <c r="G333">
        <v>1141685</v>
      </c>
      <c r="H333" t="s">
        <v>3065</v>
      </c>
      <c r="I333" t="s">
        <v>42</v>
      </c>
      <c r="J333" t="s">
        <v>3065</v>
      </c>
      <c r="K333" t="s">
        <v>3066</v>
      </c>
      <c r="L333" s="1">
        <v>46170</v>
      </c>
      <c r="M333" s="1">
        <v>46170</v>
      </c>
      <c r="N333">
        <v>12845.667799999999</v>
      </c>
      <c r="O333" t="s">
        <v>59</v>
      </c>
      <c r="P333" t="s">
        <v>63</v>
      </c>
      <c r="Q333" t="s">
        <v>2635</v>
      </c>
      <c r="R333" t="s">
        <v>3067</v>
      </c>
      <c r="S333" t="s">
        <v>67</v>
      </c>
      <c r="T333" t="s">
        <v>3068</v>
      </c>
      <c r="U333" t="s">
        <v>3069</v>
      </c>
      <c r="V333">
        <v>8</v>
      </c>
      <c r="W333" s="2">
        <v>217358.84448352669</v>
      </c>
    </row>
    <row r="334" spans="1:23" x14ac:dyDescent="0.25">
      <c r="A334" t="s">
        <v>31</v>
      </c>
      <c r="B334" t="s">
        <v>32</v>
      </c>
      <c r="C334" t="s">
        <v>33</v>
      </c>
      <c r="D334" t="s">
        <v>34</v>
      </c>
      <c r="E334" t="s">
        <v>35</v>
      </c>
      <c r="F334" t="s">
        <v>36</v>
      </c>
      <c r="G334">
        <v>1141685</v>
      </c>
      <c r="H334" t="s">
        <v>3065</v>
      </c>
      <c r="I334" t="s">
        <v>42</v>
      </c>
      <c r="J334" t="s">
        <v>3065</v>
      </c>
      <c r="K334" t="s">
        <v>3066</v>
      </c>
      <c r="L334" s="1">
        <v>46171</v>
      </c>
      <c r="M334" s="1">
        <v>46171</v>
      </c>
      <c r="N334">
        <v>12845.667799999999</v>
      </c>
      <c r="O334" t="s">
        <v>59</v>
      </c>
      <c r="P334" t="s">
        <v>63</v>
      </c>
      <c r="Q334" t="s">
        <v>2635</v>
      </c>
      <c r="R334" t="s">
        <v>3067</v>
      </c>
      <c r="S334" t="s">
        <v>67</v>
      </c>
      <c r="T334" t="s">
        <v>3068</v>
      </c>
      <c r="U334" t="s">
        <v>3069</v>
      </c>
      <c r="V334">
        <v>8</v>
      </c>
      <c r="W334" s="2">
        <v>217358.84448352669</v>
      </c>
    </row>
    <row r="335" spans="1:23" x14ac:dyDescent="0.25">
      <c r="A335" t="s">
        <v>31</v>
      </c>
      <c r="B335" t="s">
        <v>32</v>
      </c>
      <c r="C335" t="s">
        <v>33</v>
      </c>
      <c r="D335" t="s">
        <v>34</v>
      </c>
      <c r="E335" t="s">
        <v>35</v>
      </c>
      <c r="F335" t="s">
        <v>36</v>
      </c>
      <c r="G335">
        <v>1141685</v>
      </c>
      <c r="H335" t="s">
        <v>3065</v>
      </c>
      <c r="I335" t="s">
        <v>42</v>
      </c>
      <c r="J335" t="s">
        <v>3065</v>
      </c>
      <c r="K335" t="s">
        <v>3066</v>
      </c>
      <c r="L335" s="1">
        <v>46172</v>
      </c>
      <c r="M335" s="1">
        <v>46172</v>
      </c>
      <c r="N335">
        <v>12845.667799999999</v>
      </c>
      <c r="O335" t="s">
        <v>59</v>
      </c>
      <c r="P335" t="s">
        <v>63</v>
      </c>
      <c r="Q335" t="s">
        <v>2635</v>
      </c>
      <c r="R335" t="s">
        <v>3067</v>
      </c>
      <c r="S335" t="s">
        <v>67</v>
      </c>
      <c r="T335" t="s">
        <v>3068</v>
      </c>
      <c r="U335" t="s">
        <v>3069</v>
      </c>
      <c r="V335">
        <v>8</v>
      </c>
      <c r="W335" s="2">
        <v>217358.84448352669</v>
      </c>
    </row>
    <row r="336" spans="1:23" x14ac:dyDescent="0.25">
      <c r="A336" t="s">
        <v>31</v>
      </c>
      <c r="B336" t="s">
        <v>32</v>
      </c>
      <c r="C336" t="s">
        <v>33</v>
      </c>
      <c r="D336" t="s">
        <v>34</v>
      </c>
      <c r="E336" t="s">
        <v>35</v>
      </c>
      <c r="F336" t="s">
        <v>36</v>
      </c>
      <c r="G336">
        <v>1141685</v>
      </c>
      <c r="H336" t="s">
        <v>3065</v>
      </c>
      <c r="I336" t="s">
        <v>42</v>
      </c>
      <c r="J336" t="s">
        <v>3065</v>
      </c>
      <c r="K336" t="s">
        <v>3066</v>
      </c>
      <c r="L336" s="1">
        <v>46173</v>
      </c>
      <c r="M336" s="1">
        <v>46173</v>
      </c>
      <c r="N336">
        <v>12845.667799999999</v>
      </c>
      <c r="O336" t="s">
        <v>59</v>
      </c>
      <c r="P336" t="s">
        <v>63</v>
      </c>
      <c r="Q336" t="s">
        <v>2635</v>
      </c>
      <c r="R336" t="s">
        <v>3067</v>
      </c>
      <c r="S336" t="s">
        <v>67</v>
      </c>
      <c r="T336" t="s">
        <v>3068</v>
      </c>
      <c r="U336" t="s">
        <v>3069</v>
      </c>
      <c r="V336">
        <v>8</v>
      </c>
      <c r="W336" s="2">
        <v>217358.84448352829</v>
      </c>
    </row>
    <row r="337" spans="1:23" x14ac:dyDescent="0.25">
      <c r="A337" t="s">
        <v>31</v>
      </c>
      <c r="B337" t="s">
        <v>32</v>
      </c>
      <c r="C337" t="s">
        <v>33</v>
      </c>
      <c r="D337" t="s">
        <v>34</v>
      </c>
      <c r="E337" t="s">
        <v>35</v>
      </c>
      <c r="F337" t="s">
        <v>36</v>
      </c>
      <c r="G337">
        <v>1141685</v>
      </c>
      <c r="H337" t="s">
        <v>75</v>
      </c>
      <c r="I337" t="s">
        <v>94</v>
      </c>
      <c r="J337" t="s">
        <v>98</v>
      </c>
      <c r="K337" t="s">
        <v>108</v>
      </c>
      <c r="L337" s="1">
        <v>46143</v>
      </c>
      <c r="M337" s="1">
        <v>46143</v>
      </c>
      <c r="N337">
        <v>930.89533400000005</v>
      </c>
      <c r="O337" t="s">
        <v>56</v>
      </c>
      <c r="P337" t="s">
        <v>63</v>
      </c>
      <c r="Q337" t="s">
        <v>2635</v>
      </c>
      <c r="R337" t="s">
        <v>3070</v>
      </c>
      <c r="S337" t="s">
        <v>67</v>
      </c>
      <c r="T337" t="s">
        <v>3071</v>
      </c>
      <c r="U337" t="s">
        <v>3072</v>
      </c>
      <c r="V337">
        <v>7</v>
      </c>
      <c r="W337" s="2">
        <v>11557.384275017759</v>
      </c>
    </row>
    <row r="338" spans="1:23" x14ac:dyDescent="0.25">
      <c r="A338" t="s">
        <v>31</v>
      </c>
      <c r="B338" t="s">
        <v>32</v>
      </c>
      <c r="C338" t="s">
        <v>33</v>
      </c>
      <c r="D338" t="s">
        <v>34</v>
      </c>
      <c r="E338" t="s">
        <v>35</v>
      </c>
      <c r="F338" t="s">
        <v>36</v>
      </c>
      <c r="G338">
        <v>1141685</v>
      </c>
      <c r="H338" t="s">
        <v>75</v>
      </c>
      <c r="I338" t="s">
        <v>94</v>
      </c>
      <c r="J338" t="s">
        <v>98</v>
      </c>
      <c r="K338" t="s">
        <v>108</v>
      </c>
      <c r="L338" s="1">
        <v>46144</v>
      </c>
      <c r="M338" s="1">
        <v>46144</v>
      </c>
      <c r="N338">
        <v>930.89533400000005</v>
      </c>
      <c r="O338" t="s">
        <v>56</v>
      </c>
      <c r="P338" t="s">
        <v>63</v>
      </c>
      <c r="Q338" t="s">
        <v>2635</v>
      </c>
      <c r="R338" t="s">
        <v>3070</v>
      </c>
      <c r="S338" t="s">
        <v>67</v>
      </c>
      <c r="T338" t="s">
        <v>3071</v>
      </c>
      <c r="U338" t="s">
        <v>3072</v>
      </c>
      <c r="V338">
        <v>7</v>
      </c>
      <c r="W338" s="2">
        <v>11557.384275017759</v>
      </c>
    </row>
    <row r="339" spans="1:23" x14ac:dyDescent="0.25">
      <c r="A339" t="s">
        <v>31</v>
      </c>
      <c r="B339" t="s">
        <v>32</v>
      </c>
      <c r="C339" t="s">
        <v>33</v>
      </c>
      <c r="D339" t="s">
        <v>34</v>
      </c>
      <c r="E339" t="s">
        <v>35</v>
      </c>
      <c r="F339" t="s">
        <v>36</v>
      </c>
      <c r="G339">
        <v>1141685</v>
      </c>
      <c r="H339" t="s">
        <v>75</v>
      </c>
      <c r="I339" t="s">
        <v>94</v>
      </c>
      <c r="J339" t="s">
        <v>98</v>
      </c>
      <c r="K339" t="s">
        <v>108</v>
      </c>
      <c r="L339" s="1">
        <v>46145</v>
      </c>
      <c r="M339" s="1">
        <v>46145</v>
      </c>
      <c r="N339">
        <v>930.89533400000005</v>
      </c>
      <c r="O339" t="s">
        <v>56</v>
      </c>
      <c r="P339" t="s">
        <v>63</v>
      </c>
      <c r="Q339" t="s">
        <v>2635</v>
      </c>
      <c r="R339" t="s">
        <v>3070</v>
      </c>
      <c r="S339" t="s">
        <v>67</v>
      </c>
      <c r="T339" t="s">
        <v>3071</v>
      </c>
      <c r="U339" t="s">
        <v>3072</v>
      </c>
      <c r="V339">
        <v>7</v>
      </c>
      <c r="W339" s="2">
        <v>11557.384275017759</v>
      </c>
    </row>
    <row r="340" spans="1:23" x14ac:dyDescent="0.25">
      <c r="A340" t="s">
        <v>31</v>
      </c>
      <c r="B340" t="s">
        <v>32</v>
      </c>
      <c r="C340" t="s">
        <v>33</v>
      </c>
      <c r="D340" t="s">
        <v>34</v>
      </c>
      <c r="E340" t="s">
        <v>35</v>
      </c>
      <c r="F340" t="s">
        <v>36</v>
      </c>
      <c r="G340">
        <v>1141685</v>
      </c>
      <c r="H340" t="s">
        <v>75</v>
      </c>
      <c r="I340" t="s">
        <v>94</v>
      </c>
      <c r="J340" t="s">
        <v>98</v>
      </c>
      <c r="K340" t="s">
        <v>108</v>
      </c>
      <c r="L340" s="1">
        <v>46146</v>
      </c>
      <c r="M340" s="1">
        <v>46146</v>
      </c>
      <c r="N340">
        <v>930.89533400000005</v>
      </c>
      <c r="O340" t="s">
        <v>56</v>
      </c>
      <c r="P340" t="s">
        <v>63</v>
      </c>
      <c r="Q340" t="s">
        <v>2635</v>
      </c>
      <c r="R340" t="s">
        <v>3070</v>
      </c>
      <c r="S340" t="s">
        <v>67</v>
      </c>
      <c r="T340" t="s">
        <v>3071</v>
      </c>
      <c r="U340" t="s">
        <v>3072</v>
      </c>
      <c r="V340">
        <v>7</v>
      </c>
      <c r="W340" s="2">
        <v>11557.384275017759</v>
      </c>
    </row>
    <row r="341" spans="1:23" x14ac:dyDescent="0.25">
      <c r="A341" t="s">
        <v>31</v>
      </c>
      <c r="B341" t="s">
        <v>32</v>
      </c>
      <c r="C341" t="s">
        <v>33</v>
      </c>
      <c r="D341" t="s">
        <v>34</v>
      </c>
      <c r="E341" t="s">
        <v>35</v>
      </c>
      <c r="F341" t="s">
        <v>36</v>
      </c>
      <c r="G341">
        <v>1141685</v>
      </c>
      <c r="H341" t="s">
        <v>75</v>
      </c>
      <c r="I341" t="s">
        <v>94</v>
      </c>
      <c r="J341" t="s">
        <v>98</v>
      </c>
      <c r="K341" t="s">
        <v>108</v>
      </c>
      <c r="L341" s="1">
        <v>46147</v>
      </c>
      <c r="M341" s="1">
        <v>46147</v>
      </c>
      <c r="N341">
        <v>930.89533400000005</v>
      </c>
      <c r="O341" t="s">
        <v>56</v>
      </c>
      <c r="P341" t="s">
        <v>63</v>
      </c>
      <c r="Q341" t="s">
        <v>2635</v>
      </c>
      <c r="R341" t="s">
        <v>3070</v>
      </c>
      <c r="S341" t="s">
        <v>67</v>
      </c>
      <c r="T341" t="s">
        <v>3071</v>
      </c>
      <c r="U341" t="s">
        <v>3072</v>
      </c>
      <c r="V341">
        <v>7</v>
      </c>
      <c r="W341" s="2">
        <v>11557.384275017759</v>
      </c>
    </row>
    <row r="342" spans="1:23" x14ac:dyDescent="0.25">
      <c r="A342" t="s">
        <v>31</v>
      </c>
      <c r="B342" t="s">
        <v>32</v>
      </c>
      <c r="C342" t="s">
        <v>33</v>
      </c>
      <c r="D342" t="s">
        <v>34</v>
      </c>
      <c r="E342" t="s">
        <v>35</v>
      </c>
      <c r="F342" t="s">
        <v>36</v>
      </c>
      <c r="G342">
        <v>1141685</v>
      </c>
      <c r="H342" t="s">
        <v>75</v>
      </c>
      <c r="I342" t="s">
        <v>94</v>
      </c>
      <c r="J342" t="s">
        <v>98</v>
      </c>
      <c r="K342" t="s">
        <v>108</v>
      </c>
      <c r="L342" s="1">
        <v>46148</v>
      </c>
      <c r="M342" s="1">
        <v>46148</v>
      </c>
      <c r="N342">
        <v>930.89533400000005</v>
      </c>
      <c r="O342" t="s">
        <v>56</v>
      </c>
      <c r="P342" t="s">
        <v>63</v>
      </c>
      <c r="Q342" t="s">
        <v>2635</v>
      </c>
      <c r="R342" t="s">
        <v>3070</v>
      </c>
      <c r="S342" t="s">
        <v>67</v>
      </c>
      <c r="T342" t="s">
        <v>3071</v>
      </c>
      <c r="U342" t="s">
        <v>3072</v>
      </c>
      <c r="V342">
        <v>7</v>
      </c>
      <c r="W342" s="2">
        <v>11557.384275017759</v>
      </c>
    </row>
    <row r="343" spans="1:23" x14ac:dyDescent="0.25">
      <c r="A343" t="s">
        <v>31</v>
      </c>
      <c r="B343" t="s">
        <v>32</v>
      </c>
      <c r="C343" t="s">
        <v>33</v>
      </c>
      <c r="D343" t="s">
        <v>34</v>
      </c>
      <c r="E343" t="s">
        <v>35</v>
      </c>
      <c r="F343" t="s">
        <v>36</v>
      </c>
      <c r="G343">
        <v>1141685</v>
      </c>
      <c r="H343" t="s">
        <v>75</v>
      </c>
      <c r="I343" t="s">
        <v>94</v>
      </c>
      <c r="J343" t="s">
        <v>98</v>
      </c>
      <c r="K343" t="s">
        <v>108</v>
      </c>
      <c r="L343" s="1">
        <v>46149</v>
      </c>
      <c r="M343" s="1">
        <v>46149</v>
      </c>
      <c r="N343">
        <v>930.89533400000005</v>
      </c>
      <c r="O343" t="s">
        <v>56</v>
      </c>
      <c r="P343" t="s">
        <v>63</v>
      </c>
      <c r="Q343" t="s">
        <v>2635</v>
      </c>
      <c r="R343" t="s">
        <v>3070</v>
      </c>
      <c r="S343" t="s">
        <v>67</v>
      </c>
      <c r="T343" t="s">
        <v>3071</v>
      </c>
      <c r="U343" t="s">
        <v>3072</v>
      </c>
      <c r="V343">
        <v>7</v>
      </c>
      <c r="W343" s="2">
        <v>11557.384275017759</v>
      </c>
    </row>
    <row r="344" spans="1:23" x14ac:dyDescent="0.25">
      <c r="A344" t="s">
        <v>31</v>
      </c>
      <c r="B344" t="s">
        <v>32</v>
      </c>
      <c r="C344" t="s">
        <v>33</v>
      </c>
      <c r="D344" t="s">
        <v>34</v>
      </c>
      <c r="E344" t="s">
        <v>35</v>
      </c>
      <c r="F344" t="s">
        <v>36</v>
      </c>
      <c r="G344">
        <v>1141685</v>
      </c>
      <c r="H344" t="s">
        <v>75</v>
      </c>
      <c r="I344" t="s">
        <v>94</v>
      </c>
      <c r="J344" t="s">
        <v>98</v>
      </c>
      <c r="K344" t="s">
        <v>108</v>
      </c>
      <c r="L344" s="1">
        <v>46150</v>
      </c>
      <c r="M344" s="1">
        <v>46150</v>
      </c>
      <c r="N344">
        <v>930.89533400000005</v>
      </c>
      <c r="O344" t="s">
        <v>56</v>
      </c>
      <c r="P344" t="s">
        <v>63</v>
      </c>
      <c r="Q344" t="s">
        <v>2635</v>
      </c>
      <c r="R344" t="s">
        <v>3070</v>
      </c>
      <c r="S344" t="s">
        <v>67</v>
      </c>
      <c r="T344" t="s">
        <v>3071</v>
      </c>
      <c r="U344" t="s">
        <v>3072</v>
      </c>
      <c r="V344">
        <v>7</v>
      </c>
      <c r="W344" s="2">
        <v>11557.384275017759</v>
      </c>
    </row>
    <row r="345" spans="1:23" x14ac:dyDescent="0.25">
      <c r="A345" t="s">
        <v>31</v>
      </c>
      <c r="B345" t="s">
        <v>32</v>
      </c>
      <c r="C345" t="s">
        <v>33</v>
      </c>
      <c r="D345" t="s">
        <v>34</v>
      </c>
      <c r="E345" t="s">
        <v>35</v>
      </c>
      <c r="F345" t="s">
        <v>36</v>
      </c>
      <c r="G345">
        <v>1141685</v>
      </c>
      <c r="H345" t="s">
        <v>75</v>
      </c>
      <c r="I345" t="s">
        <v>94</v>
      </c>
      <c r="J345" t="s">
        <v>98</v>
      </c>
      <c r="K345" t="s">
        <v>108</v>
      </c>
      <c r="L345" s="1">
        <v>46151</v>
      </c>
      <c r="M345" s="1">
        <v>46151</v>
      </c>
      <c r="N345">
        <v>930.89533400000005</v>
      </c>
      <c r="O345" t="s">
        <v>56</v>
      </c>
      <c r="P345" t="s">
        <v>63</v>
      </c>
      <c r="Q345" t="s">
        <v>2635</v>
      </c>
      <c r="R345" t="s">
        <v>3070</v>
      </c>
      <c r="S345" t="s">
        <v>67</v>
      </c>
      <c r="T345" t="s">
        <v>3071</v>
      </c>
      <c r="U345" t="s">
        <v>3072</v>
      </c>
      <c r="V345">
        <v>7</v>
      </c>
      <c r="W345" s="2">
        <v>11557.384275017759</v>
      </c>
    </row>
    <row r="346" spans="1:23" x14ac:dyDescent="0.25">
      <c r="A346" t="s">
        <v>31</v>
      </c>
      <c r="B346" t="s">
        <v>32</v>
      </c>
      <c r="C346" t="s">
        <v>33</v>
      </c>
      <c r="D346" t="s">
        <v>34</v>
      </c>
      <c r="E346" t="s">
        <v>35</v>
      </c>
      <c r="F346" t="s">
        <v>36</v>
      </c>
      <c r="G346">
        <v>1141685</v>
      </c>
      <c r="H346" t="s">
        <v>75</v>
      </c>
      <c r="I346" t="s">
        <v>94</v>
      </c>
      <c r="J346" t="s">
        <v>98</v>
      </c>
      <c r="K346" t="s">
        <v>108</v>
      </c>
      <c r="L346" s="1">
        <v>46152</v>
      </c>
      <c r="M346" s="1">
        <v>46152</v>
      </c>
      <c r="N346">
        <v>930.89533400000005</v>
      </c>
      <c r="O346" t="s">
        <v>56</v>
      </c>
      <c r="P346" t="s">
        <v>63</v>
      </c>
      <c r="Q346" t="s">
        <v>2635</v>
      </c>
      <c r="R346" t="s">
        <v>3070</v>
      </c>
      <c r="S346" t="s">
        <v>67</v>
      </c>
      <c r="T346" t="s">
        <v>3071</v>
      </c>
      <c r="U346" t="s">
        <v>3072</v>
      </c>
      <c r="V346">
        <v>7</v>
      </c>
      <c r="W346" s="2">
        <v>11557.384275017759</v>
      </c>
    </row>
    <row r="347" spans="1:23" x14ac:dyDescent="0.25">
      <c r="A347" t="s">
        <v>31</v>
      </c>
      <c r="B347" t="s">
        <v>32</v>
      </c>
      <c r="C347" t="s">
        <v>33</v>
      </c>
      <c r="D347" t="s">
        <v>34</v>
      </c>
      <c r="E347" t="s">
        <v>35</v>
      </c>
      <c r="F347" t="s">
        <v>36</v>
      </c>
      <c r="G347">
        <v>1141685</v>
      </c>
      <c r="H347" t="s">
        <v>75</v>
      </c>
      <c r="I347" t="s">
        <v>94</v>
      </c>
      <c r="J347" t="s">
        <v>98</v>
      </c>
      <c r="K347" t="s">
        <v>108</v>
      </c>
      <c r="L347" s="1">
        <v>46153</v>
      </c>
      <c r="M347" s="1">
        <v>46153</v>
      </c>
      <c r="N347">
        <v>930.89533400000005</v>
      </c>
      <c r="O347" t="s">
        <v>56</v>
      </c>
      <c r="P347" t="s">
        <v>63</v>
      </c>
      <c r="Q347" t="s">
        <v>2635</v>
      </c>
      <c r="R347" t="s">
        <v>3070</v>
      </c>
      <c r="S347" t="s">
        <v>67</v>
      </c>
      <c r="T347" t="s">
        <v>3071</v>
      </c>
      <c r="U347" t="s">
        <v>3072</v>
      </c>
      <c r="V347">
        <v>7</v>
      </c>
      <c r="W347" s="2">
        <v>11557.384275017759</v>
      </c>
    </row>
    <row r="348" spans="1:23" x14ac:dyDescent="0.25">
      <c r="A348" t="s">
        <v>31</v>
      </c>
      <c r="B348" t="s">
        <v>32</v>
      </c>
      <c r="C348" t="s">
        <v>33</v>
      </c>
      <c r="D348" t="s">
        <v>34</v>
      </c>
      <c r="E348" t="s">
        <v>35</v>
      </c>
      <c r="F348" t="s">
        <v>36</v>
      </c>
      <c r="G348">
        <v>1141685</v>
      </c>
      <c r="H348" t="s">
        <v>75</v>
      </c>
      <c r="I348" t="s">
        <v>94</v>
      </c>
      <c r="J348" t="s">
        <v>98</v>
      </c>
      <c r="K348" t="s">
        <v>108</v>
      </c>
      <c r="L348" s="1">
        <v>46154</v>
      </c>
      <c r="M348" s="1">
        <v>46154</v>
      </c>
      <c r="N348">
        <v>930.89533400000005</v>
      </c>
      <c r="O348" t="s">
        <v>56</v>
      </c>
      <c r="P348" t="s">
        <v>63</v>
      </c>
      <c r="Q348" t="s">
        <v>2635</v>
      </c>
      <c r="R348" t="s">
        <v>3070</v>
      </c>
      <c r="S348" t="s">
        <v>67</v>
      </c>
      <c r="T348" t="s">
        <v>3071</v>
      </c>
      <c r="U348" t="s">
        <v>3072</v>
      </c>
      <c r="V348">
        <v>7</v>
      </c>
      <c r="W348" s="2">
        <v>11557.384275017759</v>
      </c>
    </row>
    <row r="349" spans="1:23" x14ac:dyDescent="0.25">
      <c r="A349" t="s">
        <v>31</v>
      </c>
      <c r="B349" t="s">
        <v>32</v>
      </c>
      <c r="C349" t="s">
        <v>33</v>
      </c>
      <c r="D349" t="s">
        <v>34</v>
      </c>
      <c r="E349" t="s">
        <v>35</v>
      </c>
      <c r="F349" t="s">
        <v>36</v>
      </c>
      <c r="G349">
        <v>1141685</v>
      </c>
      <c r="H349" t="s">
        <v>75</v>
      </c>
      <c r="I349" t="s">
        <v>94</v>
      </c>
      <c r="J349" t="s">
        <v>98</v>
      </c>
      <c r="K349" t="s">
        <v>108</v>
      </c>
      <c r="L349" s="1">
        <v>46155</v>
      </c>
      <c r="M349" s="1">
        <v>46155</v>
      </c>
      <c r="N349">
        <v>930.89533400000005</v>
      </c>
      <c r="O349" t="s">
        <v>56</v>
      </c>
      <c r="P349" t="s">
        <v>63</v>
      </c>
      <c r="Q349" t="s">
        <v>2635</v>
      </c>
      <c r="R349" t="s">
        <v>3070</v>
      </c>
      <c r="S349" t="s">
        <v>67</v>
      </c>
      <c r="T349" t="s">
        <v>3071</v>
      </c>
      <c r="U349" t="s">
        <v>3072</v>
      </c>
      <c r="V349">
        <v>7</v>
      </c>
      <c r="W349" s="2">
        <v>11557.384275017759</v>
      </c>
    </row>
    <row r="350" spans="1:23" x14ac:dyDescent="0.25">
      <c r="A350" t="s">
        <v>31</v>
      </c>
      <c r="B350" t="s">
        <v>32</v>
      </c>
      <c r="C350" t="s">
        <v>33</v>
      </c>
      <c r="D350" t="s">
        <v>34</v>
      </c>
      <c r="E350" t="s">
        <v>35</v>
      </c>
      <c r="F350" t="s">
        <v>36</v>
      </c>
      <c r="G350">
        <v>1141685</v>
      </c>
      <c r="H350" t="s">
        <v>75</v>
      </c>
      <c r="I350" t="s">
        <v>94</v>
      </c>
      <c r="J350" t="s">
        <v>98</v>
      </c>
      <c r="K350" t="s">
        <v>108</v>
      </c>
      <c r="L350" s="1">
        <v>46156</v>
      </c>
      <c r="M350" s="1">
        <v>46156</v>
      </c>
      <c r="N350">
        <v>930.89533400000005</v>
      </c>
      <c r="O350" t="s">
        <v>56</v>
      </c>
      <c r="P350" t="s">
        <v>63</v>
      </c>
      <c r="Q350" t="s">
        <v>2635</v>
      </c>
      <c r="R350" t="s">
        <v>3070</v>
      </c>
      <c r="S350" t="s">
        <v>67</v>
      </c>
      <c r="T350" t="s">
        <v>3071</v>
      </c>
      <c r="U350" t="s">
        <v>3072</v>
      </c>
      <c r="V350">
        <v>7</v>
      </c>
      <c r="W350" s="2">
        <v>11557.384275017759</v>
      </c>
    </row>
    <row r="351" spans="1:23" x14ac:dyDescent="0.25">
      <c r="A351" t="s">
        <v>31</v>
      </c>
      <c r="B351" t="s">
        <v>32</v>
      </c>
      <c r="C351" t="s">
        <v>33</v>
      </c>
      <c r="D351" t="s">
        <v>34</v>
      </c>
      <c r="E351" t="s">
        <v>35</v>
      </c>
      <c r="F351" t="s">
        <v>36</v>
      </c>
      <c r="G351">
        <v>1141685</v>
      </c>
      <c r="H351" t="s">
        <v>75</v>
      </c>
      <c r="I351" t="s">
        <v>94</v>
      </c>
      <c r="J351" t="s">
        <v>98</v>
      </c>
      <c r="K351" t="s">
        <v>108</v>
      </c>
      <c r="L351" s="1">
        <v>46157</v>
      </c>
      <c r="M351" s="1">
        <v>46157</v>
      </c>
      <c r="N351">
        <v>930.89533400000005</v>
      </c>
      <c r="O351" t="s">
        <v>56</v>
      </c>
      <c r="P351" t="s">
        <v>63</v>
      </c>
      <c r="Q351" t="s">
        <v>2635</v>
      </c>
      <c r="R351" t="s">
        <v>3070</v>
      </c>
      <c r="S351" t="s">
        <v>67</v>
      </c>
      <c r="T351" t="s">
        <v>3071</v>
      </c>
      <c r="U351" t="s">
        <v>3072</v>
      </c>
      <c r="V351">
        <v>7</v>
      </c>
      <c r="W351" s="2">
        <v>11557.384275017759</v>
      </c>
    </row>
    <row r="352" spans="1:23" x14ac:dyDescent="0.25">
      <c r="A352" t="s">
        <v>31</v>
      </c>
      <c r="B352" t="s">
        <v>32</v>
      </c>
      <c r="C352" t="s">
        <v>33</v>
      </c>
      <c r="D352" t="s">
        <v>34</v>
      </c>
      <c r="E352" t="s">
        <v>35</v>
      </c>
      <c r="F352" t="s">
        <v>36</v>
      </c>
      <c r="G352">
        <v>1141685</v>
      </c>
      <c r="H352" t="s">
        <v>75</v>
      </c>
      <c r="I352" t="s">
        <v>94</v>
      </c>
      <c r="J352" t="s">
        <v>98</v>
      </c>
      <c r="K352" t="s">
        <v>108</v>
      </c>
      <c r="L352" s="1">
        <v>46158</v>
      </c>
      <c r="M352" s="1">
        <v>46158</v>
      </c>
      <c r="N352">
        <v>930.89533400000005</v>
      </c>
      <c r="O352" t="s">
        <v>56</v>
      </c>
      <c r="P352" t="s">
        <v>63</v>
      </c>
      <c r="Q352" t="s">
        <v>2635</v>
      </c>
      <c r="R352" t="s">
        <v>3070</v>
      </c>
      <c r="S352" t="s">
        <v>67</v>
      </c>
      <c r="T352" t="s">
        <v>3071</v>
      </c>
      <c r="U352" t="s">
        <v>3072</v>
      </c>
      <c r="V352">
        <v>7</v>
      </c>
      <c r="W352" s="2">
        <v>11557.384275017759</v>
      </c>
    </row>
    <row r="353" spans="1:23" x14ac:dyDescent="0.25">
      <c r="A353" t="s">
        <v>31</v>
      </c>
      <c r="B353" t="s">
        <v>32</v>
      </c>
      <c r="C353" t="s">
        <v>33</v>
      </c>
      <c r="D353" t="s">
        <v>34</v>
      </c>
      <c r="E353" t="s">
        <v>35</v>
      </c>
      <c r="F353" t="s">
        <v>36</v>
      </c>
      <c r="G353">
        <v>1141685</v>
      </c>
      <c r="H353" t="s">
        <v>75</v>
      </c>
      <c r="I353" t="s">
        <v>94</v>
      </c>
      <c r="J353" t="s">
        <v>98</v>
      </c>
      <c r="K353" t="s">
        <v>108</v>
      </c>
      <c r="L353" s="1">
        <v>46159</v>
      </c>
      <c r="M353" s="1">
        <v>46159</v>
      </c>
      <c r="N353">
        <v>930.89533400000005</v>
      </c>
      <c r="O353" t="s">
        <v>56</v>
      </c>
      <c r="P353" t="s">
        <v>63</v>
      </c>
      <c r="Q353" t="s">
        <v>2635</v>
      </c>
      <c r="R353" t="s">
        <v>3070</v>
      </c>
      <c r="S353" t="s">
        <v>67</v>
      </c>
      <c r="T353" t="s">
        <v>3071</v>
      </c>
      <c r="U353" t="s">
        <v>3072</v>
      </c>
      <c r="V353">
        <v>7</v>
      </c>
      <c r="W353" s="2">
        <v>11557.384275017759</v>
      </c>
    </row>
    <row r="354" spans="1:23" x14ac:dyDescent="0.25">
      <c r="A354" t="s">
        <v>31</v>
      </c>
      <c r="B354" t="s">
        <v>32</v>
      </c>
      <c r="C354" t="s">
        <v>33</v>
      </c>
      <c r="D354" t="s">
        <v>34</v>
      </c>
      <c r="E354" t="s">
        <v>35</v>
      </c>
      <c r="F354" t="s">
        <v>36</v>
      </c>
      <c r="G354">
        <v>1141685</v>
      </c>
      <c r="H354" t="s">
        <v>75</v>
      </c>
      <c r="I354" t="s">
        <v>94</v>
      </c>
      <c r="J354" t="s">
        <v>98</v>
      </c>
      <c r="K354" t="s">
        <v>108</v>
      </c>
      <c r="L354" s="1">
        <v>46160</v>
      </c>
      <c r="M354" s="1">
        <v>46160</v>
      </c>
      <c r="N354">
        <v>930.89533400000005</v>
      </c>
      <c r="O354" t="s">
        <v>56</v>
      </c>
      <c r="P354" t="s">
        <v>63</v>
      </c>
      <c r="Q354" t="s">
        <v>2635</v>
      </c>
      <c r="R354" t="s">
        <v>3070</v>
      </c>
      <c r="S354" t="s">
        <v>67</v>
      </c>
      <c r="T354" t="s">
        <v>3071</v>
      </c>
      <c r="U354" t="s">
        <v>3072</v>
      </c>
      <c r="V354">
        <v>7</v>
      </c>
      <c r="W354" s="2">
        <v>11557.384275017759</v>
      </c>
    </row>
    <row r="355" spans="1:23" x14ac:dyDescent="0.25">
      <c r="A355" t="s">
        <v>31</v>
      </c>
      <c r="B355" t="s">
        <v>32</v>
      </c>
      <c r="C355" t="s">
        <v>33</v>
      </c>
      <c r="D355" t="s">
        <v>34</v>
      </c>
      <c r="E355" t="s">
        <v>35</v>
      </c>
      <c r="F355" t="s">
        <v>36</v>
      </c>
      <c r="G355">
        <v>1141685</v>
      </c>
      <c r="H355" t="s">
        <v>75</v>
      </c>
      <c r="I355" t="s">
        <v>94</v>
      </c>
      <c r="J355" t="s">
        <v>98</v>
      </c>
      <c r="K355" t="s">
        <v>108</v>
      </c>
      <c r="L355" s="1">
        <v>46161</v>
      </c>
      <c r="M355" s="1">
        <v>46161</v>
      </c>
      <c r="N355">
        <v>930.89533400000005</v>
      </c>
      <c r="O355" t="s">
        <v>56</v>
      </c>
      <c r="P355" t="s">
        <v>63</v>
      </c>
      <c r="Q355" t="s">
        <v>2635</v>
      </c>
      <c r="R355" t="s">
        <v>3070</v>
      </c>
      <c r="S355" t="s">
        <v>67</v>
      </c>
      <c r="T355" t="s">
        <v>3071</v>
      </c>
      <c r="U355" t="s">
        <v>3072</v>
      </c>
      <c r="V355">
        <v>7</v>
      </c>
      <c r="W355" s="2">
        <v>11557.384275017759</v>
      </c>
    </row>
    <row r="356" spans="1:23" x14ac:dyDescent="0.25">
      <c r="A356" t="s">
        <v>31</v>
      </c>
      <c r="B356" t="s">
        <v>32</v>
      </c>
      <c r="C356" t="s">
        <v>33</v>
      </c>
      <c r="D356" t="s">
        <v>34</v>
      </c>
      <c r="E356" t="s">
        <v>35</v>
      </c>
      <c r="F356" t="s">
        <v>36</v>
      </c>
      <c r="G356">
        <v>1141685</v>
      </c>
      <c r="H356" t="s">
        <v>75</v>
      </c>
      <c r="I356" t="s">
        <v>94</v>
      </c>
      <c r="J356" t="s">
        <v>98</v>
      </c>
      <c r="K356" t="s">
        <v>108</v>
      </c>
      <c r="L356" s="1">
        <v>46162</v>
      </c>
      <c r="M356" s="1">
        <v>46162</v>
      </c>
      <c r="N356">
        <v>930.89533400000005</v>
      </c>
      <c r="O356" t="s">
        <v>56</v>
      </c>
      <c r="P356" t="s">
        <v>63</v>
      </c>
      <c r="Q356" t="s">
        <v>2635</v>
      </c>
      <c r="R356" t="s">
        <v>3070</v>
      </c>
      <c r="S356" t="s">
        <v>67</v>
      </c>
      <c r="T356" t="s">
        <v>3071</v>
      </c>
      <c r="U356" t="s">
        <v>3072</v>
      </c>
      <c r="V356">
        <v>7</v>
      </c>
      <c r="W356" s="2">
        <v>11557.384275017759</v>
      </c>
    </row>
    <row r="357" spans="1:23" x14ac:dyDescent="0.25">
      <c r="A357" t="s">
        <v>31</v>
      </c>
      <c r="B357" t="s">
        <v>32</v>
      </c>
      <c r="C357" t="s">
        <v>33</v>
      </c>
      <c r="D357" t="s">
        <v>34</v>
      </c>
      <c r="E357" t="s">
        <v>35</v>
      </c>
      <c r="F357" t="s">
        <v>36</v>
      </c>
      <c r="G357">
        <v>1141685</v>
      </c>
      <c r="H357" t="s">
        <v>75</v>
      </c>
      <c r="I357" t="s">
        <v>94</v>
      </c>
      <c r="J357" t="s">
        <v>98</v>
      </c>
      <c r="K357" t="s">
        <v>108</v>
      </c>
      <c r="L357" s="1">
        <v>46163</v>
      </c>
      <c r="M357" s="1">
        <v>46163</v>
      </c>
      <c r="N357">
        <v>930.89533400000005</v>
      </c>
      <c r="O357" t="s">
        <v>56</v>
      </c>
      <c r="P357" t="s">
        <v>63</v>
      </c>
      <c r="Q357" t="s">
        <v>2635</v>
      </c>
      <c r="R357" t="s">
        <v>3070</v>
      </c>
      <c r="S357" t="s">
        <v>67</v>
      </c>
      <c r="T357" t="s">
        <v>3071</v>
      </c>
      <c r="U357" t="s">
        <v>3072</v>
      </c>
      <c r="V357">
        <v>7</v>
      </c>
      <c r="W357" s="2">
        <v>11557.384275017759</v>
      </c>
    </row>
    <row r="358" spans="1:23" x14ac:dyDescent="0.25">
      <c r="A358" t="s">
        <v>31</v>
      </c>
      <c r="B358" t="s">
        <v>32</v>
      </c>
      <c r="C358" t="s">
        <v>33</v>
      </c>
      <c r="D358" t="s">
        <v>34</v>
      </c>
      <c r="E358" t="s">
        <v>35</v>
      </c>
      <c r="F358" t="s">
        <v>36</v>
      </c>
      <c r="G358">
        <v>1141685</v>
      </c>
      <c r="H358" t="s">
        <v>75</v>
      </c>
      <c r="I358" t="s">
        <v>94</v>
      </c>
      <c r="J358" t="s">
        <v>98</v>
      </c>
      <c r="K358" t="s">
        <v>108</v>
      </c>
      <c r="L358" s="1">
        <v>46164</v>
      </c>
      <c r="M358" s="1">
        <v>46164</v>
      </c>
      <c r="N358">
        <v>930.89533400000005</v>
      </c>
      <c r="O358" t="s">
        <v>56</v>
      </c>
      <c r="P358" t="s">
        <v>63</v>
      </c>
      <c r="Q358" t="s">
        <v>2635</v>
      </c>
      <c r="R358" t="s">
        <v>3070</v>
      </c>
      <c r="S358" t="s">
        <v>67</v>
      </c>
      <c r="T358" t="s">
        <v>3071</v>
      </c>
      <c r="U358" t="s">
        <v>3072</v>
      </c>
      <c r="V358">
        <v>7</v>
      </c>
      <c r="W358" s="2">
        <v>11557.384275017759</v>
      </c>
    </row>
    <row r="359" spans="1:23" x14ac:dyDescent="0.25">
      <c r="A359" t="s">
        <v>31</v>
      </c>
      <c r="B359" t="s">
        <v>32</v>
      </c>
      <c r="C359" t="s">
        <v>33</v>
      </c>
      <c r="D359" t="s">
        <v>34</v>
      </c>
      <c r="E359" t="s">
        <v>35</v>
      </c>
      <c r="F359" t="s">
        <v>36</v>
      </c>
      <c r="G359">
        <v>1141685</v>
      </c>
      <c r="H359" t="s">
        <v>75</v>
      </c>
      <c r="I359" t="s">
        <v>94</v>
      </c>
      <c r="J359" t="s">
        <v>98</v>
      </c>
      <c r="K359" t="s">
        <v>108</v>
      </c>
      <c r="L359" s="1">
        <v>46165</v>
      </c>
      <c r="M359" s="1">
        <v>46165</v>
      </c>
      <c r="N359">
        <v>930.89533400000005</v>
      </c>
      <c r="O359" t="s">
        <v>56</v>
      </c>
      <c r="P359" t="s">
        <v>63</v>
      </c>
      <c r="Q359" t="s">
        <v>2635</v>
      </c>
      <c r="R359" t="s">
        <v>3070</v>
      </c>
      <c r="S359" t="s">
        <v>67</v>
      </c>
      <c r="T359" t="s">
        <v>3071</v>
      </c>
      <c r="U359" t="s">
        <v>3072</v>
      </c>
      <c r="V359">
        <v>7</v>
      </c>
      <c r="W359" s="2">
        <v>11557.384275017759</v>
      </c>
    </row>
    <row r="360" spans="1:23" x14ac:dyDescent="0.25">
      <c r="A360" t="s">
        <v>31</v>
      </c>
      <c r="B360" t="s">
        <v>32</v>
      </c>
      <c r="C360" t="s">
        <v>33</v>
      </c>
      <c r="D360" t="s">
        <v>34</v>
      </c>
      <c r="E360" t="s">
        <v>35</v>
      </c>
      <c r="F360" t="s">
        <v>36</v>
      </c>
      <c r="G360">
        <v>1141685</v>
      </c>
      <c r="H360" t="s">
        <v>75</v>
      </c>
      <c r="I360" t="s">
        <v>94</v>
      </c>
      <c r="J360" t="s">
        <v>98</v>
      </c>
      <c r="K360" t="s">
        <v>108</v>
      </c>
      <c r="L360" s="1">
        <v>46166</v>
      </c>
      <c r="M360" s="1">
        <v>46166</v>
      </c>
      <c r="N360">
        <v>930.89533400000005</v>
      </c>
      <c r="O360" t="s">
        <v>56</v>
      </c>
      <c r="P360" t="s">
        <v>63</v>
      </c>
      <c r="Q360" t="s">
        <v>2635</v>
      </c>
      <c r="R360" t="s">
        <v>3070</v>
      </c>
      <c r="S360" t="s">
        <v>67</v>
      </c>
      <c r="T360" t="s">
        <v>3071</v>
      </c>
      <c r="U360" t="s">
        <v>3072</v>
      </c>
      <c r="V360">
        <v>7</v>
      </c>
      <c r="W360" s="2">
        <v>11557.384275017759</v>
      </c>
    </row>
    <row r="361" spans="1:23" x14ac:dyDescent="0.25">
      <c r="A361" t="s">
        <v>31</v>
      </c>
      <c r="B361" t="s">
        <v>32</v>
      </c>
      <c r="C361" t="s">
        <v>33</v>
      </c>
      <c r="D361" t="s">
        <v>34</v>
      </c>
      <c r="E361" t="s">
        <v>35</v>
      </c>
      <c r="F361" t="s">
        <v>36</v>
      </c>
      <c r="G361">
        <v>1141685</v>
      </c>
      <c r="H361" t="s">
        <v>75</v>
      </c>
      <c r="I361" t="s">
        <v>94</v>
      </c>
      <c r="J361" t="s">
        <v>98</v>
      </c>
      <c r="K361" t="s">
        <v>108</v>
      </c>
      <c r="L361" s="1">
        <v>46167</v>
      </c>
      <c r="M361" s="1">
        <v>46167</v>
      </c>
      <c r="N361">
        <v>930.89533400000005</v>
      </c>
      <c r="O361" t="s">
        <v>56</v>
      </c>
      <c r="P361" t="s">
        <v>63</v>
      </c>
      <c r="Q361" t="s">
        <v>2635</v>
      </c>
      <c r="R361" t="s">
        <v>3070</v>
      </c>
      <c r="S361" t="s">
        <v>67</v>
      </c>
      <c r="T361" t="s">
        <v>3071</v>
      </c>
      <c r="U361" t="s">
        <v>3072</v>
      </c>
      <c r="V361">
        <v>7</v>
      </c>
      <c r="W361" s="2">
        <v>11557.384275017759</v>
      </c>
    </row>
    <row r="362" spans="1:23" x14ac:dyDescent="0.25">
      <c r="A362" t="s">
        <v>31</v>
      </c>
      <c r="B362" t="s">
        <v>32</v>
      </c>
      <c r="C362" t="s">
        <v>33</v>
      </c>
      <c r="D362" t="s">
        <v>34</v>
      </c>
      <c r="E362" t="s">
        <v>35</v>
      </c>
      <c r="F362" t="s">
        <v>36</v>
      </c>
      <c r="G362">
        <v>1141685</v>
      </c>
      <c r="H362" t="s">
        <v>75</v>
      </c>
      <c r="I362" t="s">
        <v>94</v>
      </c>
      <c r="J362" t="s">
        <v>98</v>
      </c>
      <c r="K362" t="s">
        <v>108</v>
      </c>
      <c r="L362" s="1">
        <v>46168</v>
      </c>
      <c r="M362" s="1">
        <v>46168</v>
      </c>
      <c r="N362">
        <v>930.89533400000005</v>
      </c>
      <c r="O362" t="s">
        <v>56</v>
      </c>
      <c r="P362" t="s">
        <v>63</v>
      </c>
      <c r="Q362" t="s">
        <v>2635</v>
      </c>
      <c r="R362" t="s">
        <v>3070</v>
      </c>
      <c r="S362" t="s">
        <v>67</v>
      </c>
      <c r="T362" t="s">
        <v>3071</v>
      </c>
      <c r="U362" t="s">
        <v>3072</v>
      </c>
      <c r="V362">
        <v>7</v>
      </c>
      <c r="W362" s="2">
        <v>11557.384275017759</v>
      </c>
    </row>
    <row r="363" spans="1:23" x14ac:dyDescent="0.25">
      <c r="A363" t="s">
        <v>31</v>
      </c>
      <c r="B363" t="s">
        <v>32</v>
      </c>
      <c r="C363" t="s">
        <v>33</v>
      </c>
      <c r="D363" t="s">
        <v>34</v>
      </c>
      <c r="E363" t="s">
        <v>35</v>
      </c>
      <c r="F363" t="s">
        <v>36</v>
      </c>
      <c r="G363">
        <v>1141685</v>
      </c>
      <c r="H363" t="s">
        <v>75</v>
      </c>
      <c r="I363" t="s">
        <v>94</v>
      </c>
      <c r="J363" t="s">
        <v>98</v>
      </c>
      <c r="K363" t="s">
        <v>108</v>
      </c>
      <c r="L363" s="1">
        <v>46169</v>
      </c>
      <c r="M363" s="1">
        <v>46169</v>
      </c>
      <c r="N363">
        <v>930.89533400000005</v>
      </c>
      <c r="O363" t="s">
        <v>56</v>
      </c>
      <c r="P363" t="s">
        <v>63</v>
      </c>
      <c r="Q363" t="s">
        <v>2635</v>
      </c>
      <c r="R363" t="s">
        <v>3070</v>
      </c>
      <c r="S363" t="s">
        <v>67</v>
      </c>
      <c r="T363" t="s">
        <v>3071</v>
      </c>
      <c r="U363" t="s">
        <v>3072</v>
      </c>
      <c r="V363">
        <v>7</v>
      </c>
      <c r="W363" s="2">
        <v>11557.384275017759</v>
      </c>
    </row>
    <row r="364" spans="1:23" x14ac:dyDescent="0.25">
      <c r="A364" t="s">
        <v>31</v>
      </c>
      <c r="B364" t="s">
        <v>32</v>
      </c>
      <c r="C364" t="s">
        <v>33</v>
      </c>
      <c r="D364" t="s">
        <v>34</v>
      </c>
      <c r="E364" t="s">
        <v>35</v>
      </c>
      <c r="F364" t="s">
        <v>36</v>
      </c>
      <c r="G364">
        <v>1141685</v>
      </c>
      <c r="H364" t="s">
        <v>75</v>
      </c>
      <c r="I364" t="s">
        <v>94</v>
      </c>
      <c r="J364" t="s">
        <v>98</v>
      </c>
      <c r="K364" t="s">
        <v>108</v>
      </c>
      <c r="L364" s="1">
        <v>46170</v>
      </c>
      <c r="M364" s="1">
        <v>46170</v>
      </c>
      <c r="N364">
        <v>930.89533400000005</v>
      </c>
      <c r="O364" t="s">
        <v>56</v>
      </c>
      <c r="P364" t="s">
        <v>63</v>
      </c>
      <c r="Q364" t="s">
        <v>2635</v>
      </c>
      <c r="R364" t="s">
        <v>3070</v>
      </c>
      <c r="S364" t="s">
        <v>67</v>
      </c>
      <c r="T364" t="s">
        <v>3071</v>
      </c>
      <c r="U364" t="s">
        <v>3072</v>
      </c>
      <c r="V364">
        <v>7</v>
      </c>
      <c r="W364" s="2">
        <v>11557.384275017759</v>
      </c>
    </row>
    <row r="365" spans="1:23" x14ac:dyDescent="0.25">
      <c r="A365" t="s">
        <v>31</v>
      </c>
      <c r="B365" t="s">
        <v>32</v>
      </c>
      <c r="C365" t="s">
        <v>33</v>
      </c>
      <c r="D365" t="s">
        <v>34</v>
      </c>
      <c r="E365" t="s">
        <v>35</v>
      </c>
      <c r="F365" t="s">
        <v>36</v>
      </c>
      <c r="G365">
        <v>1141685</v>
      </c>
      <c r="H365" t="s">
        <v>75</v>
      </c>
      <c r="I365" t="s">
        <v>94</v>
      </c>
      <c r="J365" t="s">
        <v>98</v>
      </c>
      <c r="K365" t="s">
        <v>108</v>
      </c>
      <c r="L365" s="1">
        <v>46171</v>
      </c>
      <c r="M365" s="1">
        <v>46171</v>
      </c>
      <c r="N365">
        <v>930.89533400000005</v>
      </c>
      <c r="O365" t="s">
        <v>56</v>
      </c>
      <c r="P365" t="s">
        <v>63</v>
      </c>
      <c r="Q365" t="s">
        <v>2635</v>
      </c>
      <c r="R365" t="s">
        <v>3070</v>
      </c>
      <c r="S365" t="s">
        <v>67</v>
      </c>
      <c r="T365" t="s">
        <v>3071</v>
      </c>
      <c r="U365" t="s">
        <v>3072</v>
      </c>
      <c r="V365">
        <v>7</v>
      </c>
      <c r="W365" s="2">
        <v>11557.384275017759</v>
      </c>
    </row>
    <row r="366" spans="1:23" x14ac:dyDescent="0.25">
      <c r="A366" t="s">
        <v>31</v>
      </c>
      <c r="B366" t="s">
        <v>32</v>
      </c>
      <c r="C366" t="s">
        <v>33</v>
      </c>
      <c r="D366" t="s">
        <v>34</v>
      </c>
      <c r="E366" t="s">
        <v>35</v>
      </c>
      <c r="F366" t="s">
        <v>36</v>
      </c>
      <c r="G366">
        <v>1141685</v>
      </c>
      <c r="H366" t="s">
        <v>75</v>
      </c>
      <c r="I366" t="s">
        <v>94</v>
      </c>
      <c r="J366" t="s">
        <v>98</v>
      </c>
      <c r="K366" t="s">
        <v>108</v>
      </c>
      <c r="L366" s="1">
        <v>46172</v>
      </c>
      <c r="M366" s="1">
        <v>46172</v>
      </c>
      <c r="N366">
        <v>930.89533400000005</v>
      </c>
      <c r="O366" t="s">
        <v>56</v>
      </c>
      <c r="P366" t="s">
        <v>63</v>
      </c>
      <c r="Q366" t="s">
        <v>2635</v>
      </c>
      <c r="R366" t="s">
        <v>3070</v>
      </c>
      <c r="S366" t="s">
        <v>67</v>
      </c>
      <c r="T366" t="s">
        <v>3071</v>
      </c>
      <c r="U366" t="s">
        <v>3072</v>
      </c>
      <c r="V366">
        <v>7</v>
      </c>
      <c r="W366" s="2">
        <v>11557.384275017759</v>
      </c>
    </row>
    <row r="367" spans="1:23" x14ac:dyDescent="0.25">
      <c r="A367" t="s">
        <v>31</v>
      </c>
      <c r="B367" t="s">
        <v>32</v>
      </c>
      <c r="C367" t="s">
        <v>33</v>
      </c>
      <c r="D367" t="s">
        <v>34</v>
      </c>
      <c r="E367" t="s">
        <v>35</v>
      </c>
      <c r="F367" t="s">
        <v>36</v>
      </c>
      <c r="G367">
        <v>1141685</v>
      </c>
      <c r="H367" t="s">
        <v>75</v>
      </c>
      <c r="I367" t="s">
        <v>94</v>
      </c>
      <c r="J367" t="s">
        <v>98</v>
      </c>
      <c r="K367" t="s">
        <v>108</v>
      </c>
      <c r="L367" s="1">
        <v>46173</v>
      </c>
      <c r="M367" s="1">
        <v>46173</v>
      </c>
      <c r="N367">
        <v>930.89533400000005</v>
      </c>
      <c r="O367" t="s">
        <v>56</v>
      </c>
      <c r="P367" t="s">
        <v>63</v>
      </c>
      <c r="Q367" t="s">
        <v>2635</v>
      </c>
      <c r="R367" t="s">
        <v>3070</v>
      </c>
      <c r="S367" t="s">
        <v>67</v>
      </c>
      <c r="T367" t="s">
        <v>3071</v>
      </c>
      <c r="U367" t="s">
        <v>3072</v>
      </c>
      <c r="V367">
        <v>7</v>
      </c>
      <c r="W367" s="2">
        <v>11557.384275017481</v>
      </c>
    </row>
    <row r="368" spans="1:23" x14ac:dyDescent="0.25">
      <c r="A368" t="s">
        <v>31</v>
      </c>
      <c r="B368" t="s">
        <v>32</v>
      </c>
      <c r="C368" t="s">
        <v>33</v>
      </c>
      <c r="D368" t="s">
        <v>34</v>
      </c>
      <c r="E368" t="s">
        <v>35</v>
      </c>
      <c r="F368" t="s">
        <v>36</v>
      </c>
      <c r="G368">
        <v>1141685</v>
      </c>
      <c r="H368" t="s">
        <v>1351</v>
      </c>
      <c r="I368" t="s">
        <v>1353</v>
      </c>
      <c r="J368" t="s">
        <v>1351</v>
      </c>
      <c r="K368" t="s">
        <v>1357</v>
      </c>
      <c r="L368" s="1">
        <v>46143</v>
      </c>
      <c r="M368" s="1">
        <v>46143</v>
      </c>
      <c r="N368">
        <v>17236.726472443999</v>
      </c>
      <c r="O368" t="s">
        <v>56</v>
      </c>
      <c r="P368" t="s">
        <v>63</v>
      </c>
      <c r="Q368" t="s">
        <v>2635</v>
      </c>
      <c r="R368" t="s">
        <v>2663</v>
      </c>
      <c r="S368" t="s">
        <v>68</v>
      </c>
      <c r="T368" t="s">
        <v>3073</v>
      </c>
      <c r="U368" t="s">
        <v>3074</v>
      </c>
      <c r="V368">
        <v>8</v>
      </c>
      <c r="W368" s="2">
        <v>401091.86396404973</v>
      </c>
    </row>
    <row r="369" spans="1:23" x14ac:dyDescent="0.25">
      <c r="A369" t="s">
        <v>31</v>
      </c>
      <c r="B369" t="s">
        <v>32</v>
      </c>
      <c r="C369" t="s">
        <v>33</v>
      </c>
      <c r="D369" t="s">
        <v>34</v>
      </c>
      <c r="E369" t="s">
        <v>35</v>
      </c>
      <c r="F369" t="s">
        <v>36</v>
      </c>
      <c r="G369">
        <v>1141685</v>
      </c>
      <c r="H369" t="s">
        <v>1351</v>
      </c>
      <c r="I369" t="s">
        <v>1353</v>
      </c>
      <c r="J369" t="s">
        <v>1351</v>
      </c>
      <c r="K369" t="s">
        <v>1357</v>
      </c>
      <c r="L369" s="1">
        <v>46144</v>
      </c>
      <c r="M369" s="1">
        <v>46144</v>
      </c>
      <c r="N369">
        <v>17236.726472443999</v>
      </c>
      <c r="O369" t="s">
        <v>56</v>
      </c>
      <c r="P369" t="s">
        <v>63</v>
      </c>
      <c r="Q369" t="s">
        <v>2635</v>
      </c>
      <c r="R369" t="s">
        <v>2663</v>
      </c>
      <c r="S369" t="s">
        <v>68</v>
      </c>
      <c r="T369" t="s">
        <v>3073</v>
      </c>
      <c r="U369" t="s">
        <v>3074</v>
      </c>
      <c r="V369">
        <v>8</v>
      </c>
      <c r="W369" s="2">
        <v>401091.86396404973</v>
      </c>
    </row>
    <row r="370" spans="1:23" x14ac:dyDescent="0.25">
      <c r="A370" t="s">
        <v>31</v>
      </c>
      <c r="B370" t="s">
        <v>32</v>
      </c>
      <c r="C370" t="s">
        <v>33</v>
      </c>
      <c r="D370" t="s">
        <v>34</v>
      </c>
      <c r="E370" t="s">
        <v>35</v>
      </c>
      <c r="F370" t="s">
        <v>36</v>
      </c>
      <c r="G370">
        <v>1141685</v>
      </c>
      <c r="H370" t="s">
        <v>1351</v>
      </c>
      <c r="I370" t="s">
        <v>1353</v>
      </c>
      <c r="J370" t="s">
        <v>1351</v>
      </c>
      <c r="K370" t="s">
        <v>1357</v>
      </c>
      <c r="L370" s="1">
        <v>46145</v>
      </c>
      <c r="M370" s="1">
        <v>46145</v>
      </c>
      <c r="N370">
        <v>17236.726472443999</v>
      </c>
      <c r="O370" t="s">
        <v>56</v>
      </c>
      <c r="P370" t="s">
        <v>63</v>
      </c>
      <c r="Q370" t="s">
        <v>2635</v>
      </c>
      <c r="R370" t="s">
        <v>2663</v>
      </c>
      <c r="S370" t="s">
        <v>68</v>
      </c>
      <c r="T370" t="s">
        <v>3073</v>
      </c>
      <c r="U370" t="s">
        <v>3074</v>
      </c>
      <c r="V370">
        <v>8</v>
      </c>
      <c r="W370" s="2">
        <v>401091.86396404973</v>
      </c>
    </row>
    <row r="371" spans="1:23" x14ac:dyDescent="0.25">
      <c r="A371" t="s">
        <v>31</v>
      </c>
      <c r="B371" t="s">
        <v>32</v>
      </c>
      <c r="C371" t="s">
        <v>33</v>
      </c>
      <c r="D371" t="s">
        <v>34</v>
      </c>
      <c r="E371" t="s">
        <v>35</v>
      </c>
      <c r="F371" t="s">
        <v>36</v>
      </c>
      <c r="G371">
        <v>1141685</v>
      </c>
      <c r="H371" t="s">
        <v>1351</v>
      </c>
      <c r="I371" t="s">
        <v>1353</v>
      </c>
      <c r="J371" t="s">
        <v>1351</v>
      </c>
      <c r="K371" t="s">
        <v>1357</v>
      </c>
      <c r="L371" s="1">
        <v>46146</v>
      </c>
      <c r="M371" s="1">
        <v>46146</v>
      </c>
      <c r="N371">
        <v>17236.726472443999</v>
      </c>
      <c r="O371" t="s">
        <v>56</v>
      </c>
      <c r="P371" t="s">
        <v>63</v>
      </c>
      <c r="Q371" t="s">
        <v>2635</v>
      </c>
      <c r="R371" t="s">
        <v>2663</v>
      </c>
      <c r="S371" t="s">
        <v>68</v>
      </c>
      <c r="T371" t="s">
        <v>3073</v>
      </c>
      <c r="U371" t="s">
        <v>3074</v>
      </c>
      <c r="V371">
        <v>8</v>
      </c>
      <c r="W371" s="2">
        <v>401091.86396404973</v>
      </c>
    </row>
    <row r="372" spans="1:23" x14ac:dyDescent="0.25">
      <c r="A372" t="s">
        <v>31</v>
      </c>
      <c r="B372" t="s">
        <v>32</v>
      </c>
      <c r="C372" t="s">
        <v>33</v>
      </c>
      <c r="D372" t="s">
        <v>34</v>
      </c>
      <c r="E372" t="s">
        <v>35</v>
      </c>
      <c r="F372" t="s">
        <v>36</v>
      </c>
      <c r="G372">
        <v>1141685</v>
      </c>
      <c r="H372" t="s">
        <v>1351</v>
      </c>
      <c r="I372" t="s">
        <v>1353</v>
      </c>
      <c r="J372" t="s">
        <v>1351</v>
      </c>
      <c r="K372" t="s">
        <v>1357</v>
      </c>
      <c r="L372" s="1">
        <v>46147</v>
      </c>
      <c r="M372" s="1">
        <v>46147</v>
      </c>
      <c r="N372">
        <v>17236.726472443999</v>
      </c>
      <c r="O372" t="s">
        <v>56</v>
      </c>
      <c r="P372" t="s">
        <v>63</v>
      </c>
      <c r="Q372" t="s">
        <v>2635</v>
      </c>
      <c r="R372" t="s">
        <v>2663</v>
      </c>
      <c r="S372" t="s">
        <v>68</v>
      </c>
      <c r="T372" t="s">
        <v>3073</v>
      </c>
      <c r="U372" t="s">
        <v>3074</v>
      </c>
      <c r="V372">
        <v>8</v>
      </c>
      <c r="W372" s="2">
        <v>401091.86396404973</v>
      </c>
    </row>
    <row r="373" spans="1:23" x14ac:dyDescent="0.25">
      <c r="A373" t="s">
        <v>31</v>
      </c>
      <c r="B373" t="s">
        <v>32</v>
      </c>
      <c r="C373" t="s">
        <v>33</v>
      </c>
      <c r="D373" t="s">
        <v>34</v>
      </c>
      <c r="E373" t="s">
        <v>35</v>
      </c>
      <c r="F373" t="s">
        <v>36</v>
      </c>
      <c r="G373">
        <v>1141685</v>
      </c>
      <c r="H373" t="s">
        <v>1351</v>
      </c>
      <c r="I373" t="s">
        <v>1353</v>
      </c>
      <c r="J373" t="s">
        <v>1351</v>
      </c>
      <c r="K373" t="s">
        <v>1357</v>
      </c>
      <c r="L373" s="1">
        <v>46148</v>
      </c>
      <c r="M373" s="1">
        <v>46148</v>
      </c>
      <c r="N373">
        <v>17236.726472443999</v>
      </c>
      <c r="O373" t="s">
        <v>56</v>
      </c>
      <c r="P373" t="s">
        <v>63</v>
      </c>
      <c r="Q373" t="s">
        <v>2635</v>
      </c>
      <c r="R373" t="s">
        <v>2663</v>
      </c>
      <c r="S373" t="s">
        <v>68</v>
      </c>
      <c r="T373" t="s">
        <v>3073</v>
      </c>
      <c r="U373" t="s">
        <v>3074</v>
      </c>
      <c r="V373">
        <v>8</v>
      </c>
      <c r="W373" s="2">
        <v>401091.86396404973</v>
      </c>
    </row>
    <row r="374" spans="1:23" x14ac:dyDescent="0.25">
      <c r="A374" t="s">
        <v>31</v>
      </c>
      <c r="B374" t="s">
        <v>32</v>
      </c>
      <c r="C374" t="s">
        <v>33</v>
      </c>
      <c r="D374" t="s">
        <v>34</v>
      </c>
      <c r="E374" t="s">
        <v>35</v>
      </c>
      <c r="F374" t="s">
        <v>36</v>
      </c>
      <c r="G374">
        <v>1141685</v>
      </c>
      <c r="H374" t="s">
        <v>1351</v>
      </c>
      <c r="I374" t="s">
        <v>1353</v>
      </c>
      <c r="J374" t="s">
        <v>1351</v>
      </c>
      <c r="K374" t="s">
        <v>1357</v>
      </c>
      <c r="L374" s="1">
        <v>46149</v>
      </c>
      <c r="M374" s="1">
        <v>46149</v>
      </c>
      <c r="N374">
        <v>17236.726472443999</v>
      </c>
      <c r="O374" t="s">
        <v>56</v>
      </c>
      <c r="P374" t="s">
        <v>63</v>
      </c>
      <c r="Q374" t="s">
        <v>2635</v>
      </c>
      <c r="R374" t="s">
        <v>2663</v>
      </c>
      <c r="S374" t="s">
        <v>68</v>
      </c>
      <c r="T374" t="s">
        <v>3073</v>
      </c>
      <c r="U374" t="s">
        <v>3074</v>
      </c>
      <c r="V374">
        <v>8</v>
      </c>
      <c r="W374" s="2">
        <v>401091.86396404973</v>
      </c>
    </row>
    <row r="375" spans="1:23" x14ac:dyDescent="0.25">
      <c r="A375" t="s">
        <v>31</v>
      </c>
      <c r="B375" t="s">
        <v>32</v>
      </c>
      <c r="C375" t="s">
        <v>33</v>
      </c>
      <c r="D375" t="s">
        <v>34</v>
      </c>
      <c r="E375" t="s">
        <v>35</v>
      </c>
      <c r="F375" t="s">
        <v>36</v>
      </c>
      <c r="G375">
        <v>1141685</v>
      </c>
      <c r="H375" t="s">
        <v>1351</v>
      </c>
      <c r="I375" t="s">
        <v>1353</v>
      </c>
      <c r="J375" t="s">
        <v>1351</v>
      </c>
      <c r="K375" t="s">
        <v>1357</v>
      </c>
      <c r="L375" s="1">
        <v>46150</v>
      </c>
      <c r="M375" s="1">
        <v>46150</v>
      </c>
      <c r="N375">
        <v>17236.726472443999</v>
      </c>
      <c r="O375" t="s">
        <v>56</v>
      </c>
      <c r="P375" t="s">
        <v>63</v>
      </c>
      <c r="Q375" t="s">
        <v>2635</v>
      </c>
      <c r="R375" t="s">
        <v>2663</v>
      </c>
      <c r="S375" t="s">
        <v>68</v>
      </c>
      <c r="T375" t="s">
        <v>3073</v>
      </c>
      <c r="U375" t="s">
        <v>3074</v>
      </c>
      <c r="V375">
        <v>8</v>
      </c>
      <c r="W375" s="2">
        <v>401091.86396404973</v>
      </c>
    </row>
    <row r="376" spans="1:23" x14ac:dyDescent="0.25">
      <c r="A376" t="s">
        <v>31</v>
      </c>
      <c r="B376" t="s">
        <v>32</v>
      </c>
      <c r="C376" t="s">
        <v>33</v>
      </c>
      <c r="D376" t="s">
        <v>34</v>
      </c>
      <c r="E376" t="s">
        <v>35</v>
      </c>
      <c r="F376" t="s">
        <v>36</v>
      </c>
      <c r="G376">
        <v>1141685</v>
      </c>
      <c r="H376" t="s">
        <v>1351</v>
      </c>
      <c r="I376" t="s">
        <v>1353</v>
      </c>
      <c r="J376" t="s">
        <v>1351</v>
      </c>
      <c r="K376" t="s">
        <v>1357</v>
      </c>
      <c r="L376" s="1">
        <v>46151</v>
      </c>
      <c r="M376" s="1">
        <v>46151</v>
      </c>
      <c r="N376">
        <v>17236.726472443999</v>
      </c>
      <c r="O376" t="s">
        <v>56</v>
      </c>
      <c r="P376" t="s">
        <v>63</v>
      </c>
      <c r="Q376" t="s">
        <v>2635</v>
      </c>
      <c r="R376" t="s">
        <v>2663</v>
      </c>
      <c r="S376" t="s">
        <v>68</v>
      </c>
      <c r="T376" t="s">
        <v>3073</v>
      </c>
      <c r="U376" t="s">
        <v>3074</v>
      </c>
      <c r="V376">
        <v>8</v>
      </c>
      <c r="W376" s="2">
        <v>401091.86396404973</v>
      </c>
    </row>
    <row r="377" spans="1:23" x14ac:dyDescent="0.25">
      <c r="A377" t="s">
        <v>31</v>
      </c>
      <c r="B377" t="s">
        <v>32</v>
      </c>
      <c r="C377" t="s">
        <v>33</v>
      </c>
      <c r="D377" t="s">
        <v>34</v>
      </c>
      <c r="E377" t="s">
        <v>35</v>
      </c>
      <c r="F377" t="s">
        <v>36</v>
      </c>
      <c r="G377">
        <v>1141685</v>
      </c>
      <c r="H377" t="s">
        <v>1351</v>
      </c>
      <c r="I377" t="s">
        <v>1353</v>
      </c>
      <c r="J377" t="s">
        <v>1351</v>
      </c>
      <c r="K377" t="s">
        <v>1357</v>
      </c>
      <c r="L377" s="1">
        <v>46152</v>
      </c>
      <c r="M377" s="1">
        <v>46152</v>
      </c>
      <c r="N377">
        <v>17236.726472443999</v>
      </c>
      <c r="O377" t="s">
        <v>56</v>
      </c>
      <c r="P377" t="s">
        <v>63</v>
      </c>
      <c r="Q377" t="s">
        <v>2635</v>
      </c>
      <c r="R377" t="s">
        <v>2663</v>
      </c>
      <c r="S377" t="s">
        <v>68</v>
      </c>
      <c r="T377" t="s">
        <v>3073</v>
      </c>
      <c r="U377" t="s">
        <v>3074</v>
      </c>
      <c r="V377">
        <v>8</v>
      </c>
      <c r="W377" s="2">
        <v>401091.86396404973</v>
      </c>
    </row>
    <row r="378" spans="1:23" x14ac:dyDescent="0.25">
      <c r="A378" t="s">
        <v>31</v>
      </c>
      <c r="B378" t="s">
        <v>32</v>
      </c>
      <c r="C378" t="s">
        <v>33</v>
      </c>
      <c r="D378" t="s">
        <v>34</v>
      </c>
      <c r="E378" t="s">
        <v>35</v>
      </c>
      <c r="F378" t="s">
        <v>36</v>
      </c>
      <c r="G378">
        <v>1141685</v>
      </c>
      <c r="H378" t="s">
        <v>1351</v>
      </c>
      <c r="I378" t="s">
        <v>1353</v>
      </c>
      <c r="J378" t="s">
        <v>1351</v>
      </c>
      <c r="K378" t="s">
        <v>1357</v>
      </c>
      <c r="L378" s="1">
        <v>46153</v>
      </c>
      <c r="M378" s="1">
        <v>46153</v>
      </c>
      <c r="N378">
        <v>17236.726472443999</v>
      </c>
      <c r="O378" t="s">
        <v>56</v>
      </c>
      <c r="P378" t="s">
        <v>63</v>
      </c>
      <c r="Q378" t="s">
        <v>2635</v>
      </c>
      <c r="R378" t="s">
        <v>2663</v>
      </c>
      <c r="S378" t="s">
        <v>68</v>
      </c>
      <c r="T378" t="s">
        <v>3073</v>
      </c>
      <c r="U378" t="s">
        <v>3074</v>
      </c>
      <c r="V378">
        <v>8</v>
      </c>
      <c r="W378" s="2">
        <v>401091.86396404973</v>
      </c>
    </row>
    <row r="379" spans="1:23" x14ac:dyDescent="0.25">
      <c r="A379" t="s">
        <v>31</v>
      </c>
      <c r="B379" t="s">
        <v>32</v>
      </c>
      <c r="C379" t="s">
        <v>33</v>
      </c>
      <c r="D379" t="s">
        <v>34</v>
      </c>
      <c r="E379" t="s">
        <v>35</v>
      </c>
      <c r="F379" t="s">
        <v>36</v>
      </c>
      <c r="G379">
        <v>1141685</v>
      </c>
      <c r="H379" t="s">
        <v>1351</v>
      </c>
      <c r="I379" t="s">
        <v>1353</v>
      </c>
      <c r="J379" t="s">
        <v>1351</v>
      </c>
      <c r="K379" t="s">
        <v>1357</v>
      </c>
      <c r="L379" s="1">
        <v>46154</v>
      </c>
      <c r="M379" s="1">
        <v>46154</v>
      </c>
      <c r="N379">
        <v>17236.726472443999</v>
      </c>
      <c r="O379" t="s">
        <v>56</v>
      </c>
      <c r="P379" t="s">
        <v>63</v>
      </c>
      <c r="Q379" t="s">
        <v>2635</v>
      </c>
      <c r="R379" t="s">
        <v>2663</v>
      </c>
      <c r="S379" t="s">
        <v>68</v>
      </c>
      <c r="T379" t="s">
        <v>3073</v>
      </c>
      <c r="U379" t="s">
        <v>3074</v>
      </c>
      <c r="V379">
        <v>8</v>
      </c>
      <c r="W379" s="2">
        <v>401091.86396404973</v>
      </c>
    </row>
    <row r="380" spans="1:23" x14ac:dyDescent="0.25">
      <c r="A380" t="s">
        <v>31</v>
      </c>
      <c r="B380" t="s">
        <v>32</v>
      </c>
      <c r="C380" t="s">
        <v>33</v>
      </c>
      <c r="D380" t="s">
        <v>34</v>
      </c>
      <c r="E380" t="s">
        <v>35</v>
      </c>
      <c r="F380" t="s">
        <v>36</v>
      </c>
      <c r="G380">
        <v>1141685</v>
      </c>
      <c r="H380" t="s">
        <v>1351</v>
      </c>
      <c r="I380" t="s">
        <v>1353</v>
      </c>
      <c r="J380" t="s">
        <v>1351</v>
      </c>
      <c r="K380" t="s">
        <v>1357</v>
      </c>
      <c r="L380" s="1">
        <v>46155</v>
      </c>
      <c r="M380" s="1">
        <v>46155</v>
      </c>
      <c r="N380">
        <v>17236.726472443999</v>
      </c>
      <c r="O380" t="s">
        <v>56</v>
      </c>
      <c r="P380" t="s">
        <v>63</v>
      </c>
      <c r="Q380" t="s">
        <v>2635</v>
      </c>
      <c r="R380" t="s">
        <v>2663</v>
      </c>
      <c r="S380" t="s">
        <v>68</v>
      </c>
      <c r="T380" t="s">
        <v>3073</v>
      </c>
      <c r="U380" t="s">
        <v>3074</v>
      </c>
      <c r="V380">
        <v>8</v>
      </c>
      <c r="W380" s="2">
        <v>401091.86396404973</v>
      </c>
    </row>
    <row r="381" spans="1:23" x14ac:dyDescent="0.25">
      <c r="A381" t="s">
        <v>31</v>
      </c>
      <c r="B381" t="s">
        <v>32</v>
      </c>
      <c r="C381" t="s">
        <v>33</v>
      </c>
      <c r="D381" t="s">
        <v>34</v>
      </c>
      <c r="E381" t="s">
        <v>35</v>
      </c>
      <c r="F381" t="s">
        <v>36</v>
      </c>
      <c r="G381">
        <v>1141685</v>
      </c>
      <c r="H381" t="s">
        <v>1351</v>
      </c>
      <c r="I381" t="s">
        <v>1353</v>
      </c>
      <c r="J381" t="s">
        <v>1351</v>
      </c>
      <c r="K381" t="s">
        <v>1357</v>
      </c>
      <c r="L381" s="1">
        <v>46156</v>
      </c>
      <c r="M381" s="1">
        <v>46156</v>
      </c>
      <c r="N381">
        <v>17236.726472443999</v>
      </c>
      <c r="O381" t="s">
        <v>56</v>
      </c>
      <c r="P381" t="s">
        <v>63</v>
      </c>
      <c r="Q381" t="s">
        <v>2635</v>
      </c>
      <c r="R381" t="s">
        <v>2663</v>
      </c>
      <c r="S381" t="s">
        <v>68</v>
      </c>
      <c r="T381" t="s">
        <v>3073</v>
      </c>
      <c r="U381" t="s">
        <v>3074</v>
      </c>
      <c r="V381">
        <v>8</v>
      </c>
      <c r="W381" s="2">
        <v>401091.86396404973</v>
      </c>
    </row>
    <row r="382" spans="1:23" x14ac:dyDescent="0.25">
      <c r="A382" t="s">
        <v>31</v>
      </c>
      <c r="B382" t="s">
        <v>32</v>
      </c>
      <c r="C382" t="s">
        <v>33</v>
      </c>
      <c r="D382" t="s">
        <v>34</v>
      </c>
      <c r="E382" t="s">
        <v>35</v>
      </c>
      <c r="F382" t="s">
        <v>36</v>
      </c>
      <c r="G382">
        <v>1141685</v>
      </c>
      <c r="H382" t="s">
        <v>1351</v>
      </c>
      <c r="I382" t="s">
        <v>1353</v>
      </c>
      <c r="J382" t="s">
        <v>1351</v>
      </c>
      <c r="K382" t="s">
        <v>1357</v>
      </c>
      <c r="L382" s="1">
        <v>46157</v>
      </c>
      <c r="M382" s="1">
        <v>46157</v>
      </c>
      <c r="N382">
        <v>17236.726472443999</v>
      </c>
      <c r="O382" t="s">
        <v>56</v>
      </c>
      <c r="P382" t="s">
        <v>63</v>
      </c>
      <c r="Q382" t="s">
        <v>2635</v>
      </c>
      <c r="R382" t="s">
        <v>2663</v>
      </c>
      <c r="S382" t="s">
        <v>68</v>
      </c>
      <c r="T382" t="s">
        <v>3073</v>
      </c>
      <c r="U382" t="s">
        <v>3074</v>
      </c>
      <c r="V382">
        <v>8</v>
      </c>
      <c r="W382" s="2">
        <v>401091.86396404973</v>
      </c>
    </row>
    <row r="383" spans="1:23" x14ac:dyDescent="0.25">
      <c r="A383" t="s">
        <v>31</v>
      </c>
      <c r="B383" t="s">
        <v>32</v>
      </c>
      <c r="C383" t="s">
        <v>33</v>
      </c>
      <c r="D383" t="s">
        <v>34</v>
      </c>
      <c r="E383" t="s">
        <v>35</v>
      </c>
      <c r="F383" t="s">
        <v>36</v>
      </c>
      <c r="G383">
        <v>1141685</v>
      </c>
      <c r="H383" t="s">
        <v>1351</v>
      </c>
      <c r="I383" t="s">
        <v>1353</v>
      </c>
      <c r="J383" t="s">
        <v>1351</v>
      </c>
      <c r="K383" t="s">
        <v>1357</v>
      </c>
      <c r="L383" s="1">
        <v>46158</v>
      </c>
      <c r="M383" s="1">
        <v>46158</v>
      </c>
      <c r="N383">
        <v>17236.726472443999</v>
      </c>
      <c r="O383" t="s">
        <v>56</v>
      </c>
      <c r="P383" t="s">
        <v>63</v>
      </c>
      <c r="Q383" t="s">
        <v>2635</v>
      </c>
      <c r="R383" t="s">
        <v>2663</v>
      </c>
      <c r="S383" t="s">
        <v>68</v>
      </c>
      <c r="T383" t="s">
        <v>3073</v>
      </c>
      <c r="U383" t="s">
        <v>3074</v>
      </c>
      <c r="V383">
        <v>8</v>
      </c>
      <c r="W383" s="2">
        <v>401091.86396404973</v>
      </c>
    </row>
    <row r="384" spans="1:23" x14ac:dyDescent="0.25">
      <c r="A384" t="s">
        <v>31</v>
      </c>
      <c r="B384" t="s">
        <v>32</v>
      </c>
      <c r="C384" t="s">
        <v>33</v>
      </c>
      <c r="D384" t="s">
        <v>34</v>
      </c>
      <c r="E384" t="s">
        <v>35</v>
      </c>
      <c r="F384" t="s">
        <v>36</v>
      </c>
      <c r="G384">
        <v>1141685</v>
      </c>
      <c r="H384" t="s">
        <v>1351</v>
      </c>
      <c r="I384" t="s">
        <v>1353</v>
      </c>
      <c r="J384" t="s">
        <v>1351</v>
      </c>
      <c r="K384" t="s">
        <v>1357</v>
      </c>
      <c r="L384" s="1">
        <v>46159</v>
      </c>
      <c r="M384" s="1">
        <v>46159</v>
      </c>
      <c r="N384">
        <v>17236.726472443999</v>
      </c>
      <c r="O384" t="s">
        <v>56</v>
      </c>
      <c r="P384" t="s">
        <v>63</v>
      </c>
      <c r="Q384" t="s">
        <v>2635</v>
      </c>
      <c r="R384" t="s">
        <v>2663</v>
      </c>
      <c r="S384" t="s">
        <v>68</v>
      </c>
      <c r="T384" t="s">
        <v>3073</v>
      </c>
      <c r="U384" t="s">
        <v>3074</v>
      </c>
      <c r="V384">
        <v>8</v>
      </c>
      <c r="W384" s="2">
        <v>401091.86396404973</v>
      </c>
    </row>
    <row r="385" spans="1:27" x14ac:dyDescent="0.25">
      <c r="A385" t="s">
        <v>31</v>
      </c>
      <c r="B385" t="s">
        <v>32</v>
      </c>
      <c r="C385" t="s">
        <v>33</v>
      </c>
      <c r="D385" t="s">
        <v>34</v>
      </c>
      <c r="E385" t="s">
        <v>35</v>
      </c>
      <c r="F385" t="s">
        <v>36</v>
      </c>
      <c r="G385">
        <v>1141685</v>
      </c>
      <c r="H385" t="s">
        <v>1351</v>
      </c>
      <c r="I385" t="s">
        <v>1353</v>
      </c>
      <c r="J385" t="s">
        <v>1351</v>
      </c>
      <c r="K385" t="s">
        <v>1357</v>
      </c>
      <c r="L385" s="1">
        <v>46160</v>
      </c>
      <c r="M385" s="1">
        <v>46160</v>
      </c>
      <c r="N385">
        <v>17236.726472443999</v>
      </c>
      <c r="O385" t="s">
        <v>56</v>
      </c>
      <c r="P385" t="s">
        <v>63</v>
      </c>
      <c r="Q385" t="s">
        <v>2635</v>
      </c>
      <c r="R385" t="s">
        <v>2663</v>
      </c>
      <c r="S385" t="s">
        <v>68</v>
      </c>
      <c r="T385" t="s">
        <v>3073</v>
      </c>
      <c r="U385" t="s">
        <v>3074</v>
      </c>
      <c r="V385">
        <v>8</v>
      </c>
      <c r="W385" s="2">
        <v>401091.86396404973</v>
      </c>
    </row>
    <row r="386" spans="1:27" x14ac:dyDescent="0.25">
      <c r="A386" t="s">
        <v>31</v>
      </c>
      <c r="B386" t="s">
        <v>32</v>
      </c>
      <c r="C386" t="s">
        <v>33</v>
      </c>
      <c r="D386" t="s">
        <v>34</v>
      </c>
      <c r="E386" t="s">
        <v>35</v>
      </c>
      <c r="F386" t="s">
        <v>36</v>
      </c>
      <c r="G386">
        <v>1141685</v>
      </c>
      <c r="H386" t="s">
        <v>1351</v>
      </c>
      <c r="I386" t="s">
        <v>1353</v>
      </c>
      <c r="J386" t="s">
        <v>1351</v>
      </c>
      <c r="K386" t="s">
        <v>1357</v>
      </c>
      <c r="L386" s="1">
        <v>46161</v>
      </c>
      <c r="M386" s="1">
        <v>46161</v>
      </c>
      <c r="N386">
        <v>17236.726472443999</v>
      </c>
      <c r="O386" t="s">
        <v>56</v>
      </c>
      <c r="P386" t="s">
        <v>63</v>
      </c>
      <c r="Q386" t="s">
        <v>2635</v>
      </c>
      <c r="R386" t="s">
        <v>2663</v>
      </c>
      <c r="S386" t="s">
        <v>68</v>
      </c>
      <c r="T386" t="s">
        <v>3073</v>
      </c>
      <c r="U386" t="s">
        <v>3074</v>
      </c>
      <c r="V386">
        <v>8</v>
      </c>
      <c r="W386" s="2">
        <v>401091.86396404973</v>
      </c>
    </row>
    <row r="387" spans="1:27" x14ac:dyDescent="0.25">
      <c r="A387" t="s">
        <v>31</v>
      </c>
      <c r="B387" t="s">
        <v>32</v>
      </c>
      <c r="C387" t="s">
        <v>33</v>
      </c>
      <c r="D387" t="s">
        <v>34</v>
      </c>
      <c r="E387" t="s">
        <v>35</v>
      </c>
      <c r="F387" t="s">
        <v>36</v>
      </c>
      <c r="G387">
        <v>1141685</v>
      </c>
      <c r="H387" t="s">
        <v>1351</v>
      </c>
      <c r="I387" t="s">
        <v>1353</v>
      </c>
      <c r="J387" t="s">
        <v>1351</v>
      </c>
      <c r="K387" t="s">
        <v>1357</v>
      </c>
      <c r="L387" s="1">
        <v>46162</v>
      </c>
      <c r="M387" s="1">
        <v>46162</v>
      </c>
      <c r="N387">
        <v>17236.726472443999</v>
      </c>
      <c r="O387" t="s">
        <v>56</v>
      </c>
      <c r="P387" t="s">
        <v>63</v>
      </c>
      <c r="Q387" t="s">
        <v>2635</v>
      </c>
      <c r="R387" t="s">
        <v>2663</v>
      </c>
      <c r="S387" t="s">
        <v>68</v>
      </c>
      <c r="T387" t="s">
        <v>3073</v>
      </c>
      <c r="U387" t="s">
        <v>3074</v>
      </c>
      <c r="V387">
        <v>8</v>
      </c>
      <c r="W387" s="2">
        <v>401091.86396404973</v>
      </c>
    </row>
    <row r="388" spans="1:27" x14ac:dyDescent="0.25">
      <c r="A388" t="s">
        <v>31</v>
      </c>
      <c r="B388" t="s">
        <v>32</v>
      </c>
      <c r="C388" t="s">
        <v>33</v>
      </c>
      <c r="D388" t="s">
        <v>34</v>
      </c>
      <c r="E388" t="s">
        <v>35</v>
      </c>
      <c r="F388" t="s">
        <v>36</v>
      </c>
      <c r="G388">
        <v>1141685</v>
      </c>
      <c r="H388" t="s">
        <v>1351</v>
      </c>
      <c r="I388" t="s">
        <v>1353</v>
      </c>
      <c r="J388" t="s">
        <v>1351</v>
      </c>
      <c r="K388" t="s">
        <v>1357</v>
      </c>
      <c r="L388" s="1">
        <v>46163</v>
      </c>
      <c r="M388" s="1">
        <v>46163</v>
      </c>
      <c r="N388">
        <v>17236.726472443999</v>
      </c>
      <c r="O388" t="s">
        <v>56</v>
      </c>
      <c r="P388" t="s">
        <v>63</v>
      </c>
      <c r="Q388" t="s">
        <v>2635</v>
      </c>
      <c r="R388" t="s">
        <v>2663</v>
      </c>
      <c r="S388" t="s">
        <v>68</v>
      </c>
      <c r="T388" t="s">
        <v>3073</v>
      </c>
      <c r="U388" t="s">
        <v>3074</v>
      </c>
      <c r="V388">
        <v>8</v>
      </c>
      <c r="W388" s="2">
        <v>401091.86396404973</v>
      </c>
    </row>
    <row r="389" spans="1:27" x14ac:dyDescent="0.25">
      <c r="A389" t="s">
        <v>31</v>
      </c>
      <c r="B389" t="s">
        <v>32</v>
      </c>
      <c r="C389" t="s">
        <v>33</v>
      </c>
      <c r="D389" t="s">
        <v>34</v>
      </c>
      <c r="E389" t="s">
        <v>35</v>
      </c>
      <c r="F389" t="s">
        <v>36</v>
      </c>
      <c r="G389">
        <v>1141685</v>
      </c>
      <c r="H389" t="s">
        <v>1351</v>
      </c>
      <c r="I389" t="s">
        <v>1353</v>
      </c>
      <c r="J389" t="s">
        <v>1351</v>
      </c>
      <c r="K389" t="s">
        <v>1357</v>
      </c>
      <c r="L389" s="1">
        <v>46164</v>
      </c>
      <c r="M389" s="1">
        <v>46164</v>
      </c>
      <c r="N389">
        <v>17236.726472443999</v>
      </c>
      <c r="O389" t="s">
        <v>56</v>
      </c>
      <c r="P389" t="s">
        <v>63</v>
      </c>
      <c r="Q389" t="s">
        <v>2635</v>
      </c>
      <c r="R389" t="s">
        <v>2663</v>
      </c>
      <c r="S389" t="s">
        <v>68</v>
      </c>
      <c r="T389" t="s">
        <v>3073</v>
      </c>
      <c r="U389" t="s">
        <v>3074</v>
      </c>
      <c r="V389">
        <v>8</v>
      </c>
      <c r="W389" s="2">
        <v>401091.86396404973</v>
      </c>
    </row>
    <row r="390" spans="1:27" x14ac:dyDescent="0.25">
      <c r="A390" t="s">
        <v>31</v>
      </c>
      <c r="B390" t="s">
        <v>32</v>
      </c>
      <c r="C390" t="s">
        <v>33</v>
      </c>
      <c r="D390" t="s">
        <v>34</v>
      </c>
      <c r="E390" t="s">
        <v>35</v>
      </c>
      <c r="F390" t="s">
        <v>36</v>
      </c>
      <c r="G390">
        <v>1141685</v>
      </c>
      <c r="H390" t="s">
        <v>1351</v>
      </c>
      <c r="I390" t="s">
        <v>1353</v>
      </c>
      <c r="J390" t="s">
        <v>1351</v>
      </c>
      <c r="K390" t="s">
        <v>1357</v>
      </c>
      <c r="L390" s="1">
        <v>46165</v>
      </c>
      <c r="M390" s="1">
        <v>46165</v>
      </c>
      <c r="N390">
        <v>17236.726472443999</v>
      </c>
      <c r="O390" t="s">
        <v>56</v>
      </c>
      <c r="P390" t="s">
        <v>63</v>
      </c>
      <c r="Q390" t="s">
        <v>2635</v>
      </c>
      <c r="R390" t="s">
        <v>2663</v>
      </c>
      <c r="S390" t="s">
        <v>68</v>
      </c>
      <c r="T390" t="s">
        <v>3073</v>
      </c>
      <c r="U390" t="s">
        <v>3074</v>
      </c>
      <c r="V390">
        <v>8</v>
      </c>
      <c r="W390" s="2">
        <v>401091.86396404973</v>
      </c>
    </row>
    <row r="391" spans="1:27" x14ac:dyDescent="0.25">
      <c r="A391" t="s">
        <v>31</v>
      </c>
      <c r="B391" t="s">
        <v>32</v>
      </c>
      <c r="C391" t="s">
        <v>33</v>
      </c>
      <c r="D391" t="s">
        <v>34</v>
      </c>
      <c r="E391" t="s">
        <v>35</v>
      </c>
      <c r="F391" t="s">
        <v>36</v>
      </c>
      <c r="G391">
        <v>1141685</v>
      </c>
      <c r="H391" t="s">
        <v>1351</v>
      </c>
      <c r="I391" t="s">
        <v>1353</v>
      </c>
      <c r="J391" t="s">
        <v>1351</v>
      </c>
      <c r="K391" t="s">
        <v>1357</v>
      </c>
      <c r="L391" s="1">
        <v>46166</v>
      </c>
      <c r="M391" s="1">
        <v>46166</v>
      </c>
      <c r="N391">
        <v>17236.726472443999</v>
      </c>
      <c r="O391" t="s">
        <v>56</v>
      </c>
      <c r="P391" t="s">
        <v>63</v>
      </c>
      <c r="Q391" t="s">
        <v>2635</v>
      </c>
      <c r="R391" t="s">
        <v>2663</v>
      </c>
      <c r="S391" t="s">
        <v>68</v>
      </c>
      <c r="T391" t="s">
        <v>3073</v>
      </c>
      <c r="U391" t="s">
        <v>3074</v>
      </c>
      <c r="V391">
        <v>8</v>
      </c>
      <c r="W391" s="2">
        <v>401091.86396404973</v>
      </c>
    </row>
    <row r="392" spans="1:27" x14ac:dyDescent="0.25">
      <c r="A392" t="s">
        <v>31</v>
      </c>
      <c r="B392" t="s">
        <v>32</v>
      </c>
      <c r="C392" t="s">
        <v>33</v>
      </c>
      <c r="D392" t="s">
        <v>34</v>
      </c>
      <c r="E392" t="s">
        <v>35</v>
      </c>
      <c r="F392" t="s">
        <v>36</v>
      </c>
      <c r="G392">
        <v>1141685</v>
      </c>
      <c r="H392" t="s">
        <v>1351</v>
      </c>
      <c r="I392" t="s">
        <v>1353</v>
      </c>
      <c r="J392" t="s">
        <v>1351</v>
      </c>
      <c r="K392" t="s">
        <v>1357</v>
      </c>
      <c r="L392" s="1">
        <v>46167</v>
      </c>
      <c r="M392" s="1">
        <v>46167</v>
      </c>
      <c r="N392">
        <v>17236.726472443999</v>
      </c>
      <c r="O392" t="s">
        <v>56</v>
      </c>
      <c r="P392" t="s">
        <v>63</v>
      </c>
      <c r="Q392" t="s">
        <v>2635</v>
      </c>
      <c r="R392" t="s">
        <v>2663</v>
      </c>
      <c r="S392" t="s">
        <v>68</v>
      </c>
      <c r="T392" t="s">
        <v>3073</v>
      </c>
      <c r="U392" t="s">
        <v>3074</v>
      </c>
      <c r="V392">
        <v>8</v>
      </c>
      <c r="W392" s="2">
        <v>401091.86396404973</v>
      </c>
    </row>
    <row r="393" spans="1:27" x14ac:dyDescent="0.25">
      <c r="A393" t="s">
        <v>31</v>
      </c>
      <c r="B393" t="s">
        <v>32</v>
      </c>
      <c r="C393" t="s">
        <v>33</v>
      </c>
      <c r="D393" t="s">
        <v>34</v>
      </c>
      <c r="E393" t="s">
        <v>35</v>
      </c>
      <c r="F393" t="s">
        <v>36</v>
      </c>
      <c r="G393">
        <v>1141685</v>
      </c>
      <c r="H393" t="s">
        <v>1351</v>
      </c>
      <c r="I393" t="s">
        <v>1353</v>
      </c>
      <c r="J393" t="s">
        <v>1351</v>
      </c>
      <c r="K393" t="s">
        <v>1357</v>
      </c>
      <c r="L393" s="1">
        <v>46168</v>
      </c>
      <c r="M393" s="1">
        <v>46168</v>
      </c>
      <c r="N393">
        <v>17236.726472443999</v>
      </c>
      <c r="O393" t="s">
        <v>56</v>
      </c>
      <c r="P393" t="s">
        <v>63</v>
      </c>
      <c r="Q393" t="s">
        <v>2635</v>
      </c>
      <c r="R393" t="s">
        <v>2663</v>
      </c>
      <c r="S393" t="s">
        <v>68</v>
      </c>
      <c r="T393" t="s">
        <v>3073</v>
      </c>
      <c r="U393" t="s">
        <v>3074</v>
      </c>
      <c r="V393">
        <v>8</v>
      </c>
      <c r="W393" s="2">
        <v>401091.86396404973</v>
      </c>
    </row>
    <row r="394" spans="1:27" x14ac:dyDescent="0.25">
      <c r="A394" t="s">
        <v>31</v>
      </c>
      <c r="B394" t="s">
        <v>32</v>
      </c>
      <c r="C394" t="s">
        <v>33</v>
      </c>
      <c r="D394" t="s">
        <v>34</v>
      </c>
      <c r="E394" t="s">
        <v>35</v>
      </c>
      <c r="F394" t="s">
        <v>36</v>
      </c>
      <c r="G394">
        <v>1141685</v>
      </c>
      <c r="H394" t="s">
        <v>1351</v>
      </c>
      <c r="I394" t="s">
        <v>1353</v>
      </c>
      <c r="J394" t="s">
        <v>1351</v>
      </c>
      <c r="K394" t="s">
        <v>1357</v>
      </c>
      <c r="L394" s="1">
        <v>46169</v>
      </c>
      <c r="M394" s="1">
        <v>46169</v>
      </c>
      <c r="N394">
        <v>17236.726472443999</v>
      </c>
      <c r="O394" t="s">
        <v>56</v>
      </c>
      <c r="P394" t="s">
        <v>63</v>
      </c>
      <c r="Q394" t="s">
        <v>2635</v>
      </c>
      <c r="R394" t="s">
        <v>2663</v>
      </c>
      <c r="S394" t="s">
        <v>68</v>
      </c>
      <c r="T394" t="s">
        <v>3073</v>
      </c>
      <c r="U394" t="s">
        <v>3074</v>
      </c>
      <c r="V394">
        <v>8</v>
      </c>
      <c r="W394" s="2">
        <v>401091.86396404973</v>
      </c>
    </row>
    <row r="395" spans="1:27" x14ac:dyDescent="0.25">
      <c r="A395" t="s">
        <v>31</v>
      </c>
      <c r="B395" t="s">
        <v>32</v>
      </c>
      <c r="C395" t="s">
        <v>33</v>
      </c>
      <c r="D395" t="s">
        <v>34</v>
      </c>
      <c r="E395" t="s">
        <v>35</v>
      </c>
      <c r="F395" t="s">
        <v>36</v>
      </c>
      <c r="G395">
        <v>1141685</v>
      </c>
      <c r="H395" t="s">
        <v>1351</v>
      </c>
      <c r="I395" t="s">
        <v>1353</v>
      </c>
      <c r="J395" t="s">
        <v>1351</v>
      </c>
      <c r="K395" t="s">
        <v>1357</v>
      </c>
      <c r="L395" s="1">
        <v>46170</v>
      </c>
      <c r="M395" s="1">
        <v>46170</v>
      </c>
      <c r="N395">
        <v>17236.726472443999</v>
      </c>
      <c r="O395" t="s">
        <v>56</v>
      </c>
      <c r="P395" t="s">
        <v>63</v>
      </c>
      <c r="Q395" t="s">
        <v>2635</v>
      </c>
      <c r="R395" t="s">
        <v>2663</v>
      </c>
      <c r="S395" t="s">
        <v>68</v>
      </c>
      <c r="T395" t="s">
        <v>3073</v>
      </c>
      <c r="U395" t="s">
        <v>3074</v>
      </c>
      <c r="V395">
        <v>8</v>
      </c>
      <c r="W395" s="2">
        <v>401091.86396404973</v>
      </c>
    </row>
    <row r="396" spans="1:27" x14ac:dyDescent="0.25">
      <c r="A396" t="s">
        <v>31</v>
      </c>
      <c r="B396" t="s">
        <v>32</v>
      </c>
      <c r="C396" t="s">
        <v>33</v>
      </c>
      <c r="D396" t="s">
        <v>34</v>
      </c>
      <c r="E396" t="s">
        <v>35</v>
      </c>
      <c r="F396" t="s">
        <v>36</v>
      </c>
      <c r="G396">
        <v>1141685</v>
      </c>
      <c r="H396" t="s">
        <v>1351</v>
      </c>
      <c r="I396" t="s">
        <v>1353</v>
      </c>
      <c r="J396" t="s">
        <v>1351</v>
      </c>
      <c r="K396" t="s">
        <v>1357</v>
      </c>
      <c r="L396" s="1">
        <v>46171</v>
      </c>
      <c r="M396" s="1">
        <v>46171</v>
      </c>
      <c r="N396">
        <v>17236.726472443999</v>
      </c>
      <c r="O396" t="s">
        <v>56</v>
      </c>
      <c r="P396" t="s">
        <v>63</v>
      </c>
      <c r="Q396" t="s">
        <v>2635</v>
      </c>
      <c r="R396" t="s">
        <v>2663</v>
      </c>
      <c r="S396" t="s">
        <v>68</v>
      </c>
      <c r="T396" t="s">
        <v>3073</v>
      </c>
      <c r="U396" t="s">
        <v>3074</v>
      </c>
      <c r="V396">
        <v>8</v>
      </c>
      <c r="W396" s="2">
        <v>401091.86396404973</v>
      </c>
    </row>
    <row r="397" spans="1:27" x14ac:dyDescent="0.25">
      <c r="A397" t="s">
        <v>31</v>
      </c>
      <c r="B397" t="s">
        <v>32</v>
      </c>
      <c r="C397" t="s">
        <v>33</v>
      </c>
      <c r="D397" t="s">
        <v>34</v>
      </c>
      <c r="E397" t="s">
        <v>35</v>
      </c>
      <c r="F397" t="s">
        <v>36</v>
      </c>
      <c r="G397">
        <v>1141685</v>
      </c>
      <c r="H397" t="s">
        <v>1351</v>
      </c>
      <c r="I397" t="s">
        <v>1353</v>
      </c>
      <c r="J397" t="s">
        <v>1351</v>
      </c>
      <c r="K397" t="s">
        <v>1357</v>
      </c>
      <c r="L397" s="1">
        <v>46172</v>
      </c>
      <c r="M397" s="1">
        <v>46172</v>
      </c>
      <c r="N397">
        <v>17236.726472443999</v>
      </c>
      <c r="O397" t="s">
        <v>56</v>
      </c>
      <c r="P397" t="s">
        <v>63</v>
      </c>
      <c r="Q397" t="s">
        <v>2635</v>
      </c>
      <c r="R397" t="s">
        <v>2663</v>
      </c>
      <c r="S397" t="s">
        <v>68</v>
      </c>
      <c r="T397" t="s">
        <v>3073</v>
      </c>
      <c r="U397" t="s">
        <v>3074</v>
      </c>
      <c r="V397">
        <v>8</v>
      </c>
      <c r="W397" s="2">
        <v>401091.86396404973</v>
      </c>
    </row>
    <row r="398" spans="1:27" x14ac:dyDescent="0.25">
      <c r="A398" t="s">
        <v>31</v>
      </c>
      <c r="B398" t="s">
        <v>32</v>
      </c>
      <c r="C398" t="s">
        <v>33</v>
      </c>
      <c r="D398" t="s">
        <v>34</v>
      </c>
      <c r="E398" t="s">
        <v>35</v>
      </c>
      <c r="F398" t="s">
        <v>36</v>
      </c>
      <c r="G398">
        <v>1141685</v>
      </c>
      <c r="H398" t="s">
        <v>1351</v>
      </c>
      <c r="I398" t="s">
        <v>1353</v>
      </c>
      <c r="J398" t="s">
        <v>1351</v>
      </c>
      <c r="K398" t="s">
        <v>1357</v>
      </c>
      <c r="L398" s="1">
        <v>46173</v>
      </c>
      <c r="M398" s="1">
        <v>46173</v>
      </c>
      <c r="N398">
        <v>17236.726472443999</v>
      </c>
      <c r="O398" t="s">
        <v>56</v>
      </c>
      <c r="P398" t="s">
        <v>63</v>
      </c>
      <c r="Q398" t="s">
        <v>2635</v>
      </c>
      <c r="R398" t="s">
        <v>2663</v>
      </c>
      <c r="S398" t="s">
        <v>68</v>
      </c>
      <c r="T398" t="s">
        <v>3073</v>
      </c>
      <c r="U398" t="s">
        <v>3074</v>
      </c>
      <c r="V398">
        <v>8</v>
      </c>
      <c r="W398" s="2">
        <v>401091.86396405293</v>
      </c>
    </row>
    <row r="399" spans="1:27" x14ac:dyDescent="0.25">
      <c r="A399" t="s">
        <v>31</v>
      </c>
      <c r="B399" t="s">
        <v>32</v>
      </c>
      <c r="C399" t="s">
        <v>33</v>
      </c>
      <c r="D399" t="s">
        <v>34</v>
      </c>
      <c r="E399" t="s">
        <v>35</v>
      </c>
      <c r="F399" t="s">
        <v>36</v>
      </c>
      <c r="G399">
        <v>1141685</v>
      </c>
      <c r="H399" t="s">
        <v>39</v>
      </c>
      <c r="I399" t="s">
        <v>43</v>
      </c>
      <c r="J399" t="s">
        <v>46</v>
      </c>
      <c r="K399" t="s">
        <v>49</v>
      </c>
      <c r="L399" s="1">
        <v>46143</v>
      </c>
      <c r="M399" s="1">
        <v>46173</v>
      </c>
      <c r="N399">
        <v>271.27102500000001</v>
      </c>
      <c r="O399" t="s">
        <v>60</v>
      </c>
      <c r="P399" t="s">
        <v>63</v>
      </c>
      <c r="R399" t="s">
        <v>64</v>
      </c>
      <c r="S399" t="s">
        <v>68</v>
      </c>
      <c r="T399" t="s">
        <v>69</v>
      </c>
      <c r="U399" t="s">
        <v>72</v>
      </c>
      <c r="V399">
        <v>6</v>
      </c>
      <c r="W399" s="2">
        <v>3312816.0101243998</v>
      </c>
      <c r="X399" s="2"/>
      <c r="Y399" s="2"/>
      <c r="Z399" s="2"/>
      <c r="AA399" s="2"/>
    </row>
    <row r="400" spans="1:27" x14ac:dyDescent="0.25">
      <c r="A400" t="s">
        <v>31</v>
      </c>
      <c r="B400" t="s">
        <v>32</v>
      </c>
      <c r="C400" t="s">
        <v>33</v>
      </c>
      <c r="D400" t="s">
        <v>34</v>
      </c>
      <c r="E400" t="s">
        <v>35</v>
      </c>
      <c r="F400" t="s">
        <v>36</v>
      </c>
      <c r="G400">
        <v>1141685</v>
      </c>
      <c r="H400" t="s">
        <v>3065</v>
      </c>
      <c r="I400" t="s">
        <v>42</v>
      </c>
      <c r="J400" t="s">
        <v>3065</v>
      </c>
      <c r="K400" t="s">
        <v>3066</v>
      </c>
      <c r="L400" s="4">
        <v>46173</v>
      </c>
      <c r="M400" s="4">
        <v>46173</v>
      </c>
      <c r="N400">
        <v>10974.93</v>
      </c>
      <c r="O400" t="s">
        <v>59</v>
      </c>
      <c r="P400" t="s">
        <v>63</v>
      </c>
      <c r="Q400" t="s">
        <v>3876</v>
      </c>
      <c r="R400" t="s">
        <v>3877</v>
      </c>
      <c r="S400" t="s">
        <v>66</v>
      </c>
      <c r="T400" t="s">
        <v>3878</v>
      </c>
      <c r="U400" t="s">
        <v>3879</v>
      </c>
      <c r="V400">
        <v>7</v>
      </c>
      <c r="W400" s="3">
        <v>278556</v>
      </c>
    </row>
    <row r="401" spans="1:23" x14ac:dyDescent="0.25">
      <c r="A401" t="s">
        <v>31</v>
      </c>
      <c r="B401" t="s">
        <v>32</v>
      </c>
      <c r="C401" t="s">
        <v>33</v>
      </c>
      <c r="D401" t="s">
        <v>34</v>
      </c>
      <c r="E401" t="s">
        <v>35</v>
      </c>
      <c r="F401" t="s">
        <v>36</v>
      </c>
      <c r="G401">
        <v>1141685</v>
      </c>
      <c r="H401" t="s">
        <v>3065</v>
      </c>
      <c r="I401" t="s">
        <v>42</v>
      </c>
      <c r="J401" t="s">
        <v>3065</v>
      </c>
      <c r="K401" t="s">
        <v>3066</v>
      </c>
      <c r="L401" s="4">
        <v>46173</v>
      </c>
      <c r="M401" s="4">
        <v>46173</v>
      </c>
      <c r="N401">
        <v>10974.93</v>
      </c>
      <c r="O401" t="s">
        <v>59</v>
      </c>
      <c r="P401" t="s">
        <v>63</v>
      </c>
      <c r="Q401" t="s">
        <v>3876</v>
      </c>
      <c r="R401" t="s">
        <v>3877</v>
      </c>
      <c r="S401" t="s">
        <v>66</v>
      </c>
      <c r="T401" t="s">
        <v>3878</v>
      </c>
      <c r="U401" t="s">
        <v>3879</v>
      </c>
      <c r="V401">
        <v>7</v>
      </c>
      <c r="W401" s="3">
        <v>278556</v>
      </c>
    </row>
    <row r="402" spans="1:23" x14ac:dyDescent="0.25">
      <c r="A402" t="s">
        <v>31</v>
      </c>
      <c r="B402" t="s">
        <v>32</v>
      </c>
      <c r="C402" t="s">
        <v>33</v>
      </c>
      <c r="D402" t="s">
        <v>34</v>
      </c>
      <c r="E402" t="s">
        <v>35</v>
      </c>
      <c r="F402" t="s">
        <v>36</v>
      </c>
      <c r="G402">
        <v>1141685</v>
      </c>
      <c r="H402" t="s">
        <v>3065</v>
      </c>
      <c r="I402" t="s">
        <v>42</v>
      </c>
      <c r="J402" t="s">
        <v>3065</v>
      </c>
      <c r="K402" t="s">
        <v>3066</v>
      </c>
      <c r="L402" s="4">
        <v>46173</v>
      </c>
      <c r="M402" s="4">
        <v>46173</v>
      </c>
      <c r="N402">
        <v>10974.93</v>
      </c>
      <c r="O402" t="s">
        <v>59</v>
      </c>
      <c r="P402" t="s">
        <v>63</v>
      </c>
      <c r="Q402" t="s">
        <v>3876</v>
      </c>
      <c r="R402" t="s">
        <v>3877</v>
      </c>
      <c r="S402" t="s">
        <v>66</v>
      </c>
      <c r="T402" t="s">
        <v>3878</v>
      </c>
      <c r="U402" t="s">
        <v>3879</v>
      </c>
      <c r="V402">
        <v>7</v>
      </c>
      <c r="W402" s="3">
        <v>278556</v>
      </c>
    </row>
    <row r="403" spans="1:23" x14ac:dyDescent="0.25">
      <c r="A403" t="s">
        <v>31</v>
      </c>
      <c r="B403" t="s">
        <v>32</v>
      </c>
      <c r="C403" t="s">
        <v>33</v>
      </c>
      <c r="D403" t="s">
        <v>34</v>
      </c>
      <c r="E403" t="s">
        <v>35</v>
      </c>
      <c r="F403" t="s">
        <v>36</v>
      </c>
      <c r="G403">
        <v>1141685</v>
      </c>
      <c r="H403" t="s">
        <v>3065</v>
      </c>
      <c r="I403" t="s">
        <v>42</v>
      </c>
      <c r="J403" t="s">
        <v>3065</v>
      </c>
      <c r="K403" t="s">
        <v>3066</v>
      </c>
      <c r="L403" s="4">
        <v>46173</v>
      </c>
      <c r="M403" s="4">
        <v>46173</v>
      </c>
      <c r="N403">
        <v>10974.93</v>
      </c>
      <c r="O403" t="s">
        <v>59</v>
      </c>
      <c r="P403" t="s">
        <v>63</v>
      </c>
      <c r="Q403" t="s">
        <v>3876</v>
      </c>
      <c r="R403" t="s">
        <v>3877</v>
      </c>
      <c r="S403" t="s">
        <v>66</v>
      </c>
      <c r="T403" t="s">
        <v>3878</v>
      </c>
      <c r="U403" t="s">
        <v>3879</v>
      </c>
      <c r="V403">
        <v>7</v>
      </c>
      <c r="W403" s="3">
        <v>278556</v>
      </c>
    </row>
    <row r="404" spans="1:23" x14ac:dyDescent="0.25">
      <c r="A404" t="s">
        <v>31</v>
      </c>
      <c r="B404" t="s">
        <v>32</v>
      </c>
      <c r="C404" t="s">
        <v>33</v>
      </c>
      <c r="D404" t="s">
        <v>34</v>
      </c>
      <c r="E404" t="s">
        <v>35</v>
      </c>
      <c r="F404" t="s">
        <v>36</v>
      </c>
      <c r="G404">
        <v>1141685</v>
      </c>
      <c r="H404" t="s">
        <v>3065</v>
      </c>
      <c r="I404" t="s">
        <v>42</v>
      </c>
      <c r="J404" t="s">
        <v>3065</v>
      </c>
      <c r="K404" t="s">
        <v>3066</v>
      </c>
      <c r="L404" s="4">
        <v>46173</v>
      </c>
      <c r="M404" s="4">
        <v>46173</v>
      </c>
      <c r="N404">
        <v>10974.93</v>
      </c>
      <c r="O404" t="s">
        <v>59</v>
      </c>
      <c r="P404" t="s">
        <v>63</v>
      </c>
      <c r="Q404" t="s">
        <v>3876</v>
      </c>
      <c r="R404" t="s">
        <v>3877</v>
      </c>
      <c r="S404" t="s">
        <v>66</v>
      </c>
      <c r="T404" t="s">
        <v>3878</v>
      </c>
      <c r="U404" t="s">
        <v>3879</v>
      </c>
      <c r="V404">
        <v>7</v>
      </c>
      <c r="W404" s="3">
        <v>278556</v>
      </c>
    </row>
    <row r="405" spans="1:23" x14ac:dyDescent="0.25">
      <c r="A405" t="s">
        <v>31</v>
      </c>
      <c r="B405" t="s">
        <v>32</v>
      </c>
      <c r="C405" t="s">
        <v>33</v>
      </c>
      <c r="D405" t="s">
        <v>34</v>
      </c>
      <c r="E405" t="s">
        <v>35</v>
      </c>
      <c r="F405" t="s">
        <v>36</v>
      </c>
      <c r="G405">
        <v>1141685</v>
      </c>
      <c r="H405" t="s">
        <v>3065</v>
      </c>
      <c r="I405" t="s">
        <v>42</v>
      </c>
      <c r="J405" t="s">
        <v>3065</v>
      </c>
      <c r="K405" t="s">
        <v>3066</v>
      </c>
      <c r="L405" s="4">
        <v>46173</v>
      </c>
      <c r="M405" s="4">
        <v>46173</v>
      </c>
      <c r="N405">
        <v>10974.93</v>
      </c>
      <c r="O405" t="s">
        <v>59</v>
      </c>
      <c r="P405" t="s">
        <v>63</v>
      </c>
      <c r="Q405" t="s">
        <v>3876</v>
      </c>
      <c r="R405" t="s">
        <v>3877</v>
      </c>
      <c r="S405" t="s">
        <v>66</v>
      </c>
      <c r="T405" t="s">
        <v>3878</v>
      </c>
      <c r="U405" t="s">
        <v>3879</v>
      </c>
      <c r="V405">
        <v>7</v>
      </c>
      <c r="W405" s="3">
        <v>278556</v>
      </c>
    </row>
    <row r="406" spans="1:23" x14ac:dyDescent="0.25">
      <c r="A406" t="s">
        <v>31</v>
      </c>
      <c r="B406" t="s">
        <v>32</v>
      </c>
      <c r="C406" t="s">
        <v>33</v>
      </c>
      <c r="D406" t="s">
        <v>34</v>
      </c>
      <c r="E406" t="s">
        <v>35</v>
      </c>
      <c r="F406" t="s">
        <v>36</v>
      </c>
      <c r="G406">
        <v>1141685</v>
      </c>
      <c r="H406" t="s">
        <v>3065</v>
      </c>
      <c r="I406" t="s">
        <v>42</v>
      </c>
      <c r="J406" t="s">
        <v>3065</v>
      </c>
      <c r="K406" t="s">
        <v>3066</v>
      </c>
      <c r="L406" s="4">
        <v>46173</v>
      </c>
      <c r="M406" s="4">
        <v>46173</v>
      </c>
      <c r="N406">
        <v>10974.93</v>
      </c>
      <c r="O406" t="s">
        <v>59</v>
      </c>
      <c r="P406" t="s">
        <v>63</v>
      </c>
      <c r="Q406" t="s">
        <v>3876</v>
      </c>
      <c r="R406" t="s">
        <v>3877</v>
      </c>
      <c r="S406" t="s">
        <v>66</v>
      </c>
      <c r="T406" t="s">
        <v>3878</v>
      </c>
      <c r="U406" t="s">
        <v>3879</v>
      </c>
      <c r="V406">
        <v>7</v>
      </c>
      <c r="W406" s="3">
        <v>278556</v>
      </c>
    </row>
    <row r="407" spans="1:23" x14ac:dyDescent="0.25">
      <c r="A407" t="s">
        <v>31</v>
      </c>
      <c r="B407" t="s">
        <v>32</v>
      </c>
      <c r="C407" t="s">
        <v>33</v>
      </c>
      <c r="D407" t="s">
        <v>34</v>
      </c>
      <c r="E407" t="s">
        <v>35</v>
      </c>
      <c r="F407" t="s">
        <v>36</v>
      </c>
      <c r="G407">
        <v>1141685</v>
      </c>
      <c r="H407" t="s">
        <v>3065</v>
      </c>
      <c r="I407" t="s">
        <v>42</v>
      </c>
      <c r="J407" t="s">
        <v>3065</v>
      </c>
      <c r="K407" t="s">
        <v>3066</v>
      </c>
      <c r="L407" s="4">
        <v>46173</v>
      </c>
      <c r="M407" s="4">
        <v>46173</v>
      </c>
      <c r="N407">
        <v>10974.93</v>
      </c>
      <c r="O407" t="s">
        <v>59</v>
      </c>
      <c r="P407" t="s">
        <v>63</v>
      </c>
      <c r="Q407" t="s">
        <v>3876</v>
      </c>
      <c r="R407" t="s">
        <v>3877</v>
      </c>
      <c r="S407" t="s">
        <v>66</v>
      </c>
      <c r="T407" t="s">
        <v>3878</v>
      </c>
      <c r="U407" t="s">
        <v>3879</v>
      </c>
      <c r="V407">
        <v>7</v>
      </c>
      <c r="W407" s="3">
        <v>278556</v>
      </c>
    </row>
    <row r="408" spans="1:23" x14ac:dyDescent="0.25">
      <c r="A408" t="s">
        <v>31</v>
      </c>
      <c r="B408" t="s">
        <v>32</v>
      </c>
      <c r="C408" t="s">
        <v>33</v>
      </c>
      <c r="D408" t="s">
        <v>34</v>
      </c>
      <c r="E408" t="s">
        <v>35</v>
      </c>
      <c r="F408" t="s">
        <v>36</v>
      </c>
      <c r="G408">
        <v>1141685</v>
      </c>
      <c r="H408" t="s">
        <v>3065</v>
      </c>
      <c r="I408" t="s">
        <v>42</v>
      </c>
      <c r="J408" t="s">
        <v>3065</v>
      </c>
      <c r="K408" t="s">
        <v>3066</v>
      </c>
      <c r="L408" s="4">
        <v>46173</v>
      </c>
      <c r="M408" s="4">
        <v>46173</v>
      </c>
      <c r="N408">
        <v>10974.93</v>
      </c>
      <c r="O408" t="s">
        <v>59</v>
      </c>
      <c r="P408" t="s">
        <v>63</v>
      </c>
      <c r="Q408" t="s">
        <v>3876</v>
      </c>
      <c r="R408" t="s">
        <v>3877</v>
      </c>
      <c r="S408" t="s">
        <v>66</v>
      </c>
      <c r="T408" t="s">
        <v>3878</v>
      </c>
      <c r="U408" t="s">
        <v>3879</v>
      </c>
      <c r="V408">
        <v>7</v>
      </c>
      <c r="W408" s="3">
        <v>278556</v>
      </c>
    </row>
    <row r="409" spans="1:23" x14ac:dyDescent="0.25">
      <c r="A409" t="s">
        <v>31</v>
      </c>
      <c r="B409" t="s">
        <v>32</v>
      </c>
      <c r="C409" t="s">
        <v>33</v>
      </c>
      <c r="D409" t="s">
        <v>34</v>
      </c>
      <c r="E409" t="s">
        <v>35</v>
      </c>
      <c r="F409" t="s">
        <v>36</v>
      </c>
      <c r="G409">
        <v>1141685</v>
      </c>
      <c r="H409" t="s">
        <v>3065</v>
      </c>
      <c r="I409" t="s">
        <v>42</v>
      </c>
      <c r="J409" t="s">
        <v>3065</v>
      </c>
      <c r="K409" t="s">
        <v>3066</v>
      </c>
      <c r="L409" s="4">
        <v>46173</v>
      </c>
      <c r="M409" s="4">
        <v>46173</v>
      </c>
      <c r="N409">
        <v>10974.93</v>
      </c>
      <c r="O409" t="s">
        <v>59</v>
      </c>
      <c r="P409" t="s">
        <v>63</v>
      </c>
      <c r="Q409" t="s">
        <v>3876</v>
      </c>
      <c r="R409" t="s">
        <v>3877</v>
      </c>
      <c r="S409" t="s">
        <v>66</v>
      </c>
      <c r="T409" t="s">
        <v>3878</v>
      </c>
      <c r="U409" t="s">
        <v>3879</v>
      </c>
      <c r="V409">
        <v>7</v>
      </c>
      <c r="W409" s="3">
        <v>278556</v>
      </c>
    </row>
    <row r="410" spans="1:23" x14ac:dyDescent="0.25">
      <c r="A410" t="s">
        <v>31</v>
      </c>
      <c r="B410" t="s">
        <v>32</v>
      </c>
      <c r="C410" t="s">
        <v>33</v>
      </c>
      <c r="D410" t="s">
        <v>34</v>
      </c>
      <c r="E410" t="s">
        <v>35</v>
      </c>
      <c r="F410" t="s">
        <v>36</v>
      </c>
      <c r="G410">
        <v>1141685</v>
      </c>
      <c r="H410" t="s">
        <v>3065</v>
      </c>
      <c r="I410" t="s">
        <v>42</v>
      </c>
      <c r="J410" t="s">
        <v>3065</v>
      </c>
      <c r="K410" t="s">
        <v>3066</v>
      </c>
      <c r="L410" s="4">
        <v>46173</v>
      </c>
      <c r="M410" s="4">
        <v>46173</v>
      </c>
      <c r="N410">
        <v>10974.93</v>
      </c>
      <c r="O410" t="s">
        <v>59</v>
      </c>
      <c r="P410" t="s">
        <v>63</v>
      </c>
      <c r="Q410" t="s">
        <v>3876</v>
      </c>
      <c r="R410" t="s">
        <v>3877</v>
      </c>
      <c r="S410" t="s">
        <v>66</v>
      </c>
      <c r="T410" t="s">
        <v>3878</v>
      </c>
      <c r="U410" t="s">
        <v>3879</v>
      </c>
      <c r="V410">
        <v>7</v>
      </c>
      <c r="W410" s="3">
        <v>278556</v>
      </c>
    </row>
    <row r="411" spans="1:23" x14ac:dyDescent="0.25">
      <c r="A411" t="s">
        <v>31</v>
      </c>
      <c r="B411" t="s">
        <v>32</v>
      </c>
      <c r="C411" t="s">
        <v>33</v>
      </c>
      <c r="D411" t="s">
        <v>34</v>
      </c>
      <c r="E411" t="s">
        <v>35</v>
      </c>
      <c r="F411" t="s">
        <v>36</v>
      </c>
      <c r="G411">
        <v>1141685</v>
      </c>
      <c r="H411" t="s">
        <v>3065</v>
      </c>
      <c r="I411" t="s">
        <v>42</v>
      </c>
      <c r="J411" t="s">
        <v>3065</v>
      </c>
      <c r="K411" t="s">
        <v>3066</v>
      </c>
      <c r="L411" s="4">
        <v>46173</v>
      </c>
      <c r="M411" s="4">
        <v>46173</v>
      </c>
      <c r="N411">
        <v>10974.93</v>
      </c>
      <c r="O411" t="s">
        <v>59</v>
      </c>
      <c r="P411" t="s">
        <v>63</v>
      </c>
      <c r="Q411" t="s">
        <v>3876</v>
      </c>
      <c r="R411" t="s">
        <v>3877</v>
      </c>
      <c r="S411" t="s">
        <v>66</v>
      </c>
      <c r="T411" t="s">
        <v>3878</v>
      </c>
      <c r="U411" t="s">
        <v>3879</v>
      </c>
      <c r="V411">
        <v>7</v>
      </c>
      <c r="W411" s="3">
        <v>278556</v>
      </c>
    </row>
    <row r="412" spans="1:23" x14ac:dyDescent="0.25">
      <c r="A412" t="s">
        <v>31</v>
      </c>
      <c r="B412" t="s">
        <v>32</v>
      </c>
      <c r="C412" t="s">
        <v>33</v>
      </c>
      <c r="D412" t="s">
        <v>34</v>
      </c>
      <c r="E412" t="s">
        <v>35</v>
      </c>
      <c r="F412" t="s">
        <v>36</v>
      </c>
      <c r="G412">
        <v>1141685</v>
      </c>
      <c r="H412" t="s">
        <v>3065</v>
      </c>
      <c r="I412" t="s">
        <v>42</v>
      </c>
      <c r="J412" t="s">
        <v>3065</v>
      </c>
      <c r="K412" t="s">
        <v>3066</v>
      </c>
      <c r="L412" s="4">
        <v>46173</v>
      </c>
      <c r="M412" s="4">
        <v>46173</v>
      </c>
      <c r="N412">
        <v>10974.93</v>
      </c>
      <c r="O412" t="s">
        <v>59</v>
      </c>
      <c r="P412" t="s">
        <v>63</v>
      </c>
      <c r="Q412" t="s">
        <v>3876</v>
      </c>
      <c r="R412" t="s">
        <v>3877</v>
      </c>
      <c r="S412" t="s">
        <v>66</v>
      </c>
      <c r="T412" t="s">
        <v>3878</v>
      </c>
      <c r="U412" t="s">
        <v>3879</v>
      </c>
      <c r="V412">
        <v>7</v>
      </c>
      <c r="W412" s="3">
        <v>278556</v>
      </c>
    </row>
    <row r="413" spans="1:23" x14ac:dyDescent="0.25">
      <c r="A413" t="s">
        <v>31</v>
      </c>
      <c r="B413" t="s">
        <v>32</v>
      </c>
      <c r="C413" t="s">
        <v>33</v>
      </c>
      <c r="D413" t="s">
        <v>34</v>
      </c>
      <c r="E413" t="s">
        <v>35</v>
      </c>
      <c r="F413" t="s">
        <v>36</v>
      </c>
      <c r="G413">
        <v>1141685</v>
      </c>
      <c r="H413" t="s">
        <v>3065</v>
      </c>
      <c r="I413" t="s">
        <v>42</v>
      </c>
      <c r="J413" t="s">
        <v>3065</v>
      </c>
      <c r="K413" t="s">
        <v>3066</v>
      </c>
      <c r="L413" s="4">
        <v>46173</v>
      </c>
      <c r="M413" s="4">
        <v>46173</v>
      </c>
      <c r="N413">
        <v>10974.93</v>
      </c>
      <c r="O413" t="s">
        <v>59</v>
      </c>
      <c r="P413" t="s">
        <v>63</v>
      </c>
      <c r="Q413" t="s">
        <v>3876</v>
      </c>
      <c r="R413" t="s">
        <v>3877</v>
      </c>
      <c r="S413" t="s">
        <v>66</v>
      </c>
      <c r="T413" t="s">
        <v>3878</v>
      </c>
      <c r="U413" t="s">
        <v>3879</v>
      </c>
      <c r="V413">
        <v>7</v>
      </c>
      <c r="W413" s="3">
        <v>278556</v>
      </c>
    </row>
    <row r="414" spans="1:23" x14ac:dyDescent="0.25">
      <c r="A414" t="s">
        <v>31</v>
      </c>
      <c r="B414" t="s">
        <v>32</v>
      </c>
      <c r="C414" t="s">
        <v>33</v>
      </c>
      <c r="D414" t="s">
        <v>34</v>
      </c>
      <c r="E414" t="s">
        <v>35</v>
      </c>
      <c r="F414" t="s">
        <v>36</v>
      </c>
      <c r="G414">
        <v>1141685</v>
      </c>
      <c r="H414" t="s">
        <v>3065</v>
      </c>
      <c r="I414" t="s">
        <v>42</v>
      </c>
      <c r="J414" t="s">
        <v>3065</v>
      </c>
      <c r="K414" t="s">
        <v>3066</v>
      </c>
      <c r="L414" s="4">
        <v>46173</v>
      </c>
      <c r="M414" s="4">
        <v>46173</v>
      </c>
      <c r="N414">
        <v>10974.93</v>
      </c>
      <c r="O414" t="s">
        <v>59</v>
      </c>
      <c r="P414" t="s">
        <v>63</v>
      </c>
      <c r="Q414" t="s">
        <v>3876</v>
      </c>
      <c r="R414" t="s">
        <v>3877</v>
      </c>
      <c r="S414" t="s">
        <v>66</v>
      </c>
      <c r="T414" t="s">
        <v>3878</v>
      </c>
      <c r="U414" t="s">
        <v>3879</v>
      </c>
      <c r="V414">
        <v>7</v>
      </c>
      <c r="W414" s="3">
        <v>278556</v>
      </c>
    </row>
    <row r="415" spans="1:23" x14ac:dyDescent="0.25">
      <c r="A415" t="s">
        <v>31</v>
      </c>
      <c r="B415" t="s">
        <v>32</v>
      </c>
      <c r="C415" t="s">
        <v>33</v>
      </c>
      <c r="D415" t="s">
        <v>34</v>
      </c>
      <c r="E415" t="s">
        <v>35</v>
      </c>
      <c r="F415" t="s">
        <v>36</v>
      </c>
      <c r="G415">
        <v>1141685</v>
      </c>
      <c r="H415" t="s">
        <v>3065</v>
      </c>
      <c r="I415" t="s">
        <v>42</v>
      </c>
      <c r="J415" t="s">
        <v>3065</v>
      </c>
      <c r="K415" t="s">
        <v>3066</v>
      </c>
      <c r="L415" s="4">
        <v>46173</v>
      </c>
      <c r="M415" s="4">
        <v>46173</v>
      </c>
      <c r="N415">
        <v>10974.93</v>
      </c>
      <c r="O415" t="s">
        <v>59</v>
      </c>
      <c r="P415" t="s">
        <v>63</v>
      </c>
      <c r="Q415" t="s">
        <v>3876</v>
      </c>
      <c r="R415" t="s">
        <v>3877</v>
      </c>
      <c r="S415" t="s">
        <v>66</v>
      </c>
      <c r="T415" t="s">
        <v>3878</v>
      </c>
      <c r="U415" t="s">
        <v>3879</v>
      </c>
      <c r="V415">
        <v>7</v>
      </c>
      <c r="W415" s="3">
        <v>278556</v>
      </c>
    </row>
    <row r="416" spans="1:23" x14ac:dyDescent="0.25">
      <c r="A416" t="s">
        <v>31</v>
      </c>
      <c r="B416" t="s">
        <v>32</v>
      </c>
      <c r="C416" t="s">
        <v>33</v>
      </c>
      <c r="D416" t="s">
        <v>34</v>
      </c>
      <c r="E416" t="s">
        <v>35</v>
      </c>
      <c r="F416" t="s">
        <v>36</v>
      </c>
      <c r="G416">
        <v>1141685</v>
      </c>
      <c r="H416" t="s">
        <v>3065</v>
      </c>
      <c r="I416" t="s">
        <v>42</v>
      </c>
      <c r="J416" t="s">
        <v>3065</v>
      </c>
      <c r="K416" t="s">
        <v>3066</v>
      </c>
      <c r="L416" s="4">
        <v>46173</v>
      </c>
      <c r="M416" s="4">
        <v>46173</v>
      </c>
      <c r="N416">
        <v>10974.93</v>
      </c>
      <c r="O416" t="s">
        <v>59</v>
      </c>
      <c r="P416" t="s">
        <v>63</v>
      </c>
      <c r="Q416" t="s">
        <v>3876</v>
      </c>
      <c r="R416" t="s">
        <v>3877</v>
      </c>
      <c r="S416" t="s">
        <v>66</v>
      </c>
      <c r="T416" t="s">
        <v>3878</v>
      </c>
      <c r="U416" t="s">
        <v>3879</v>
      </c>
      <c r="V416">
        <v>7</v>
      </c>
      <c r="W416" s="3">
        <v>278556</v>
      </c>
    </row>
    <row r="417" spans="1:23" x14ac:dyDescent="0.25">
      <c r="A417" t="s">
        <v>31</v>
      </c>
      <c r="B417" t="s">
        <v>32</v>
      </c>
      <c r="C417" t="s">
        <v>33</v>
      </c>
      <c r="D417" t="s">
        <v>34</v>
      </c>
      <c r="E417" t="s">
        <v>35</v>
      </c>
      <c r="F417" t="s">
        <v>36</v>
      </c>
      <c r="G417">
        <v>1141685</v>
      </c>
      <c r="H417" t="s">
        <v>3065</v>
      </c>
      <c r="I417" t="s">
        <v>42</v>
      </c>
      <c r="J417" t="s">
        <v>3065</v>
      </c>
      <c r="K417" t="s">
        <v>3066</v>
      </c>
      <c r="L417" s="4">
        <v>46173</v>
      </c>
      <c r="M417" s="4">
        <v>46173</v>
      </c>
      <c r="N417">
        <v>10974.93</v>
      </c>
      <c r="O417" t="s">
        <v>59</v>
      </c>
      <c r="P417" t="s">
        <v>63</v>
      </c>
      <c r="Q417" t="s">
        <v>3876</v>
      </c>
      <c r="R417" t="s">
        <v>3877</v>
      </c>
      <c r="S417" t="s">
        <v>66</v>
      </c>
      <c r="T417" t="s">
        <v>3878</v>
      </c>
      <c r="U417" t="s">
        <v>3879</v>
      </c>
      <c r="V417">
        <v>7</v>
      </c>
      <c r="W417" s="3">
        <v>278556</v>
      </c>
    </row>
    <row r="418" spans="1:23" x14ac:dyDescent="0.25">
      <c r="A418" t="s">
        <v>31</v>
      </c>
      <c r="B418" t="s">
        <v>32</v>
      </c>
      <c r="C418" t="s">
        <v>33</v>
      </c>
      <c r="D418" t="s">
        <v>34</v>
      </c>
      <c r="E418" t="s">
        <v>35</v>
      </c>
      <c r="F418" t="s">
        <v>36</v>
      </c>
      <c r="G418">
        <v>1141685</v>
      </c>
      <c r="H418" t="s">
        <v>3065</v>
      </c>
      <c r="I418" t="s">
        <v>42</v>
      </c>
      <c r="J418" t="s">
        <v>3065</v>
      </c>
      <c r="K418" t="s">
        <v>3066</v>
      </c>
      <c r="L418" s="4">
        <v>46173</v>
      </c>
      <c r="M418" s="4">
        <v>46173</v>
      </c>
      <c r="N418">
        <v>10974.93</v>
      </c>
      <c r="O418" t="s">
        <v>59</v>
      </c>
      <c r="P418" t="s">
        <v>63</v>
      </c>
      <c r="Q418" t="s">
        <v>3876</v>
      </c>
      <c r="R418" t="s">
        <v>3877</v>
      </c>
      <c r="S418" t="s">
        <v>66</v>
      </c>
      <c r="T418" t="s">
        <v>3878</v>
      </c>
      <c r="U418" t="s">
        <v>3879</v>
      </c>
      <c r="V418">
        <v>7</v>
      </c>
      <c r="W418" s="3">
        <v>278556</v>
      </c>
    </row>
    <row r="419" spans="1:23" x14ac:dyDescent="0.25">
      <c r="A419" t="s">
        <v>31</v>
      </c>
      <c r="B419" t="s">
        <v>32</v>
      </c>
      <c r="C419" t="s">
        <v>33</v>
      </c>
      <c r="D419" t="s">
        <v>34</v>
      </c>
      <c r="E419" t="s">
        <v>35</v>
      </c>
      <c r="F419" t="s">
        <v>36</v>
      </c>
      <c r="G419">
        <v>1141685</v>
      </c>
      <c r="H419" t="s">
        <v>3065</v>
      </c>
      <c r="I419" t="s">
        <v>42</v>
      </c>
      <c r="J419" t="s">
        <v>3065</v>
      </c>
      <c r="K419" t="s">
        <v>3066</v>
      </c>
      <c r="L419" s="4">
        <v>46173</v>
      </c>
      <c r="M419" s="4">
        <v>46173</v>
      </c>
      <c r="N419">
        <v>10974.93</v>
      </c>
      <c r="O419" t="s">
        <v>59</v>
      </c>
      <c r="P419" t="s">
        <v>63</v>
      </c>
      <c r="Q419" t="s">
        <v>3876</v>
      </c>
      <c r="R419" t="s">
        <v>3877</v>
      </c>
      <c r="S419" t="s">
        <v>66</v>
      </c>
      <c r="T419" t="s">
        <v>3878</v>
      </c>
      <c r="U419" t="s">
        <v>3879</v>
      </c>
      <c r="V419">
        <v>7</v>
      </c>
      <c r="W419" s="3">
        <v>278556</v>
      </c>
    </row>
    <row r="420" spans="1:23" x14ac:dyDescent="0.25">
      <c r="A420" t="s">
        <v>31</v>
      </c>
      <c r="B420" t="s">
        <v>32</v>
      </c>
      <c r="C420" t="s">
        <v>33</v>
      </c>
      <c r="D420" t="s">
        <v>34</v>
      </c>
      <c r="E420" t="s">
        <v>35</v>
      </c>
      <c r="F420" t="s">
        <v>36</v>
      </c>
      <c r="G420">
        <v>1141685</v>
      </c>
      <c r="H420" t="s">
        <v>3065</v>
      </c>
      <c r="I420" t="s">
        <v>42</v>
      </c>
      <c r="J420" t="s">
        <v>3065</v>
      </c>
      <c r="K420" t="s">
        <v>3066</v>
      </c>
      <c r="L420" s="4">
        <v>46173</v>
      </c>
      <c r="M420" s="4">
        <v>46173</v>
      </c>
      <c r="N420">
        <v>10974.93</v>
      </c>
      <c r="O420" t="s">
        <v>59</v>
      </c>
      <c r="P420" t="s">
        <v>63</v>
      </c>
      <c r="Q420" t="s">
        <v>3876</v>
      </c>
      <c r="R420" t="s">
        <v>3877</v>
      </c>
      <c r="S420" t="s">
        <v>66</v>
      </c>
      <c r="T420" t="s">
        <v>3878</v>
      </c>
      <c r="U420" t="s">
        <v>3879</v>
      </c>
      <c r="V420">
        <v>7</v>
      </c>
      <c r="W420" s="3">
        <v>278556</v>
      </c>
    </row>
    <row r="421" spans="1:23" x14ac:dyDescent="0.25">
      <c r="A421" t="s">
        <v>31</v>
      </c>
      <c r="B421" t="s">
        <v>32</v>
      </c>
      <c r="C421" t="s">
        <v>33</v>
      </c>
      <c r="D421" t="s">
        <v>34</v>
      </c>
      <c r="E421" t="s">
        <v>35</v>
      </c>
      <c r="F421" t="s">
        <v>36</v>
      </c>
      <c r="G421">
        <v>1141685</v>
      </c>
      <c r="H421" t="s">
        <v>3065</v>
      </c>
      <c r="I421" t="s">
        <v>42</v>
      </c>
      <c r="J421" t="s">
        <v>3065</v>
      </c>
      <c r="K421" t="s">
        <v>3066</v>
      </c>
      <c r="L421" s="4">
        <v>46173</v>
      </c>
      <c r="M421" s="4">
        <v>46173</v>
      </c>
      <c r="N421">
        <v>10974.93</v>
      </c>
      <c r="O421" t="s">
        <v>59</v>
      </c>
      <c r="P421" t="s">
        <v>63</v>
      </c>
      <c r="Q421" t="s">
        <v>3876</v>
      </c>
      <c r="R421" t="s">
        <v>3877</v>
      </c>
      <c r="S421" t="s">
        <v>66</v>
      </c>
      <c r="T421" t="s">
        <v>3878</v>
      </c>
      <c r="U421" t="s">
        <v>3879</v>
      </c>
      <c r="V421">
        <v>7</v>
      </c>
      <c r="W421" s="3">
        <v>278556</v>
      </c>
    </row>
    <row r="422" spans="1:23" x14ac:dyDescent="0.25">
      <c r="A422" t="s">
        <v>31</v>
      </c>
      <c r="B422" t="s">
        <v>32</v>
      </c>
      <c r="C422" t="s">
        <v>33</v>
      </c>
      <c r="D422" t="s">
        <v>34</v>
      </c>
      <c r="E422" t="s">
        <v>35</v>
      </c>
      <c r="F422" t="s">
        <v>36</v>
      </c>
      <c r="G422">
        <v>1141685</v>
      </c>
      <c r="H422" t="s">
        <v>3065</v>
      </c>
      <c r="I422" t="s">
        <v>42</v>
      </c>
      <c r="J422" t="s">
        <v>3065</v>
      </c>
      <c r="K422" t="s">
        <v>3066</v>
      </c>
      <c r="L422" s="4">
        <v>46173</v>
      </c>
      <c r="M422" s="4">
        <v>46173</v>
      </c>
      <c r="N422">
        <v>10974.93</v>
      </c>
      <c r="O422" t="s">
        <v>59</v>
      </c>
      <c r="P422" t="s">
        <v>63</v>
      </c>
      <c r="Q422" t="s">
        <v>3876</v>
      </c>
      <c r="R422" t="s">
        <v>3877</v>
      </c>
      <c r="S422" t="s">
        <v>66</v>
      </c>
      <c r="T422" t="s">
        <v>3878</v>
      </c>
      <c r="U422" t="s">
        <v>3879</v>
      </c>
      <c r="V422">
        <v>7</v>
      </c>
      <c r="W422" s="3">
        <v>278556</v>
      </c>
    </row>
    <row r="423" spans="1:23" x14ac:dyDescent="0.25">
      <c r="A423" t="s">
        <v>31</v>
      </c>
      <c r="B423" t="s">
        <v>32</v>
      </c>
      <c r="C423" t="s">
        <v>33</v>
      </c>
      <c r="D423" t="s">
        <v>34</v>
      </c>
      <c r="E423" t="s">
        <v>35</v>
      </c>
      <c r="F423" t="s">
        <v>36</v>
      </c>
      <c r="G423">
        <v>1141685</v>
      </c>
      <c r="H423" t="s">
        <v>3065</v>
      </c>
      <c r="I423" t="s">
        <v>42</v>
      </c>
      <c r="J423" t="s">
        <v>3065</v>
      </c>
      <c r="K423" t="s">
        <v>3066</v>
      </c>
      <c r="L423" s="4">
        <v>46173</v>
      </c>
      <c r="M423" s="4">
        <v>46173</v>
      </c>
      <c r="N423">
        <v>10974.93</v>
      </c>
      <c r="O423" t="s">
        <v>59</v>
      </c>
      <c r="P423" t="s">
        <v>63</v>
      </c>
      <c r="Q423" t="s">
        <v>3876</v>
      </c>
      <c r="R423" t="s">
        <v>3877</v>
      </c>
      <c r="S423" t="s">
        <v>66</v>
      </c>
      <c r="T423" t="s">
        <v>3878</v>
      </c>
      <c r="U423" t="s">
        <v>3879</v>
      </c>
      <c r="V423">
        <v>7</v>
      </c>
      <c r="W423" s="3">
        <v>278556</v>
      </c>
    </row>
    <row r="424" spans="1:23" x14ac:dyDescent="0.25">
      <c r="A424" t="s">
        <v>31</v>
      </c>
      <c r="B424" t="s">
        <v>32</v>
      </c>
      <c r="C424" t="s">
        <v>33</v>
      </c>
      <c r="D424" t="s">
        <v>34</v>
      </c>
      <c r="E424" t="s">
        <v>35</v>
      </c>
      <c r="F424" t="s">
        <v>36</v>
      </c>
      <c r="G424">
        <v>1141685</v>
      </c>
      <c r="H424" t="s">
        <v>3065</v>
      </c>
      <c r="I424" t="s">
        <v>42</v>
      </c>
      <c r="J424" t="s">
        <v>3065</v>
      </c>
      <c r="K424" t="s">
        <v>3066</v>
      </c>
      <c r="L424" s="4">
        <v>46173</v>
      </c>
      <c r="M424" s="4">
        <v>46173</v>
      </c>
      <c r="N424">
        <v>10974.93</v>
      </c>
      <c r="O424" t="s">
        <v>59</v>
      </c>
      <c r="P424" t="s">
        <v>63</v>
      </c>
      <c r="Q424" t="s">
        <v>3876</v>
      </c>
      <c r="R424" t="s">
        <v>3877</v>
      </c>
      <c r="S424" t="s">
        <v>66</v>
      </c>
      <c r="T424" t="s">
        <v>3878</v>
      </c>
      <c r="U424" t="s">
        <v>3879</v>
      </c>
      <c r="V424">
        <v>7</v>
      </c>
      <c r="W424" s="3">
        <v>278556</v>
      </c>
    </row>
    <row r="425" spans="1:23" x14ac:dyDescent="0.25">
      <c r="A425" t="s">
        <v>31</v>
      </c>
      <c r="B425" t="s">
        <v>32</v>
      </c>
      <c r="C425" t="s">
        <v>33</v>
      </c>
      <c r="D425" t="s">
        <v>34</v>
      </c>
      <c r="E425" t="s">
        <v>35</v>
      </c>
      <c r="F425" t="s">
        <v>36</v>
      </c>
      <c r="G425">
        <v>1141685</v>
      </c>
      <c r="H425" t="s">
        <v>3065</v>
      </c>
      <c r="I425" t="s">
        <v>42</v>
      </c>
      <c r="J425" t="s">
        <v>3065</v>
      </c>
      <c r="K425" t="s">
        <v>3066</v>
      </c>
      <c r="L425" s="4">
        <v>46173</v>
      </c>
      <c r="M425" s="4">
        <v>46173</v>
      </c>
      <c r="N425">
        <v>10974.93</v>
      </c>
      <c r="O425" t="s">
        <v>59</v>
      </c>
      <c r="P425" t="s">
        <v>63</v>
      </c>
      <c r="Q425" t="s">
        <v>3876</v>
      </c>
      <c r="R425" t="s">
        <v>3877</v>
      </c>
      <c r="S425" t="s">
        <v>66</v>
      </c>
      <c r="T425" t="s">
        <v>3878</v>
      </c>
      <c r="U425" t="s">
        <v>3879</v>
      </c>
      <c r="V425">
        <v>7</v>
      </c>
      <c r="W425" s="3">
        <v>278556</v>
      </c>
    </row>
    <row r="426" spans="1:23" x14ac:dyDescent="0.25">
      <c r="A426" t="s">
        <v>31</v>
      </c>
      <c r="B426" t="s">
        <v>32</v>
      </c>
      <c r="C426" t="s">
        <v>33</v>
      </c>
      <c r="D426" t="s">
        <v>34</v>
      </c>
      <c r="E426" t="s">
        <v>35</v>
      </c>
      <c r="F426" t="s">
        <v>36</v>
      </c>
      <c r="G426">
        <v>1141685</v>
      </c>
      <c r="H426" t="s">
        <v>3065</v>
      </c>
      <c r="I426" t="s">
        <v>42</v>
      </c>
      <c r="J426" t="s">
        <v>3065</v>
      </c>
      <c r="K426" t="s">
        <v>3066</v>
      </c>
      <c r="L426" s="4">
        <v>46173</v>
      </c>
      <c r="M426" s="4">
        <v>46173</v>
      </c>
      <c r="N426">
        <v>10974.93</v>
      </c>
      <c r="O426" t="s">
        <v>59</v>
      </c>
      <c r="P426" t="s">
        <v>63</v>
      </c>
      <c r="Q426" t="s">
        <v>3876</v>
      </c>
      <c r="R426" t="s">
        <v>3877</v>
      </c>
      <c r="S426" t="s">
        <v>66</v>
      </c>
      <c r="T426" t="s">
        <v>3878</v>
      </c>
      <c r="U426" t="s">
        <v>3879</v>
      </c>
      <c r="V426">
        <v>7</v>
      </c>
      <c r="W426" s="3">
        <v>278556</v>
      </c>
    </row>
    <row r="427" spans="1:23" x14ac:dyDescent="0.25">
      <c r="A427" t="s">
        <v>31</v>
      </c>
      <c r="B427" t="s">
        <v>32</v>
      </c>
      <c r="C427" t="s">
        <v>33</v>
      </c>
      <c r="D427" t="s">
        <v>34</v>
      </c>
      <c r="E427" t="s">
        <v>35</v>
      </c>
      <c r="F427" t="s">
        <v>36</v>
      </c>
      <c r="G427">
        <v>1141685</v>
      </c>
      <c r="H427" t="s">
        <v>3065</v>
      </c>
      <c r="I427" t="s">
        <v>42</v>
      </c>
      <c r="J427" t="s">
        <v>3065</v>
      </c>
      <c r="K427" t="s">
        <v>3066</v>
      </c>
      <c r="L427" s="4">
        <v>46173</v>
      </c>
      <c r="M427" s="4">
        <v>46173</v>
      </c>
      <c r="N427">
        <v>10974.93</v>
      </c>
      <c r="O427" t="s">
        <v>59</v>
      </c>
      <c r="P427" t="s">
        <v>63</v>
      </c>
      <c r="Q427" t="s">
        <v>3876</v>
      </c>
      <c r="R427" t="s">
        <v>3877</v>
      </c>
      <c r="S427" t="s">
        <v>66</v>
      </c>
      <c r="T427" t="s">
        <v>3878</v>
      </c>
      <c r="U427" t="s">
        <v>3879</v>
      </c>
      <c r="V427">
        <v>7</v>
      </c>
      <c r="W427" s="3">
        <v>278556</v>
      </c>
    </row>
    <row r="428" spans="1:23" x14ac:dyDescent="0.25">
      <c r="A428" t="s">
        <v>31</v>
      </c>
      <c r="B428" t="s">
        <v>32</v>
      </c>
      <c r="C428" t="s">
        <v>33</v>
      </c>
      <c r="D428" t="s">
        <v>34</v>
      </c>
      <c r="E428" t="s">
        <v>35</v>
      </c>
      <c r="F428" t="s">
        <v>36</v>
      </c>
      <c r="G428">
        <v>1141685</v>
      </c>
      <c r="H428" t="s">
        <v>3065</v>
      </c>
      <c r="I428" t="s">
        <v>42</v>
      </c>
      <c r="J428" t="s">
        <v>3065</v>
      </c>
      <c r="K428" t="s">
        <v>3066</v>
      </c>
      <c r="L428" s="4">
        <v>46173</v>
      </c>
      <c r="M428" s="4">
        <v>46173</v>
      </c>
      <c r="N428">
        <v>10974.93</v>
      </c>
      <c r="O428" t="s">
        <v>59</v>
      </c>
      <c r="P428" t="s">
        <v>63</v>
      </c>
      <c r="Q428" t="s">
        <v>3876</v>
      </c>
      <c r="R428" t="s">
        <v>3877</v>
      </c>
      <c r="S428" t="s">
        <v>66</v>
      </c>
      <c r="T428" t="s">
        <v>3878</v>
      </c>
      <c r="U428" t="s">
        <v>3879</v>
      </c>
      <c r="V428">
        <v>7</v>
      </c>
      <c r="W428" s="3">
        <v>278556</v>
      </c>
    </row>
    <row r="429" spans="1:23" x14ac:dyDescent="0.25">
      <c r="A429" t="s">
        <v>31</v>
      </c>
      <c r="B429" t="s">
        <v>32</v>
      </c>
      <c r="C429" t="s">
        <v>33</v>
      </c>
      <c r="D429" t="s">
        <v>34</v>
      </c>
      <c r="E429" t="s">
        <v>35</v>
      </c>
      <c r="F429" t="s">
        <v>36</v>
      </c>
      <c r="G429">
        <v>1141685</v>
      </c>
      <c r="H429" t="s">
        <v>3065</v>
      </c>
      <c r="I429" t="s">
        <v>42</v>
      </c>
      <c r="J429" t="s">
        <v>3065</v>
      </c>
      <c r="K429" t="s">
        <v>3066</v>
      </c>
      <c r="L429" s="4">
        <v>46173</v>
      </c>
      <c r="M429" s="4">
        <v>46173</v>
      </c>
      <c r="N429">
        <v>10974.93</v>
      </c>
      <c r="O429" t="s">
        <v>59</v>
      </c>
      <c r="P429" t="s">
        <v>63</v>
      </c>
      <c r="Q429" t="s">
        <v>3876</v>
      </c>
      <c r="R429" t="s">
        <v>3877</v>
      </c>
      <c r="S429" t="s">
        <v>66</v>
      </c>
      <c r="T429" t="s">
        <v>3878</v>
      </c>
      <c r="U429" t="s">
        <v>3879</v>
      </c>
      <c r="V429">
        <v>7</v>
      </c>
      <c r="W429" s="3">
        <v>278556</v>
      </c>
    </row>
    <row r="430" spans="1:23" x14ac:dyDescent="0.25">
      <c r="A430" t="s">
        <v>31</v>
      </c>
      <c r="B430" t="s">
        <v>32</v>
      </c>
      <c r="C430" t="s">
        <v>33</v>
      </c>
      <c r="D430" t="s">
        <v>34</v>
      </c>
      <c r="E430" t="s">
        <v>35</v>
      </c>
      <c r="F430" t="s">
        <v>36</v>
      </c>
      <c r="G430">
        <v>1141685</v>
      </c>
      <c r="H430" t="s">
        <v>3065</v>
      </c>
      <c r="I430" t="s">
        <v>42</v>
      </c>
      <c r="J430" t="s">
        <v>3065</v>
      </c>
      <c r="K430" t="s">
        <v>3066</v>
      </c>
      <c r="L430" s="4">
        <v>46173</v>
      </c>
      <c r="M430" s="4">
        <v>46173</v>
      </c>
      <c r="N430">
        <v>10974.93</v>
      </c>
      <c r="O430" t="s">
        <v>59</v>
      </c>
      <c r="P430" t="s">
        <v>63</v>
      </c>
      <c r="Q430" t="s">
        <v>3876</v>
      </c>
      <c r="R430" t="s">
        <v>3877</v>
      </c>
      <c r="S430" t="s">
        <v>66</v>
      </c>
      <c r="T430" t="s">
        <v>3878</v>
      </c>
      <c r="U430" t="s">
        <v>3879</v>
      </c>
      <c r="V430">
        <v>7</v>
      </c>
      <c r="W430" s="3">
        <v>278556</v>
      </c>
    </row>
    <row r="431" spans="1:23" x14ac:dyDescent="0.25">
      <c r="A431" t="s">
        <v>31</v>
      </c>
      <c r="B431" t="s">
        <v>32</v>
      </c>
      <c r="C431" t="s">
        <v>33</v>
      </c>
      <c r="D431" t="s">
        <v>34</v>
      </c>
      <c r="E431" t="s">
        <v>35</v>
      </c>
      <c r="F431" t="s">
        <v>36</v>
      </c>
      <c r="G431">
        <v>1141685</v>
      </c>
      <c r="H431" t="s">
        <v>77</v>
      </c>
      <c r="I431" t="s">
        <v>96</v>
      </c>
      <c r="J431" t="s">
        <v>77</v>
      </c>
      <c r="K431" t="s">
        <v>111</v>
      </c>
      <c r="L431" s="1">
        <v>46143</v>
      </c>
      <c r="M431" s="1">
        <v>46173</v>
      </c>
      <c r="N431">
        <v>3.7002660000000001E-4</v>
      </c>
      <c r="O431" t="s">
        <v>56</v>
      </c>
      <c r="P431" t="s">
        <v>63</v>
      </c>
      <c r="Q431" t="s">
        <v>3900</v>
      </c>
      <c r="R431" t="s">
        <v>3901</v>
      </c>
      <c r="S431" t="s">
        <v>67</v>
      </c>
      <c r="T431" t="s">
        <v>3902</v>
      </c>
      <c r="U431" t="s">
        <v>3903</v>
      </c>
      <c r="V431">
        <v>16</v>
      </c>
      <c r="W431" s="2">
        <v>6.6808254299999995E-2</v>
      </c>
    </row>
    <row r="432" spans="1:23" x14ac:dyDescent="0.25">
      <c r="A432" t="s">
        <v>31</v>
      </c>
      <c r="B432" t="s">
        <v>32</v>
      </c>
      <c r="C432" t="s">
        <v>33</v>
      </c>
      <c r="D432" t="s">
        <v>34</v>
      </c>
      <c r="E432" t="s">
        <v>35</v>
      </c>
      <c r="F432" t="s">
        <v>36</v>
      </c>
      <c r="G432">
        <v>1141685</v>
      </c>
      <c r="H432" t="s">
        <v>77</v>
      </c>
      <c r="I432" t="s">
        <v>96</v>
      </c>
      <c r="J432" t="s">
        <v>77</v>
      </c>
      <c r="K432" t="s">
        <v>111</v>
      </c>
      <c r="L432" s="1">
        <v>46143</v>
      </c>
      <c r="M432" s="1">
        <v>46173</v>
      </c>
      <c r="N432">
        <v>10.073562558700001</v>
      </c>
      <c r="O432" t="s">
        <v>56</v>
      </c>
      <c r="P432" t="s">
        <v>63</v>
      </c>
      <c r="Q432" t="s">
        <v>3904</v>
      </c>
      <c r="R432" t="s">
        <v>3905</v>
      </c>
      <c r="S432" t="s">
        <v>67</v>
      </c>
      <c r="T432" t="s">
        <v>3906</v>
      </c>
      <c r="U432" t="s">
        <v>3907</v>
      </c>
      <c r="V432">
        <v>16</v>
      </c>
      <c r="W432" s="2">
        <v>1757.4316771171</v>
      </c>
    </row>
    <row r="433" spans="1:23" x14ac:dyDescent="0.25">
      <c r="A433" t="s">
        <v>31</v>
      </c>
      <c r="B433" t="s">
        <v>32</v>
      </c>
      <c r="C433" t="s">
        <v>33</v>
      </c>
      <c r="D433" t="s">
        <v>34</v>
      </c>
      <c r="E433" t="s">
        <v>35</v>
      </c>
      <c r="F433" t="s">
        <v>36</v>
      </c>
      <c r="G433">
        <v>1141685</v>
      </c>
      <c r="H433" t="s">
        <v>77</v>
      </c>
      <c r="I433" t="s">
        <v>96</v>
      </c>
      <c r="J433" t="s">
        <v>77</v>
      </c>
      <c r="K433" t="s">
        <v>111</v>
      </c>
      <c r="L433" s="1">
        <v>46143</v>
      </c>
      <c r="M433" s="1">
        <v>46173</v>
      </c>
      <c r="N433">
        <v>520.80448148209996</v>
      </c>
      <c r="O433" t="s">
        <v>56</v>
      </c>
      <c r="P433" t="s">
        <v>63</v>
      </c>
      <c r="Q433" t="s">
        <v>3908</v>
      </c>
      <c r="R433" t="s">
        <v>3909</v>
      </c>
      <c r="S433" t="s">
        <v>67</v>
      </c>
      <c r="T433" t="s">
        <v>3910</v>
      </c>
      <c r="U433" t="s">
        <v>3911</v>
      </c>
      <c r="V433">
        <v>16</v>
      </c>
      <c r="W433" s="2">
        <v>90859.5538586482</v>
      </c>
    </row>
    <row r="434" spans="1:23" x14ac:dyDescent="0.25">
      <c r="A434" t="s">
        <v>31</v>
      </c>
      <c r="B434" t="s">
        <v>32</v>
      </c>
      <c r="C434" t="s">
        <v>33</v>
      </c>
      <c r="D434" t="s">
        <v>34</v>
      </c>
      <c r="E434" t="s">
        <v>35</v>
      </c>
      <c r="F434" t="s">
        <v>36</v>
      </c>
      <c r="G434">
        <v>1141685</v>
      </c>
      <c r="H434" t="s">
        <v>3912</v>
      </c>
      <c r="I434" t="s">
        <v>3913</v>
      </c>
      <c r="J434" t="s">
        <v>3914</v>
      </c>
      <c r="K434" t="s">
        <v>3915</v>
      </c>
      <c r="L434" s="1">
        <v>46143</v>
      </c>
      <c r="M434" s="1">
        <v>46173</v>
      </c>
      <c r="N434">
        <v>9.7017300000000001E-2</v>
      </c>
      <c r="O434" t="s">
        <v>58</v>
      </c>
      <c r="P434" t="s">
        <v>63</v>
      </c>
      <c r="Q434" t="s">
        <v>3916</v>
      </c>
      <c r="R434" t="s">
        <v>3917</v>
      </c>
      <c r="S434" t="s">
        <v>67</v>
      </c>
      <c r="T434" t="s">
        <v>3918</v>
      </c>
      <c r="U434" t="s">
        <v>3919</v>
      </c>
      <c r="V434">
        <v>15</v>
      </c>
      <c r="W434" s="2">
        <v>846.27807895199999</v>
      </c>
    </row>
    <row r="435" spans="1:23" x14ac:dyDescent="0.25">
      <c r="A435" t="s">
        <v>31</v>
      </c>
      <c r="B435" t="s">
        <v>32</v>
      </c>
      <c r="C435" t="s">
        <v>33</v>
      </c>
      <c r="D435" t="s">
        <v>34</v>
      </c>
      <c r="E435" t="s">
        <v>35</v>
      </c>
      <c r="F435" t="s">
        <v>36</v>
      </c>
      <c r="G435">
        <v>1141685</v>
      </c>
      <c r="H435" t="s">
        <v>3912</v>
      </c>
      <c r="I435" t="s">
        <v>3913</v>
      </c>
      <c r="J435" t="s">
        <v>3914</v>
      </c>
      <c r="K435" t="s">
        <v>3915</v>
      </c>
      <c r="L435" s="1">
        <v>46143</v>
      </c>
      <c r="M435" s="1">
        <v>46173</v>
      </c>
      <c r="N435">
        <v>5.1166574999999999E-2</v>
      </c>
      <c r="O435" t="s">
        <v>58</v>
      </c>
      <c r="P435" t="s">
        <v>63</v>
      </c>
      <c r="Q435" t="s">
        <v>3916</v>
      </c>
      <c r="R435" t="s">
        <v>3917</v>
      </c>
      <c r="S435" t="s">
        <v>67</v>
      </c>
      <c r="T435" t="s">
        <v>3920</v>
      </c>
      <c r="U435" t="s">
        <v>3921</v>
      </c>
      <c r="V435">
        <v>15</v>
      </c>
      <c r="W435" s="2">
        <v>446.32690967799999</v>
      </c>
    </row>
    <row r="436" spans="1:23" x14ac:dyDescent="0.25">
      <c r="A436" t="s">
        <v>31</v>
      </c>
      <c r="B436" t="s">
        <v>32</v>
      </c>
      <c r="C436" t="s">
        <v>33</v>
      </c>
      <c r="D436" t="s">
        <v>34</v>
      </c>
      <c r="E436" t="s">
        <v>35</v>
      </c>
      <c r="F436" t="s">
        <v>36</v>
      </c>
      <c r="G436">
        <v>1141685</v>
      </c>
      <c r="H436" t="s">
        <v>3912</v>
      </c>
      <c r="I436" t="s">
        <v>3913</v>
      </c>
      <c r="J436" t="s">
        <v>3914</v>
      </c>
      <c r="K436" t="s">
        <v>3915</v>
      </c>
      <c r="L436" s="1">
        <v>46143</v>
      </c>
      <c r="M436" s="1">
        <v>46173</v>
      </c>
      <c r="N436">
        <v>0.23248125</v>
      </c>
      <c r="O436" t="s">
        <v>58</v>
      </c>
      <c r="P436" t="s">
        <v>63</v>
      </c>
      <c r="Q436" t="s">
        <v>3916</v>
      </c>
      <c r="R436" t="s">
        <v>3917</v>
      </c>
      <c r="S436" t="s">
        <v>67</v>
      </c>
      <c r="T436" t="s">
        <v>3922</v>
      </c>
      <c r="U436" t="s">
        <v>3923</v>
      </c>
      <c r="V436">
        <v>14</v>
      </c>
      <c r="W436" s="2">
        <v>2027.9318705000001</v>
      </c>
    </row>
    <row r="437" spans="1:23" x14ac:dyDescent="0.25">
      <c r="A437" t="s">
        <v>31</v>
      </c>
      <c r="B437" t="s">
        <v>32</v>
      </c>
      <c r="C437" t="s">
        <v>33</v>
      </c>
      <c r="D437" t="s">
        <v>34</v>
      </c>
      <c r="E437" t="s">
        <v>35</v>
      </c>
      <c r="F437" t="s">
        <v>36</v>
      </c>
      <c r="G437">
        <v>1141685</v>
      </c>
      <c r="H437" t="s">
        <v>3912</v>
      </c>
      <c r="I437" t="s">
        <v>3913</v>
      </c>
      <c r="J437" t="s">
        <v>3914</v>
      </c>
      <c r="K437" t="s">
        <v>3915</v>
      </c>
      <c r="L437" s="1">
        <v>46143</v>
      </c>
      <c r="M437" s="1">
        <v>46173</v>
      </c>
      <c r="N437">
        <v>7.6267799999999997E-2</v>
      </c>
      <c r="O437" t="s">
        <v>58</v>
      </c>
      <c r="P437" t="s">
        <v>63</v>
      </c>
      <c r="Q437" t="s">
        <v>3916</v>
      </c>
      <c r="R437" t="s">
        <v>3917</v>
      </c>
      <c r="S437" t="s">
        <v>67</v>
      </c>
      <c r="T437" t="s">
        <v>3924</v>
      </c>
      <c r="U437" t="s">
        <v>3925</v>
      </c>
      <c r="V437">
        <v>15</v>
      </c>
      <c r="W437" s="2">
        <v>665.27993707200005</v>
      </c>
    </row>
    <row r="438" spans="1:23" x14ac:dyDescent="0.25">
      <c r="A438" t="s">
        <v>31</v>
      </c>
      <c r="B438" t="s">
        <v>32</v>
      </c>
      <c r="C438" t="s">
        <v>33</v>
      </c>
      <c r="D438" t="s">
        <v>34</v>
      </c>
      <c r="E438" t="s">
        <v>35</v>
      </c>
      <c r="F438" t="s">
        <v>36</v>
      </c>
      <c r="G438">
        <v>1141685</v>
      </c>
      <c r="H438" t="s">
        <v>3912</v>
      </c>
      <c r="I438" t="s">
        <v>3913</v>
      </c>
      <c r="J438" t="s">
        <v>3914</v>
      </c>
      <c r="K438" t="s">
        <v>3915</v>
      </c>
      <c r="L438" s="1">
        <v>46143</v>
      </c>
      <c r="M438" s="1">
        <v>46173</v>
      </c>
      <c r="N438">
        <v>6.5667291700000005E-2</v>
      </c>
      <c r="O438" t="s">
        <v>58</v>
      </c>
      <c r="P438" t="s">
        <v>63</v>
      </c>
      <c r="Q438" t="s">
        <v>3916</v>
      </c>
      <c r="R438" t="s">
        <v>3917</v>
      </c>
      <c r="S438" t="s">
        <v>67</v>
      </c>
      <c r="T438" t="s">
        <v>3926</v>
      </c>
      <c r="U438" t="s">
        <v>3927</v>
      </c>
      <c r="V438">
        <v>15</v>
      </c>
      <c r="W438" s="2">
        <v>572.8178909833</v>
      </c>
    </row>
    <row r="439" spans="1:23" x14ac:dyDescent="0.25">
      <c r="A439" t="s">
        <v>31</v>
      </c>
      <c r="B439" t="s">
        <v>32</v>
      </c>
      <c r="C439" t="s">
        <v>33</v>
      </c>
      <c r="D439" t="s">
        <v>34</v>
      </c>
      <c r="E439" t="s">
        <v>35</v>
      </c>
      <c r="F439" t="s">
        <v>36</v>
      </c>
      <c r="G439">
        <v>1141685</v>
      </c>
      <c r="H439" t="s">
        <v>3928</v>
      </c>
      <c r="I439" t="s">
        <v>42</v>
      </c>
      <c r="J439" t="s">
        <v>3928</v>
      </c>
      <c r="K439" t="s">
        <v>3929</v>
      </c>
      <c r="L439" s="1">
        <v>46143</v>
      </c>
      <c r="M439" s="1">
        <v>46173</v>
      </c>
      <c r="N439">
        <v>0.99993600000000005</v>
      </c>
      <c r="O439" t="s">
        <v>135</v>
      </c>
      <c r="P439" t="s">
        <v>63</v>
      </c>
      <c r="Q439" t="s">
        <v>3930</v>
      </c>
      <c r="R439" t="s">
        <v>3931</v>
      </c>
      <c r="S439" t="s">
        <v>67</v>
      </c>
      <c r="T439" t="s">
        <v>3932</v>
      </c>
      <c r="U439" t="s">
        <v>3933</v>
      </c>
      <c r="V439">
        <v>7</v>
      </c>
      <c r="W439" s="2">
        <v>41867.723859072001</v>
      </c>
    </row>
    <row r="440" spans="1:23" x14ac:dyDescent="0.25">
      <c r="A440" t="s">
        <v>31</v>
      </c>
      <c r="B440" t="s">
        <v>32</v>
      </c>
      <c r="C440" t="s">
        <v>33</v>
      </c>
      <c r="D440" t="s">
        <v>34</v>
      </c>
      <c r="E440" t="s">
        <v>35</v>
      </c>
      <c r="F440" t="s">
        <v>36</v>
      </c>
      <c r="G440">
        <v>1141685</v>
      </c>
      <c r="H440" t="s">
        <v>3934</v>
      </c>
      <c r="I440" t="s">
        <v>42</v>
      </c>
      <c r="J440" t="s">
        <v>3934</v>
      </c>
      <c r="K440" t="s">
        <v>3935</v>
      </c>
      <c r="L440" s="1">
        <v>46143</v>
      </c>
      <c r="M440" s="1">
        <v>46173</v>
      </c>
      <c r="N440">
        <v>0.95189999999999997</v>
      </c>
      <c r="O440" t="s">
        <v>59</v>
      </c>
      <c r="P440" t="s">
        <v>63</v>
      </c>
      <c r="Q440" t="s">
        <v>3936</v>
      </c>
      <c r="R440" t="s">
        <v>3937</v>
      </c>
      <c r="S440" t="s">
        <v>67</v>
      </c>
      <c r="T440" t="s">
        <v>3938</v>
      </c>
      <c r="U440" t="s">
        <v>3939</v>
      </c>
      <c r="V440">
        <v>8</v>
      </c>
      <c r="W440" s="2">
        <v>24.911038567999999</v>
      </c>
    </row>
    <row r="441" spans="1:23" x14ac:dyDescent="0.25">
      <c r="A441" t="s">
        <v>31</v>
      </c>
      <c r="B441" t="s">
        <v>32</v>
      </c>
      <c r="C441" t="s">
        <v>33</v>
      </c>
      <c r="D441" t="s">
        <v>34</v>
      </c>
      <c r="E441" t="s">
        <v>35</v>
      </c>
      <c r="F441" t="s">
        <v>36</v>
      </c>
      <c r="G441">
        <v>1141685</v>
      </c>
      <c r="H441" t="s">
        <v>79</v>
      </c>
      <c r="I441" t="s">
        <v>94</v>
      </c>
      <c r="J441" t="s">
        <v>101</v>
      </c>
      <c r="K441" t="s">
        <v>114</v>
      </c>
      <c r="L441" s="1">
        <v>46143</v>
      </c>
      <c r="M441" s="1">
        <v>46173</v>
      </c>
      <c r="N441">
        <v>1.0813585999999999E-3</v>
      </c>
      <c r="O441" t="s">
        <v>56</v>
      </c>
      <c r="P441" t="s">
        <v>63</v>
      </c>
      <c r="Q441" t="s">
        <v>3908</v>
      </c>
      <c r="R441" t="s">
        <v>3909</v>
      </c>
      <c r="S441" t="s">
        <v>67</v>
      </c>
      <c r="T441" t="s">
        <v>3940</v>
      </c>
      <c r="U441" t="s">
        <v>3941</v>
      </c>
      <c r="V441">
        <v>16</v>
      </c>
      <c r="W441" s="2">
        <v>1.5081229521999999</v>
      </c>
    </row>
    <row r="442" spans="1:23" x14ac:dyDescent="0.25">
      <c r="A442" t="s">
        <v>31</v>
      </c>
      <c r="B442" t="s">
        <v>32</v>
      </c>
      <c r="C442" t="s">
        <v>33</v>
      </c>
      <c r="D442" t="s">
        <v>34</v>
      </c>
      <c r="E442" t="s">
        <v>35</v>
      </c>
      <c r="F442" t="s">
        <v>36</v>
      </c>
      <c r="G442">
        <v>1141685</v>
      </c>
      <c r="H442" t="s">
        <v>79</v>
      </c>
      <c r="I442" t="s">
        <v>94</v>
      </c>
      <c r="J442" t="s">
        <v>101</v>
      </c>
      <c r="K442" t="s">
        <v>114</v>
      </c>
      <c r="L442" s="1">
        <v>46143</v>
      </c>
      <c r="M442" s="1">
        <v>46173</v>
      </c>
      <c r="N442">
        <v>1.6759999999999999E-7</v>
      </c>
      <c r="O442" t="s">
        <v>56</v>
      </c>
      <c r="P442" t="s">
        <v>63</v>
      </c>
      <c r="Q442" t="s">
        <v>3908</v>
      </c>
      <c r="R442" t="s">
        <v>3909</v>
      </c>
      <c r="S442" t="s">
        <v>67</v>
      </c>
      <c r="T442" t="s">
        <v>3942</v>
      </c>
      <c r="U442" t="s">
        <v>3943</v>
      </c>
      <c r="V442">
        <v>16</v>
      </c>
      <c r="W442" s="2">
        <v>2.0589269999999999E-4</v>
      </c>
    </row>
    <row r="443" spans="1:23" x14ac:dyDescent="0.25">
      <c r="A443" t="s">
        <v>31</v>
      </c>
      <c r="B443" t="s">
        <v>32</v>
      </c>
      <c r="C443" t="s">
        <v>33</v>
      </c>
      <c r="D443" t="s">
        <v>34</v>
      </c>
      <c r="E443" t="s">
        <v>35</v>
      </c>
      <c r="F443" t="s">
        <v>36</v>
      </c>
      <c r="G443">
        <v>1141685</v>
      </c>
      <c r="H443" t="s">
        <v>75</v>
      </c>
      <c r="I443" t="s">
        <v>94</v>
      </c>
      <c r="J443" t="s">
        <v>98</v>
      </c>
      <c r="K443" t="s">
        <v>108</v>
      </c>
      <c r="L443" s="1">
        <v>46143</v>
      </c>
      <c r="M443" s="1">
        <v>46173</v>
      </c>
      <c r="N443">
        <v>6.1500000000000001E-8</v>
      </c>
      <c r="O443" t="s">
        <v>56</v>
      </c>
      <c r="P443" t="s">
        <v>63</v>
      </c>
      <c r="Q443" t="s">
        <v>3908</v>
      </c>
      <c r="R443" t="s">
        <v>3909</v>
      </c>
      <c r="S443" t="s">
        <v>67</v>
      </c>
      <c r="T443" t="s">
        <v>3944</v>
      </c>
      <c r="U443" t="s">
        <v>3945</v>
      </c>
      <c r="V443">
        <v>16</v>
      </c>
      <c r="W443" s="2">
        <v>1.13241E-4</v>
      </c>
    </row>
    <row r="444" spans="1:23" x14ac:dyDescent="0.25">
      <c r="A444" t="s">
        <v>31</v>
      </c>
      <c r="B444" t="s">
        <v>32</v>
      </c>
      <c r="C444" t="s">
        <v>33</v>
      </c>
      <c r="D444" t="s">
        <v>34</v>
      </c>
      <c r="E444" t="s">
        <v>35</v>
      </c>
      <c r="F444" t="s">
        <v>36</v>
      </c>
      <c r="G444">
        <v>1141685</v>
      </c>
      <c r="H444" t="s">
        <v>3946</v>
      </c>
      <c r="I444" t="s">
        <v>95</v>
      </c>
      <c r="J444" t="s">
        <v>3947</v>
      </c>
      <c r="K444" t="s">
        <v>3948</v>
      </c>
      <c r="L444" s="1">
        <v>46143</v>
      </c>
      <c r="M444" s="1">
        <v>46173</v>
      </c>
      <c r="N444">
        <v>43.133360000000003</v>
      </c>
      <c r="O444" t="s">
        <v>58</v>
      </c>
      <c r="P444" t="s">
        <v>63</v>
      </c>
      <c r="Q444" t="s">
        <v>3949</v>
      </c>
      <c r="R444" t="s">
        <v>3950</v>
      </c>
      <c r="S444" t="s">
        <v>67</v>
      </c>
      <c r="T444" t="s">
        <v>3951</v>
      </c>
      <c r="U444" t="s">
        <v>3952</v>
      </c>
      <c r="V444">
        <v>16</v>
      </c>
      <c r="W444" s="2">
        <v>118895.7293837824</v>
      </c>
    </row>
    <row r="445" spans="1:23" x14ac:dyDescent="0.25">
      <c r="A445" t="s">
        <v>31</v>
      </c>
      <c r="B445" t="s">
        <v>32</v>
      </c>
      <c r="C445" t="s">
        <v>33</v>
      </c>
      <c r="D445" t="s">
        <v>34</v>
      </c>
      <c r="E445" t="s">
        <v>35</v>
      </c>
      <c r="F445" t="s">
        <v>36</v>
      </c>
      <c r="G445">
        <v>1141685</v>
      </c>
      <c r="H445" t="s">
        <v>3946</v>
      </c>
      <c r="I445" t="s">
        <v>95</v>
      </c>
      <c r="J445" t="s">
        <v>3947</v>
      </c>
      <c r="K445" t="s">
        <v>3948</v>
      </c>
      <c r="L445" s="1">
        <v>46143</v>
      </c>
      <c r="M445" s="1">
        <v>46173</v>
      </c>
      <c r="N445">
        <v>35.466839999999998</v>
      </c>
      <c r="O445" t="s">
        <v>58</v>
      </c>
      <c r="P445" t="s">
        <v>63</v>
      </c>
      <c r="Q445" t="s">
        <v>3953</v>
      </c>
      <c r="R445" t="s">
        <v>3954</v>
      </c>
      <c r="S445" t="s">
        <v>67</v>
      </c>
      <c r="T445" t="s">
        <v>3955</v>
      </c>
      <c r="U445" t="s">
        <v>3956</v>
      </c>
      <c r="V445">
        <v>16</v>
      </c>
      <c r="W445" s="2">
        <v>97763.214378585602</v>
      </c>
    </row>
    <row r="446" spans="1:23" x14ac:dyDescent="0.25">
      <c r="A446" t="s">
        <v>31</v>
      </c>
      <c r="B446" t="s">
        <v>32</v>
      </c>
      <c r="C446" t="s">
        <v>33</v>
      </c>
      <c r="D446" t="s">
        <v>34</v>
      </c>
      <c r="E446" t="s">
        <v>35</v>
      </c>
      <c r="F446" t="s">
        <v>36</v>
      </c>
      <c r="G446">
        <v>1141685</v>
      </c>
      <c r="H446" t="s">
        <v>76</v>
      </c>
      <c r="I446" t="s">
        <v>95</v>
      </c>
      <c r="J446" t="s">
        <v>99</v>
      </c>
      <c r="K446" t="s">
        <v>109</v>
      </c>
      <c r="L446" s="1">
        <v>46143</v>
      </c>
      <c r="M446" s="1">
        <v>46173</v>
      </c>
      <c r="N446">
        <v>35.799996999999998</v>
      </c>
      <c r="O446" t="s">
        <v>58</v>
      </c>
      <c r="P446" t="s">
        <v>63</v>
      </c>
      <c r="Q446" t="s">
        <v>3957</v>
      </c>
      <c r="R446" t="s">
        <v>3958</v>
      </c>
      <c r="S446" t="s">
        <v>67</v>
      </c>
      <c r="T446" t="s">
        <v>3959</v>
      </c>
      <c r="U446" t="s">
        <v>3960</v>
      </c>
      <c r="V446">
        <v>16</v>
      </c>
      <c r="W446" s="2">
        <v>0</v>
      </c>
    </row>
    <row r="447" spans="1:23" x14ac:dyDescent="0.25">
      <c r="A447" t="s">
        <v>31</v>
      </c>
      <c r="B447" t="s">
        <v>32</v>
      </c>
      <c r="C447" t="s">
        <v>33</v>
      </c>
      <c r="D447" t="s">
        <v>34</v>
      </c>
      <c r="E447" t="s">
        <v>35</v>
      </c>
      <c r="F447" t="s">
        <v>36</v>
      </c>
      <c r="G447">
        <v>1141685</v>
      </c>
      <c r="H447" t="s">
        <v>76</v>
      </c>
      <c r="I447" t="s">
        <v>95</v>
      </c>
      <c r="J447" t="s">
        <v>99</v>
      </c>
      <c r="K447" t="s">
        <v>109</v>
      </c>
      <c r="L447" s="1">
        <v>46143</v>
      </c>
      <c r="M447" s="1">
        <v>46173</v>
      </c>
      <c r="N447">
        <v>0.983352</v>
      </c>
      <c r="O447" t="s">
        <v>58</v>
      </c>
      <c r="P447" t="s">
        <v>63</v>
      </c>
      <c r="Q447" t="s">
        <v>3957</v>
      </c>
      <c r="R447" t="s">
        <v>3901</v>
      </c>
      <c r="S447" t="s">
        <v>67</v>
      </c>
      <c r="T447" t="s">
        <v>3961</v>
      </c>
      <c r="U447" t="s">
        <v>3962</v>
      </c>
      <c r="V447">
        <v>16</v>
      </c>
      <c r="W447" s="2">
        <v>0</v>
      </c>
    </row>
    <row r="448" spans="1:23" x14ac:dyDescent="0.25">
      <c r="A448" t="s">
        <v>31</v>
      </c>
      <c r="B448" t="s">
        <v>32</v>
      </c>
      <c r="C448" t="s">
        <v>33</v>
      </c>
      <c r="D448" t="s">
        <v>34</v>
      </c>
      <c r="E448" t="s">
        <v>35</v>
      </c>
      <c r="F448" t="s">
        <v>36</v>
      </c>
      <c r="G448">
        <v>1141685</v>
      </c>
      <c r="H448" t="s">
        <v>76</v>
      </c>
      <c r="I448" t="s">
        <v>95</v>
      </c>
      <c r="J448" t="s">
        <v>99</v>
      </c>
      <c r="K448" t="s">
        <v>109</v>
      </c>
      <c r="L448" s="1">
        <v>46143</v>
      </c>
      <c r="M448" s="1">
        <v>46173</v>
      </c>
      <c r="N448">
        <v>76</v>
      </c>
      <c r="O448" t="s">
        <v>58</v>
      </c>
      <c r="P448" t="s">
        <v>63</v>
      </c>
      <c r="Q448" t="s">
        <v>3957</v>
      </c>
      <c r="R448" t="s">
        <v>3963</v>
      </c>
      <c r="S448" t="s">
        <v>67</v>
      </c>
      <c r="T448" t="s">
        <v>3964</v>
      </c>
      <c r="U448" t="s">
        <v>3965</v>
      </c>
      <c r="V448">
        <v>16</v>
      </c>
      <c r="W448" s="2">
        <v>0</v>
      </c>
    </row>
    <row r="449" spans="1:23" x14ac:dyDescent="0.25">
      <c r="A449" t="s">
        <v>31</v>
      </c>
      <c r="B449" t="s">
        <v>32</v>
      </c>
      <c r="C449" t="s">
        <v>33</v>
      </c>
      <c r="D449" t="s">
        <v>34</v>
      </c>
      <c r="E449" t="s">
        <v>35</v>
      </c>
      <c r="F449" t="s">
        <v>36</v>
      </c>
      <c r="G449">
        <v>1141685</v>
      </c>
      <c r="H449" t="s">
        <v>76</v>
      </c>
      <c r="I449" t="s">
        <v>95</v>
      </c>
      <c r="J449" t="s">
        <v>99</v>
      </c>
      <c r="K449" t="s">
        <v>109</v>
      </c>
      <c r="L449" s="1">
        <v>46143</v>
      </c>
      <c r="M449" s="1">
        <v>46173</v>
      </c>
      <c r="N449">
        <v>46.316391000000003</v>
      </c>
      <c r="O449" t="s">
        <v>58</v>
      </c>
      <c r="P449" t="s">
        <v>63</v>
      </c>
      <c r="Q449" t="s">
        <v>3953</v>
      </c>
      <c r="R449" t="s">
        <v>3909</v>
      </c>
      <c r="S449" t="s">
        <v>67</v>
      </c>
      <c r="T449" t="s">
        <v>3966</v>
      </c>
      <c r="U449" t="s">
        <v>3967</v>
      </c>
      <c r="V449">
        <v>16</v>
      </c>
      <c r="W449" s="2">
        <v>0</v>
      </c>
    </row>
    <row r="450" spans="1:23" x14ac:dyDescent="0.25">
      <c r="A450" t="s">
        <v>31</v>
      </c>
      <c r="B450" t="s">
        <v>32</v>
      </c>
      <c r="C450" t="s">
        <v>33</v>
      </c>
      <c r="D450" t="s">
        <v>34</v>
      </c>
      <c r="E450" t="s">
        <v>35</v>
      </c>
      <c r="F450" t="s">
        <v>36</v>
      </c>
      <c r="G450">
        <v>1141685</v>
      </c>
      <c r="H450" t="s">
        <v>76</v>
      </c>
      <c r="I450" t="s">
        <v>95</v>
      </c>
      <c r="J450" t="s">
        <v>99</v>
      </c>
      <c r="K450" t="s">
        <v>109</v>
      </c>
      <c r="L450" s="1">
        <v>46143</v>
      </c>
      <c r="M450" s="1">
        <v>46173</v>
      </c>
      <c r="N450">
        <v>19.699736999999999</v>
      </c>
      <c r="O450" t="s">
        <v>58</v>
      </c>
      <c r="P450" t="s">
        <v>63</v>
      </c>
      <c r="Q450" t="s">
        <v>3953</v>
      </c>
      <c r="R450" t="s">
        <v>3909</v>
      </c>
      <c r="S450" t="s">
        <v>67</v>
      </c>
      <c r="T450" t="s">
        <v>3966</v>
      </c>
      <c r="U450" t="s">
        <v>3967</v>
      </c>
      <c r="V450">
        <v>16</v>
      </c>
      <c r="W450" s="2">
        <v>0</v>
      </c>
    </row>
    <row r="451" spans="1:23" x14ac:dyDescent="0.25">
      <c r="A451" t="s">
        <v>31</v>
      </c>
      <c r="B451" t="s">
        <v>32</v>
      </c>
      <c r="C451" t="s">
        <v>33</v>
      </c>
      <c r="D451" t="s">
        <v>34</v>
      </c>
      <c r="E451" t="s">
        <v>35</v>
      </c>
      <c r="F451" t="s">
        <v>36</v>
      </c>
      <c r="G451">
        <v>1141685</v>
      </c>
      <c r="H451" t="s">
        <v>3065</v>
      </c>
      <c r="I451" t="s">
        <v>42</v>
      </c>
      <c r="J451" t="s">
        <v>3065</v>
      </c>
      <c r="K451" t="s">
        <v>3968</v>
      </c>
      <c r="L451" s="1">
        <v>46143</v>
      </c>
      <c r="M451" s="1">
        <v>46173</v>
      </c>
      <c r="N451">
        <v>1.1000000000000001E-3</v>
      </c>
      <c r="O451" t="s">
        <v>59</v>
      </c>
      <c r="P451" t="s">
        <v>63</v>
      </c>
      <c r="Q451" t="s">
        <v>3936</v>
      </c>
      <c r="R451" t="s">
        <v>3969</v>
      </c>
      <c r="S451" t="s">
        <v>67</v>
      </c>
      <c r="T451" t="s">
        <v>3970</v>
      </c>
      <c r="U451" t="s">
        <v>3971</v>
      </c>
      <c r="V451">
        <v>6</v>
      </c>
      <c r="W451" s="2">
        <v>0.96438639999999998</v>
      </c>
    </row>
    <row r="452" spans="1:23" x14ac:dyDescent="0.25">
      <c r="A452" t="s">
        <v>31</v>
      </c>
      <c r="B452" t="s">
        <v>32</v>
      </c>
      <c r="C452" t="s">
        <v>33</v>
      </c>
      <c r="D452" t="s">
        <v>34</v>
      </c>
      <c r="E452" t="s">
        <v>35</v>
      </c>
      <c r="F452" t="s">
        <v>36</v>
      </c>
      <c r="G452">
        <v>1141685</v>
      </c>
      <c r="H452" t="s">
        <v>82</v>
      </c>
      <c r="I452" t="s">
        <v>82</v>
      </c>
      <c r="J452" t="s">
        <v>82</v>
      </c>
      <c r="K452" t="s">
        <v>120</v>
      </c>
      <c r="L452" s="1">
        <v>46143</v>
      </c>
      <c r="M452" s="1">
        <v>46173</v>
      </c>
      <c r="N452">
        <v>1</v>
      </c>
      <c r="O452" t="s">
        <v>61</v>
      </c>
      <c r="P452" t="s">
        <v>63</v>
      </c>
      <c r="Q452" t="s">
        <v>3972</v>
      </c>
      <c r="R452" t="s">
        <v>147</v>
      </c>
      <c r="S452" t="s">
        <v>68</v>
      </c>
      <c r="T452" t="s">
        <v>3973</v>
      </c>
      <c r="U452" t="s">
        <v>3974</v>
      </c>
      <c r="V452">
        <v>7</v>
      </c>
      <c r="W452" s="2">
        <v>2691.9341720419998</v>
      </c>
    </row>
    <row r="453" spans="1:23" x14ac:dyDescent="0.25">
      <c r="A453" t="s">
        <v>31</v>
      </c>
      <c r="B453" t="s">
        <v>32</v>
      </c>
      <c r="C453" t="s">
        <v>33</v>
      </c>
      <c r="D453" t="s">
        <v>34</v>
      </c>
      <c r="E453" t="s">
        <v>35</v>
      </c>
      <c r="F453" t="s">
        <v>36</v>
      </c>
      <c r="G453">
        <v>1141685</v>
      </c>
      <c r="H453" t="s">
        <v>80</v>
      </c>
      <c r="I453" t="s">
        <v>96</v>
      </c>
      <c r="J453" t="s">
        <v>80</v>
      </c>
      <c r="K453" t="s">
        <v>122</v>
      </c>
      <c r="L453" s="1">
        <v>46143</v>
      </c>
      <c r="M453" s="1">
        <v>46173</v>
      </c>
      <c r="N453">
        <v>5.4702199999999999E-5</v>
      </c>
      <c r="O453" t="s">
        <v>56</v>
      </c>
      <c r="P453" t="s">
        <v>63</v>
      </c>
      <c r="Q453" t="s">
        <v>3908</v>
      </c>
      <c r="R453" t="s">
        <v>3909</v>
      </c>
      <c r="S453" t="s">
        <v>67</v>
      </c>
      <c r="T453" t="s">
        <v>3975</v>
      </c>
      <c r="U453" t="s">
        <v>3976</v>
      </c>
      <c r="V453">
        <v>16</v>
      </c>
      <c r="W453" s="2">
        <v>8.3981384999999992E-3</v>
      </c>
    </row>
    <row r="454" spans="1:23" x14ac:dyDescent="0.25">
      <c r="A454" t="s">
        <v>31</v>
      </c>
      <c r="B454" t="s">
        <v>32</v>
      </c>
      <c r="C454" t="s">
        <v>33</v>
      </c>
      <c r="D454" t="s">
        <v>34</v>
      </c>
      <c r="E454" t="s">
        <v>35</v>
      </c>
      <c r="F454" t="s">
        <v>36</v>
      </c>
      <c r="G454">
        <v>1141685</v>
      </c>
      <c r="H454" t="s">
        <v>80</v>
      </c>
      <c r="I454" t="s">
        <v>96</v>
      </c>
      <c r="J454" t="s">
        <v>80</v>
      </c>
      <c r="K454" t="s">
        <v>122</v>
      </c>
      <c r="L454" s="1">
        <v>46143</v>
      </c>
      <c r="M454" s="1">
        <v>46173</v>
      </c>
      <c r="N454">
        <v>1.402916E-4</v>
      </c>
      <c r="O454" t="s">
        <v>56</v>
      </c>
      <c r="P454" t="s">
        <v>63</v>
      </c>
      <c r="Q454" t="s">
        <v>3908</v>
      </c>
      <c r="R454" t="s">
        <v>3909</v>
      </c>
      <c r="S454" t="s">
        <v>67</v>
      </c>
      <c r="T454" t="s">
        <v>3977</v>
      </c>
      <c r="U454" t="s">
        <v>3978</v>
      </c>
      <c r="V454">
        <v>16</v>
      </c>
      <c r="W454" s="2">
        <v>2.1538245599999999E-2</v>
      </c>
    </row>
    <row r="455" spans="1:23" x14ac:dyDescent="0.25">
      <c r="A455" t="s">
        <v>31</v>
      </c>
      <c r="B455" t="s">
        <v>32</v>
      </c>
      <c r="C455" t="s">
        <v>33</v>
      </c>
      <c r="D455" t="s">
        <v>34</v>
      </c>
      <c r="E455" t="s">
        <v>35</v>
      </c>
      <c r="F455" t="s">
        <v>36</v>
      </c>
      <c r="G455">
        <v>1141685</v>
      </c>
      <c r="H455" t="s">
        <v>80</v>
      </c>
      <c r="I455" t="s">
        <v>96</v>
      </c>
      <c r="J455" t="s">
        <v>80</v>
      </c>
      <c r="K455" t="s">
        <v>122</v>
      </c>
      <c r="L455" s="1">
        <v>46143</v>
      </c>
      <c r="M455" s="1">
        <v>46173</v>
      </c>
      <c r="N455">
        <v>2.7653396100000002E-2</v>
      </c>
      <c r="O455" t="s">
        <v>56</v>
      </c>
      <c r="P455" t="s">
        <v>63</v>
      </c>
      <c r="Q455" t="s">
        <v>3908</v>
      </c>
      <c r="R455" t="s">
        <v>3909</v>
      </c>
      <c r="S455" t="s">
        <v>67</v>
      </c>
      <c r="T455" t="s">
        <v>3979</v>
      </c>
      <c r="U455" t="s">
        <v>3980</v>
      </c>
      <c r="V455">
        <v>16</v>
      </c>
      <c r="W455" s="2">
        <v>4.8254821097000002</v>
      </c>
    </row>
    <row r="456" spans="1:23" x14ac:dyDescent="0.25">
      <c r="A456" t="s">
        <v>31</v>
      </c>
      <c r="B456" t="s">
        <v>32</v>
      </c>
      <c r="C456" t="s">
        <v>33</v>
      </c>
      <c r="D456" t="s">
        <v>34</v>
      </c>
      <c r="E456" t="s">
        <v>35</v>
      </c>
      <c r="F456" t="s">
        <v>36</v>
      </c>
      <c r="G456">
        <v>1141685</v>
      </c>
      <c r="H456" t="s">
        <v>80</v>
      </c>
      <c r="I456" t="s">
        <v>96</v>
      </c>
      <c r="J456" t="s">
        <v>80</v>
      </c>
      <c r="K456" t="s">
        <v>122</v>
      </c>
      <c r="L456" s="1">
        <v>46143</v>
      </c>
      <c r="M456" s="1">
        <v>46173</v>
      </c>
      <c r="N456">
        <v>2.3982119999999999E-4</v>
      </c>
      <c r="O456" t="s">
        <v>56</v>
      </c>
      <c r="P456" t="s">
        <v>63</v>
      </c>
      <c r="Q456" t="s">
        <v>3900</v>
      </c>
      <c r="R456" t="s">
        <v>3958</v>
      </c>
      <c r="S456" t="s">
        <v>67</v>
      </c>
      <c r="T456" t="s">
        <v>3981</v>
      </c>
      <c r="U456" t="s">
        <v>3982</v>
      </c>
      <c r="V456">
        <v>16</v>
      </c>
      <c r="W456" s="2">
        <v>4.6818494199999998E-2</v>
      </c>
    </row>
    <row r="457" spans="1:23" x14ac:dyDescent="0.25">
      <c r="A457" t="s">
        <v>31</v>
      </c>
      <c r="B457" t="s">
        <v>32</v>
      </c>
      <c r="C457" t="s">
        <v>33</v>
      </c>
      <c r="D457" t="s">
        <v>34</v>
      </c>
      <c r="E457" t="s">
        <v>35</v>
      </c>
      <c r="F457" t="s">
        <v>36</v>
      </c>
      <c r="G457">
        <v>1141685</v>
      </c>
      <c r="H457" t="s">
        <v>80</v>
      </c>
      <c r="I457" t="s">
        <v>96</v>
      </c>
      <c r="J457" t="s">
        <v>80</v>
      </c>
      <c r="K457" t="s">
        <v>122</v>
      </c>
      <c r="L457" s="1">
        <v>46143</v>
      </c>
      <c r="M457" s="1">
        <v>46173</v>
      </c>
      <c r="N457">
        <v>2.628164E-4</v>
      </c>
      <c r="O457" t="s">
        <v>56</v>
      </c>
      <c r="P457" t="s">
        <v>63</v>
      </c>
      <c r="Q457" t="s">
        <v>3900</v>
      </c>
      <c r="R457" t="s">
        <v>3963</v>
      </c>
      <c r="S457" t="s">
        <v>67</v>
      </c>
      <c r="T457" t="s">
        <v>3983</v>
      </c>
      <c r="U457" t="s">
        <v>3984</v>
      </c>
      <c r="V457">
        <v>16</v>
      </c>
      <c r="W457" s="2">
        <v>5.0348840700000001E-2</v>
      </c>
    </row>
    <row r="458" spans="1:23" x14ac:dyDescent="0.25">
      <c r="A458" t="s">
        <v>31</v>
      </c>
      <c r="B458" t="s">
        <v>32</v>
      </c>
      <c r="C458" t="s">
        <v>33</v>
      </c>
      <c r="D458" t="s">
        <v>34</v>
      </c>
      <c r="E458" t="s">
        <v>35</v>
      </c>
      <c r="F458" t="s">
        <v>36</v>
      </c>
      <c r="G458">
        <v>1141685</v>
      </c>
      <c r="H458" t="s">
        <v>80</v>
      </c>
      <c r="I458" t="s">
        <v>96</v>
      </c>
      <c r="J458" t="s">
        <v>80</v>
      </c>
      <c r="K458" t="s">
        <v>122</v>
      </c>
      <c r="L458" s="1">
        <v>46143</v>
      </c>
      <c r="M458" s="1">
        <v>46173</v>
      </c>
      <c r="N458">
        <v>4.4792000000000001E-5</v>
      </c>
      <c r="O458" t="s">
        <v>56</v>
      </c>
      <c r="P458" t="s">
        <v>63</v>
      </c>
      <c r="Q458" t="s">
        <v>3900</v>
      </c>
      <c r="R458" t="s">
        <v>3963</v>
      </c>
      <c r="S458" t="s">
        <v>67</v>
      </c>
      <c r="T458" t="s">
        <v>3985</v>
      </c>
      <c r="U458" t="s">
        <v>3986</v>
      </c>
      <c r="V458">
        <v>16</v>
      </c>
      <c r="W458" s="2">
        <v>6.8766764999999997E-3</v>
      </c>
    </row>
    <row r="459" spans="1:23" x14ac:dyDescent="0.25">
      <c r="A459" t="s">
        <v>31</v>
      </c>
      <c r="B459" t="s">
        <v>32</v>
      </c>
      <c r="C459" t="s">
        <v>33</v>
      </c>
      <c r="D459" t="s">
        <v>34</v>
      </c>
      <c r="E459" t="s">
        <v>35</v>
      </c>
      <c r="F459" t="s">
        <v>36</v>
      </c>
      <c r="G459">
        <v>1141685</v>
      </c>
      <c r="H459" t="s">
        <v>80</v>
      </c>
      <c r="I459" t="s">
        <v>96</v>
      </c>
      <c r="J459" t="s">
        <v>80</v>
      </c>
      <c r="K459" t="s">
        <v>122</v>
      </c>
      <c r="L459" s="1">
        <v>46143</v>
      </c>
      <c r="M459" s="1">
        <v>46173</v>
      </c>
      <c r="N459">
        <v>4.8246199999999999E-5</v>
      </c>
      <c r="O459" t="s">
        <v>56</v>
      </c>
      <c r="P459" t="s">
        <v>63</v>
      </c>
      <c r="Q459" t="s">
        <v>3900</v>
      </c>
      <c r="R459" t="s">
        <v>3958</v>
      </c>
      <c r="S459" t="s">
        <v>67</v>
      </c>
      <c r="T459" t="s">
        <v>3987</v>
      </c>
      <c r="U459" t="s">
        <v>3988</v>
      </c>
      <c r="V459">
        <v>16</v>
      </c>
      <c r="W459" s="2">
        <v>7.4069933999999999E-3</v>
      </c>
    </row>
    <row r="460" spans="1:23" x14ac:dyDescent="0.25">
      <c r="A460" t="s">
        <v>31</v>
      </c>
      <c r="B460" t="s">
        <v>32</v>
      </c>
      <c r="C460" t="s">
        <v>33</v>
      </c>
      <c r="D460" t="s">
        <v>34</v>
      </c>
      <c r="E460" t="s">
        <v>35</v>
      </c>
      <c r="F460" t="s">
        <v>36</v>
      </c>
      <c r="G460">
        <v>1141685</v>
      </c>
      <c r="H460" t="s">
        <v>80</v>
      </c>
      <c r="I460" t="s">
        <v>96</v>
      </c>
      <c r="J460" t="s">
        <v>80</v>
      </c>
      <c r="K460" t="s">
        <v>122</v>
      </c>
      <c r="L460" s="1">
        <v>46143</v>
      </c>
      <c r="M460" s="1">
        <v>46173</v>
      </c>
      <c r="N460">
        <v>2.3269677499999999E-2</v>
      </c>
      <c r="O460" t="s">
        <v>56</v>
      </c>
      <c r="P460" t="s">
        <v>63</v>
      </c>
      <c r="Q460" t="s">
        <v>3908</v>
      </c>
      <c r="R460" t="s">
        <v>3909</v>
      </c>
      <c r="S460" t="s">
        <v>67</v>
      </c>
      <c r="T460" t="s">
        <v>3989</v>
      </c>
      <c r="U460" t="s">
        <v>3990</v>
      </c>
      <c r="V460">
        <v>16</v>
      </c>
      <c r="W460" s="2">
        <v>4.0624725891000004</v>
      </c>
    </row>
    <row r="461" spans="1:23" x14ac:dyDescent="0.25">
      <c r="A461" t="s">
        <v>31</v>
      </c>
      <c r="B461" t="s">
        <v>32</v>
      </c>
      <c r="C461" t="s">
        <v>33</v>
      </c>
      <c r="D461" t="s">
        <v>34</v>
      </c>
      <c r="E461" t="s">
        <v>35</v>
      </c>
      <c r="F461" t="s">
        <v>36</v>
      </c>
      <c r="G461">
        <v>1141685</v>
      </c>
      <c r="H461" t="s">
        <v>80</v>
      </c>
      <c r="I461" t="s">
        <v>96</v>
      </c>
      <c r="J461" t="s">
        <v>80</v>
      </c>
      <c r="K461" t="s">
        <v>122</v>
      </c>
      <c r="L461" s="1">
        <v>46143</v>
      </c>
      <c r="M461" s="1">
        <v>46173</v>
      </c>
      <c r="N461">
        <v>5.821E-7</v>
      </c>
      <c r="O461" t="s">
        <v>56</v>
      </c>
      <c r="P461" t="s">
        <v>63</v>
      </c>
      <c r="Q461" t="s">
        <v>3908</v>
      </c>
      <c r="R461" t="s">
        <v>3909</v>
      </c>
      <c r="S461" t="s">
        <v>67</v>
      </c>
      <c r="T461" t="s">
        <v>3991</v>
      </c>
      <c r="U461" t="s">
        <v>3992</v>
      </c>
      <c r="V461">
        <v>16</v>
      </c>
      <c r="W461" s="2">
        <v>8.9363200000000005E-5</v>
      </c>
    </row>
    <row r="462" spans="1:23" x14ac:dyDescent="0.25">
      <c r="A462" t="s">
        <v>31</v>
      </c>
      <c r="B462" t="s">
        <v>32</v>
      </c>
      <c r="C462" t="s">
        <v>33</v>
      </c>
      <c r="D462" t="s">
        <v>34</v>
      </c>
      <c r="E462" t="s">
        <v>35</v>
      </c>
      <c r="F462" t="s">
        <v>36</v>
      </c>
      <c r="G462">
        <v>1141685</v>
      </c>
      <c r="H462" t="s">
        <v>79</v>
      </c>
      <c r="I462" t="s">
        <v>94</v>
      </c>
      <c r="J462" t="s">
        <v>101</v>
      </c>
      <c r="K462" t="s">
        <v>116</v>
      </c>
      <c r="L462" s="1">
        <v>46143</v>
      </c>
      <c r="M462" s="1">
        <v>46173</v>
      </c>
      <c r="N462">
        <v>1.182556E-4</v>
      </c>
      <c r="O462" t="s">
        <v>56</v>
      </c>
      <c r="P462" t="s">
        <v>63</v>
      </c>
      <c r="Q462" t="s">
        <v>3993</v>
      </c>
      <c r="R462" t="s">
        <v>3994</v>
      </c>
      <c r="S462" t="s">
        <v>67</v>
      </c>
      <c r="T462" t="s">
        <v>3995</v>
      </c>
      <c r="U462" t="s">
        <v>3996</v>
      </c>
      <c r="V462">
        <v>8</v>
      </c>
      <c r="W462" s="2">
        <v>0.14659204440000001</v>
      </c>
    </row>
    <row r="463" spans="1:23" x14ac:dyDescent="0.25">
      <c r="A463" t="s">
        <v>31</v>
      </c>
      <c r="B463" t="s">
        <v>32</v>
      </c>
      <c r="C463" t="s">
        <v>33</v>
      </c>
      <c r="D463" t="s">
        <v>34</v>
      </c>
      <c r="E463" t="s">
        <v>35</v>
      </c>
      <c r="F463" t="s">
        <v>36</v>
      </c>
      <c r="G463">
        <v>1141685</v>
      </c>
      <c r="H463" t="s">
        <v>79</v>
      </c>
      <c r="I463" t="s">
        <v>94</v>
      </c>
      <c r="J463" t="s">
        <v>101</v>
      </c>
      <c r="K463" t="s">
        <v>116</v>
      </c>
      <c r="L463" s="1">
        <v>46143</v>
      </c>
      <c r="M463" s="1">
        <v>46173</v>
      </c>
      <c r="N463">
        <v>0.2984227659</v>
      </c>
      <c r="O463" t="s">
        <v>56</v>
      </c>
      <c r="P463" t="s">
        <v>63</v>
      </c>
      <c r="Q463" t="s">
        <v>3900</v>
      </c>
      <c r="R463" t="s">
        <v>3958</v>
      </c>
      <c r="S463" t="s">
        <v>67</v>
      </c>
      <c r="T463" t="s">
        <v>3997</v>
      </c>
      <c r="U463" t="s">
        <v>3998</v>
      </c>
      <c r="V463">
        <v>16</v>
      </c>
      <c r="W463" s="2">
        <v>416.50236362269999</v>
      </c>
    </row>
    <row r="464" spans="1:23" x14ac:dyDescent="0.25">
      <c r="A464" t="s">
        <v>31</v>
      </c>
      <c r="B464" t="s">
        <v>32</v>
      </c>
      <c r="C464" t="s">
        <v>33</v>
      </c>
      <c r="D464" t="s">
        <v>34</v>
      </c>
      <c r="E464" t="s">
        <v>35</v>
      </c>
      <c r="F464" t="s">
        <v>36</v>
      </c>
      <c r="G464">
        <v>1141685</v>
      </c>
      <c r="H464" t="s">
        <v>79</v>
      </c>
      <c r="I464" t="s">
        <v>94</v>
      </c>
      <c r="J464" t="s">
        <v>101</v>
      </c>
      <c r="K464" t="s">
        <v>116</v>
      </c>
      <c r="L464" s="1">
        <v>46143</v>
      </c>
      <c r="M464" s="1">
        <v>46173</v>
      </c>
      <c r="N464">
        <v>0.67900322099999999</v>
      </c>
      <c r="O464" t="s">
        <v>56</v>
      </c>
      <c r="P464" t="s">
        <v>63</v>
      </c>
      <c r="Q464" t="s">
        <v>3900</v>
      </c>
      <c r="R464" t="s">
        <v>3958</v>
      </c>
      <c r="S464" t="s">
        <v>67</v>
      </c>
      <c r="T464" t="s">
        <v>3999</v>
      </c>
      <c r="U464" t="s">
        <v>4000</v>
      </c>
      <c r="V464">
        <v>16</v>
      </c>
      <c r="W464" s="2">
        <v>947.67066960429997</v>
      </c>
    </row>
    <row r="465" spans="1:23" x14ac:dyDescent="0.25">
      <c r="A465" t="s">
        <v>31</v>
      </c>
      <c r="B465" t="s">
        <v>32</v>
      </c>
      <c r="C465" t="s">
        <v>33</v>
      </c>
      <c r="D465" t="s">
        <v>34</v>
      </c>
      <c r="E465" t="s">
        <v>35</v>
      </c>
      <c r="F465" t="s">
        <v>36</v>
      </c>
      <c r="G465">
        <v>1141685</v>
      </c>
      <c r="H465" t="s">
        <v>3912</v>
      </c>
      <c r="I465" t="s">
        <v>3913</v>
      </c>
      <c r="J465" t="s">
        <v>3914</v>
      </c>
      <c r="K465" t="s">
        <v>3915</v>
      </c>
      <c r="L465" s="1">
        <v>46143</v>
      </c>
      <c r="M465" s="1">
        <v>46173</v>
      </c>
      <c r="N465">
        <v>0.29128847219999998</v>
      </c>
      <c r="O465" t="s">
        <v>58</v>
      </c>
      <c r="P465" t="s">
        <v>63</v>
      </c>
      <c r="Q465" t="s">
        <v>3916</v>
      </c>
      <c r="R465" t="s">
        <v>3917</v>
      </c>
      <c r="S465" t="s">
        <v>67</v>
      </c>
      <c r="T465" t="s">
        <v>4001</v>
      </c>
      <c r="U465" t="s">
        <v>4002</v>
      </c>
      <c r="V465">
        <v>12</v>
      </c>
      <c r="W465" s="2">
        <v>2540.9102220109999</v>
      </c>
    </row>
    <row r="466" spans="1:23" x14ac:dyDescent="0.25">
      <c r="A466" t="s">
        <v>31</v>
      </c>
      <c r="B466" t="s">
        <v>32</v>
      </c>
      <c r="C466" t="s">
        <v>33</v>
      </c>
      <c r="D466" t="s">
        <v>34</v>
      </c>
      <c r="E466" t="s">
        <v>35</v>
      </c>
      <c r="F466" t="s">
        <v>36</v>
      </c>
      <c r="G466">
        <v>1141685</v>
      </c>
      <c r="H466" t="s">
        <v>3912</v>
      </c>
      <c r="I466" t="s">
        <v>3913</v>
      </c>
      <c r="J466" t="s">
        <v>3914</v>
      </c>
      <c r="K466" t="s">
        <v>3915</v>
      </c>
      <c r="L466" s="1">
        <v>46143</v>
      </c>
      <c r="M466" s="1">
        <v>46173</v>
      </c>
      <c r="N466">
        <v>0.11574495830000001</v>
      </c>
      <c r="O466" t="s">
        <v>58</v>
      </c>
      <c r="P466" t="s">
        <v>63</v>
      </c>
      <c r="Q466" t="s">
        <v>3916</v>
      </c>
      <c r="R466" t="s">
        <v>3917</v>
      </c>
      <c r="S466" t="s">
        <v>67</v>
      </c>
      <c r="T466" t="s">
        <v>4003</v>
      </c>
      <c r="U466" t="s">
        <v>4004</v>
      </c>
      <c r="V466">
        <v>12</v>
      </c>
      <c r="W466" s="2">
        <v>1009.6460789566</v>
      </c>
    </row>
    <row r="467" spans="1:23" x14ac:dyDescent="0.25">
      <c r="A467" t="s">
        <v>31</v>
      </c>
      <c r="B467" t="s">
        <v>32</v>
      </c>
      <c r="C467" t="s">
        <v>33</v>
      </c>
      <c r="D467" t="s">
        <v>34</v>
      </c>
      <c r="E467" t="s">
        <v>35</v>
      </c>
      <c r="F467" t="s">
        <v>36</v>
      </c>
      <c r="G467">
        <v>1141685</v>
      </c>
      <c r="H467" t="s">
        <v>3912</v>
      </c>
      <c r="I467" t="s">
        <v>3913</v>
      </c>
      <c r="J467" t="s">
        <v>3914</v>
      </c>
      <c r="K467" t="s">
        <v>3915</v>
      </c>
      <c r="L467" s="1">
        <v>46143</v>
      </c>
      <c r="M467" s="1">
        <v>46173</v>
      </c>
      <c r="N467">
        <v>0.2440016367</v>
      </c>
      <c r="O467" t="s">
        <v>58</v>
      </c>
      <c r="P467" t="s">
        <v>63</v>
      </c>
      <c r="Q467" t="s">
        <v>3916</v>
      </c>
      <c r="R467" t="s">
        <v>3917</v>
      </c>
      <c r="S467" t="s">
        <v>67</v>
      </c>
      <c r="T467" t="s">
        <v>4005</v>
      </c>
      <c r="U467" t="s">
        <v>4006</v>
      </c>
      <c r="V467">
        <v>12</v>
      </c>
      <c r="W467" s="2">
        <v>2128.4251234460999</v>
      </c>
    </row>
    <row r="468" spans="1:23" x14ac:dyDescent="0.25">
      <c r="A468" t="s">
        <v>31</v>
      </c>
      <c r="B468" t="s">
        <v>32</v>
      </c>
      <c r="C468" t="s">
        <v>33</v>
      </c>
      <c r="D468" t="s">
        <v>34</v>
      </c>
      <c r="E468" t="s">
        <v>35</v>
      </c>
      <c r="F468" t="s">
        <v>36</v>
      </c>
      <c r="G468">
        <v>1141685</v>
      </c>
      <c r="H468" t="s">
        <v>79</v>
      </c>
      <c r="I468" t="s">
        <v>94</v>
      </c>
      <c r="J468" t="s">
        <v>101</v>
      </c>
      <c r="K468" t="s">
        <v>114</v>
      </c>
      <c r="L468" s="1">
        <v>46143</v>
      </c>
      <c r="M468" s="1">
        <v>46173</v>
      </c>
      <c r="N468">
        <v>1.118E-7</v>
      </c>
      <c r="O468" t="s">
        <v>56</v>
      </c>
      <c r="P468" t="s">
        <v>63</v>
      </c>
      <c r="Q468" t="s">
        <v>3900</v>
      </c>
      <c r="R468" t="s">
        <v>3963</v>
      </c>
      <c r="S468" t="s">
        <v>67</v>
      </c>
      <c r="T468" t="s">
        <v>4007</v>
      </c>
      <c r="U468" t="s">
        <v>4008</v>
      </c>
      <c r="V468">
        <v>16</v>
      </c>
      <c r="W468" s="2">
        <v>1.3726179999999999E-4</v>
      </c>
    </row>
    <row r="469" spans="1:23" x14ac:dyDescent="0.25">
      <c r="A469" t="s">
        <v>31</v>
      </c>
      <c r="B469" t="s">
        <v>32</v>
      </c>
      <c r="C469" t="s">
        <v>33</v>
      </c>
      <c r="D469" t="s">
        <v>34</v>
      </c>
      <c r="E469" t="s">
        <v>35</v>
      </c>
      <c r="F469" t="s">
        <v>36</v>
      </c>
      <c r="G469">
        <v>1141685</v>
      </c>
      <c r="H469" t="s">
        <v>79</v>
      </c>
      <c r="I469" t="s">
        <v>94</v>
      </c>
      <c r="J469" t="s">
        <v>101</v>
      </c>
      <c r="K469" t="s">
        <v>114</v>
      </c>
      <c r="L469" s="1">
        <v>46143</v>
      </c>
      <c r="M469" s="1">
        <v>46173</v>
      </c>
      <c r="N469">
        <v>9.9168900000000003E-4</v>
      </c>
      <c r="O469" t="s">
        <v>56</v>
      </c>
      <c r="P469" t="s">
        <v>63</v>
      </c>
      <c r="Q469" t="s">
        <v>3908</v>
      </c>
      <c r="R469" t="s">
        <v>3909</v>
      </c>
      <c r="S469" t="s">
        <v>67</v>
      </c>
      <c r="T469" t="s">
        <v>4009</v>
      </c>
      <c r="U469" t="s">
        <v>4010</v>
      </c>
      <c r="V469">
        <v>16</v>
      </c>
      <c r="W469" s="2">
        <v>1.3879908929</v>
      </c>
    </row>
    <row r="470" spans="1:23" x14ac:dyDescent="0.25">
      <c r="A470" t="s">
        <v>31</v>
      </c>
      <c r="B470" t="s">
        <v>32</v>
      </c>
      <c r="C470" t="s">
        <v>33</v>
      </c>
      <c r="D470" t="s">
        <v>34</v>
      </c>
      <c r="E470" t="s">
        <v>35</v>
      </c>
      <c r="F470" t="s">
        <v>36</v>
      </c>
      <c r="G470">
        <v>1141685</v>
      </c>
      <c r="H470" t="s">
        <v>79</v>
      </c>
      <c r="I470" t="s">
        <v>94</v>
      </c>
      <c r="J470" t="s">
        <v>101</v>
      </c>
      <c r="K470" t="s">
        <v>114</v>
      </c>
      <c r="L470" s="1">
        <v>46143</v>
      </c>
      <c r="M470" s="1">
        <v>46173</v>
      </c>
      <c r="N470">
        <v>1.5125116E-3</v>
      </c>
      <c r="O470" t="s">
        <v>56</v>
      </c>
      <c r="P470" t="s">
        <v>63</v>
      </c>
      <c r="Q470" t="s">
        <v>3900</v>
      </c>
      <c r="R470" t="s">
        <v>3958</v>
      </c>
      <c r="S470" t="s">
        <v>67</v>
      </c>
      <c r="T470" t="s">
        <v>4011</v>
      </c>
      <c r="U470" t="s">
        <v>4012</v>
      </c>
      <c r="V470">
        <v>16</v>
      </c>
      <c r="W470" s="2">
        <v>2.1076643666999999</v>
      </c>
    </row>
    <row r="471" spans="1:23" x14ac:dyDescent="0.25">
      <c r="A471" t="s">
        <v>31</v>
      </c>
      <c r="B471" t="s">
        <v>32</v>
      </c>
      <c r="C471" t="s">
        <v>33</v>
      </c>
      <c r="D471" t="s">
        <v>34</v>
      </c>
      <c r="E471" t="s">
        <v>35</v>
      </c>
      <c r="F471" t="s">
        <v>36</v>
      </c>
      <c r="G471">
        <v>1141685</v>
      </c>
      <c r="H471" t="s">
        <v>79</v>
      </c>
      <c r="I471" t="s">
        <v>94</v>
      </c>
      <c r="J471" t="s">
        <v>101</v>
      </c>
      <c r="K471" t="s">
        <v>114</v>
      </c>
      <c r="L471" s="1">
        <v>46143</v>
      </c>
      <c r="M471" s="1">
        <v>46173</v>
      </c>
      <c r="N471">
        <v>9.9858270000000005E-4</v>
      </c>
      <c r="O471" t="s">
        <v>56</v>
      </c>
      <c r="P471" t="s">
        <v>63</v>
      </c>
      <c r="Q471" t="s">
        <v>3908</v>
      </c>
      <c r="R471" t="s">
        <v>3909</v>
      </c>
      <c r="S471" t="s">
        <v>67</v>
      </c>
      <c r="T471" t="s">
        <v>4013</v>
      </c>
      <c r="U471" t="s">
        <v>4014</v>
      </c>
      <c r="V471">
        <v>16</v>
      </c>
      <c r="W471" s="2">
        <v>1.3964576627</v>
      </c>
    </row>
    <row r="472" spans="1:23" x14ac:dyDescent="0.25">
      <c r="A472" t="s">
        <v>31</v>
      </c>
      <c r="B472" t="s">
        <v>32</v>
      </c>
      <c r="C472" t="s">
        <v>33</v>
      </c>
      <c r="D472" t="s">
        <v>34</v>
      </c>
      <c r="E472" t="s">
        <v>35</v>
      </c>
      <c r="F472" t="s">
        <v>36</v>
      </c>
      <c r="G472">
        <v>1141685</v>
      </c>
      <c r="H472" t="s">
        <v>79</v>
      </c>
      <c r="I472" t="s">
        <v>94</v>
      </c>
      <c r="J472" t="s">
        <v>101</v>
      </c>
      <c r="K472" t="s">
        <v>114</v>
      </c>
      <c r="L472" s="1">
        <v>46143</v>
      </c>
      <c r="M472" s="1">
        <v>46173</v>
      </c>
      <c r="N472">
        <v>1.6759999999999999E-7</v>
      </c>
      <c r="O472" t="s">
        <v>56</v>
      </c>
      <c r="P472" t="s">
        <v>63</v>
      </c>
      <c r="Q472" t="s">
        <v>3908</v>
      </c>
      <c r="R472" t="s">
        <v>3909</v>
      </c>
      <c r="S472" t="s">
        <v>67</v>
      </c>
      <c r="T472" t="s">
        <v>3942</v>
      </c>
      <c r="U472" t="s">
        <v>3943</v>
      </c>
      <c r="V472">
        <v>16</v>
      </c>
      <c r="W472" s="2">
        <v>2.0589269999999999E-4</v>
      </c>
    </row>
    <row r="473" spans="1:23" x14ac:dyDescent="0.25">
      <c r="A473" t="s">
        <v>31</v>
      </c>
      <c r="B473" t="s">
        <v>32</v>
      </c>
      <c r="C473" t="s">
        <v>33</v>
      </c>
      <c r="D473" t="s">
        <v>34</v>
      </c>
      <c r="E473" t="s">
        <v>35</v>
      </c>
      <c r="F473" t="s">
        <v>36</v>
      </c>
      <c r="G473">
        <v>1141685</v>
      </c>
      <c r="H473" t="s">
        <v>77</v>
      </c>
      <c r="I473" t="s">
        <v>96</v>
      </c>
      <c r="J473" t="s">
        <v>77</v>
      </c>
      <c r="K473" t="s">
        <v>111</v>
      </c>
      <c r="L473" s="1">
        <v>46143</v>
      </c>
      <c r="M473" s="1">
        <v>46173</v>
      </c>
      <c r="N473">
        <v>8.6705396000000004E-2</v>
      </c>
      <c r="O473" t="s">
        <v>56</v>
      </c>
      <c r="P473" t="s">
        <v>63</v>
      </c>
      <c r="Q473" t="s">
        <v>3900</v>
      </c>
      <c r="R473" t="s">
        <v>3958</v>
      </c>
      <c r="S473" t="s">
        <v>67</v>
      </c>
      <c r="T473" t="s">
        <v>4015</v>
      </c>
      <c r="U473" t="s">
        <v>4016</v>
      </c>
      <c r="V473">
        <v>16</v>
      </c>
      <c r="W473" s="2">
        <v>15.131428572200001</v>
      </c>
    </row>
    <row r="474" spans="1:23" x14ac:dyDescent="0.25">
      <c r="A474" t="s">
        <v>31</v>
      </c>
      <c r="B474" t="s">
        <v>32</v>
      </c>
      <c r="C474" t="s">
        <v>33</v>
      </c>
      <c r="D474" t="s">
        <v>34</v>
      </c>
      <c r="E474" t="s">
        <v>35</v>
      </c>
      <c r="F474" t="s">
        <v>36</v>
      </c>
      <c r="G474">
        <v>1141685</v>
      </c>
      <c r="H474" t="s">
        <v>77</v>
      </c>
      <c r="I474" t="s">
        <v>96</v>
      </c>
      <c r="J474" t="s">
        <v>77</v>
      </c>
      <c r="K474" t="s">
        <v>111</v>
      </c>
      <c r="L474" s="1">
        <v>46143</v>
      </c>
      <c r="M474" s="1">
        <v>46173</v>
      </c>
      <c r="N474">
        <v>1.6739737503000001</v>
      </c>
      <c r="O474" t="s">
        <v>56</v>
      </c>
      <c r="P474" t="s">
        <v>63</v>
      </c>
      <c r="Q474" t="s">
        <v>3900</v>
      </c>
      <c r="R474" t="s">
        <v>3958</v>
      </c>
      <c r="S474" t="s">
        <v>67</v>
      </c>
      <c r="T474" t="s">
        <v>4017</v>
      </c>
      <c r="U474" t="s">
        <v>4018</v>
      </c>
      <c r="V474">
        <v>16</v>
      </c>
      <c r="W474" s="2">
        <v>292.03648522240002</v>
      </c>
    </row>
    <row r="475" spans="1:23" x14ac:dyDescent="0.25">
      <c r="A475" t="s">
        <v>31</v>
      </c>
      <c r="B475" t="s">
        <v>32</v>
      </c>
      <c r="C475" t="s">
        <v>33</v>
      </c>
      <c r="D475" t="s">
        <v>34</v>
      </c>
      <c r="E475" t="s">
        <v>35</v>
      </c>
      <c r="F475" t="s">
        <v>36</v>
      </c>
      <c r="G475">
        <v>1141685</v>
      </c>
      <c r="H475" t="s">
        <v>91</v>
      </c>
      <c r="I475" t="s">
        <v>95</v>
      </c>
      <c r="J475" t="s">
        <v>106</v>
      </c>
      <c r="K475" t="s">
        <v>479</v>
      </c>
      <c r="L475" s="1">
        <v>46143</v>
      </c>
      <c r="M475" s="1">
        <v>46173</v>
      </c>
      <c r="N475">
        <v>13.551259999999999</v>
      </c>
      <c r="O475" t="s">
        <v>58</v>
      </c>
      <c r="P475" t="s">
        <v>63</v>
      </c>
      <c r="Q475" t="s">
        <v>3949</v>
      </c>
      <c r="R475" t="s">
        <v>4019</v>
      </c>
      <c r="S475" t="s">
        <v>67</v>
      </c>
      <c r="T475" t="s">
        <v>4020</v>
      </c>
      <c r="U475" t="s">
        <v>4021</v>
      </c>
      <c r="V475">
        <v>16</v>
      </c>
      <c r="W475" s="2">
        <v>59103.822031199998</v>
      </c>
    </row>
    <row r="476" spans="1:23" x14ac:dyDescent="0.25">
      <c r="A476" t="s">
        <v>31</v>
      </c>
      <c r="B476" t="s">
        <v>32</v>
      </c>
      <c r="C476" t="s">
        <v>33</v>
      </c>
      <c r="D476" t="s">
        <v>34</v>
      </c>
      <c r="E476" t="s">
        <v>35</v>
      </c>
      <c r="F476" t="s">
        <v>36</v>
      </c>
      <c r="G476">
        <v>1141685</v>
      </c>
      <c r="H476" t="s">
        <v>79</v>
      </c>
      <c r="I476" t="s">
        <v>94</v>
      </c>
      <c r="J476" t="s">
        <v>101</v>
      </c>
      <c r="K476" t="s">
        <v>114</v>
      </c>
      <c r="L476" s="1">
        <v>46143</v>
      </c>
      <c r="M476" s="1">
        <v>46173</v>
      </c>
      <c r="N476">
        <v>2.2350000000000001E-7</v>
      </c>
      <c r="O476" t="s">
        <v>56</v>
      </c>
      <c r="P476" t="s">
        <v>63</v>
      </c>
      <c r="Q476" t="s">
        <v>3908</v>
      </c>
      <c r="R476" t="s">
        <v>3909</v>
      </c>
      <c r="S476" t="s">
        <v>67</v>
      </c>
      <c r="T476" t="s">
        <v>4022</v>
      </c>
      <c r="U476" t="s">
        <v>4023</v>
      </c>
      <c r="V476">
        <v>16</v>
      </c>
      <c r="W476" s="2">
        <v>2.7452370000000001E-4</v>
      </c>
    </row>
    <row r="477" spans="1:23" x14ac:dyDescent="0.25">
      <c r="A477" t="s">
        <v>31</v>
      </c>
      <c r="B477" t="s">
        <v>32</v>
      </c>
      <c r="C477" t="s">
        <v>33</v>
      </c>
      <c r="D477" t="s">
        <v>34</v>
      </c>
      <c r="E477" t="s">
        <v>35</v>
      </c>
      <c r="F477" t="s">
        <v>36</v>
      </c>
      <c r="G477">
        <v>1141685</v>
      </c>
      <c r="H477" t="s">
        <v>79</v>
      </c>
      <c r="I477" t="s">
        <v>94</v>
      </c>
      <c r="J477" t="s">
        <v>101</v>
      </c>
      <c r="K477" t="s">
        <v>114</v>
      </c>
      <c r="L477" s="1">
        <v>46143</v>
      </c>
      <c r="M477" s="1">
        <v>46173</v>
      </c>
      <c r="N477">
        <v>5.5899999999999998E-8</v>
      </c>
      <c r="O477" t="s">
        <v>56</v>
      </c>
      <c r="P477" t="s">
        <v>63</v>
      </c>
      <c r="Q477" t="s">
        <v>3908</v>
      </c>
      <c r="R477" t="s">
        <v>3909</v>
      </c>
      <c r="S477" t="s">
        <v>67</v>
      </c>
      <c r="T477" t="s">
        <v>4024</v>
      </c>
      <c r="U477" t="s">
        <v>4025</v>
      </c>
      <c r="V477">
        <v>16</v>
      </c>
      <c r="W477" s="2">
        <v>6.86308E-5</v>
      </c>
    </row>
    <row r="478" spans="1:23" x14ac:dyDescent="0.25">
      <c r="A478" t="s">
        <v>31</v>
      </c>
      <c r="B478" t="s">
        <v>32</v>
      </c>
      <c r="C478" t="s">
        <v>33</v>
      </c>
      <c r="D478" t="s">
        <v>34</v>
      </c>
      <c r="E478" t="s">
        <v>35</v>
      </c>
      <c r="F478" t="s">
        <v>36</v>
      </c>
      <c r="G478">
        <v>1141685</v>
      </c>
      <c r="H478" t="s">
        <v>91</v>
      </c>
      <c r="I478" t="s">
        <v>95</v>
      </c>
      <c r="J478" t="s">
        <v>106</v>
      </c>
      <c r="K478" t="s">
        <v>129</v>
      </c>
      <c r="L478" s="1">
        <v>46143</v>
      </c>
      <c r="M478" s="1">
        <v>46173</v>
      </c>
      <c r="N478">
        <v>0.23333699999999999</v>
      </c>
      <c r="O478" t="s">
        <v>58</v>
      </c>
      <c r="P478" t="s">
        <v>63</v>
      </c>
      <c r="Q478" t="s">
        <v>3957</v>
      </c>
      <c r="R478" t="s">
        <v>3901</v>
      </c>
      <c r="S478" t="s">
        <v>67</v>
      </c>
      <c r="T478" t="s">
        <v>4026</v>
      </c>
      <c r="U478" t="s">
        <v>4027</v>
      </c>
      <c r="V478">
        <v>16</v>
      </c>
      <c r="W478" s="2">
        <v>508.84770322000003</v>
      </c>
    </row>
    <row r="479" spans="1:23" x14ac:dyDescent="0.25">
      <c r="A479" t="s">
        <v>31</v>
      </c>
      <c r="B479" t="s">
        <v>32</v>
      </c>
      <c r="C479" t="s">
        <v>33</v>
      </c>
      <c r="D479" t="s">
        <v>34</v>
      </c>
      <c r="E479" t="s">
        <v>35</v>
      </c>
      <c r="F479" t="s">
        <v>36</v>
      </c>
      <c r="G479">
        <v>1141685</v>
      </c>
      <c r="H479" t="s">
        <v>80</v>
      </c>
      <c r="I479" t="s">
        <v>96</v>
      </c>
      <c r="J479" t="s">
        <v>80</v>
      </c>
      <c r="K479" t="s">
        <v>115</v>
      </c>
      <c r="L479" s="1">
        <v>46143</v>
      </c>
      <c r="M479" s="1">
        <v>46173</v>
      </c>
      <c r="N479">
        <v>2.0977770900000001E-2</v>
      </c>
      <c r="O479" t="s">
        <v>56</v>
      </c>
      <c r="P479" t="s">
        <v>63</v>
      </c>
      <c r="Q479" t="s">
        <v>3908</v>
      </c>
      <c r="R479" t="s">
        <v>3909</v>
      </c>
      <c r="S479" t="s">
        <v>67</v>
      </c>
      <c r="T479" t="s">
        <v>4028</v>
      </c>
      <c r="U479" t="s">
        <v>4029</v>
      </c>
      <c r="V479">
        <v>16</v>
      </c>
      <c r="W479" s="2">
        <v>3.6606080817</v>
      </c>
    </row>
    <row r="480" spans="1:23" x14ac:dyDescent="0.25">
      <c r="A480" t="s">
        <v>31</v>
      </c>
      <c r="B480" t="s">
        <v>32</v>
      </c>
      <c r="C480" t="s">
        <v>33</v>
      </c>
      <c r="D480" t="s">
        <v>34</v>
      </c>
      <c r="E480" t="s">
        <v>35</v>
      </c>
      <c r="F480" t="s">
        <v>36</v>
      </c>
      <c r="G480">
        <v>1141685</v>
      </c>
      <c r="H480" t="s">
        <v>80</v>
      </c>
      <c r="I480" t="s">
        <v>96</v>
      </c>
      <c r="J480" t="s">
        <v>80</v>
      </c>
      <c r="K480" t="s">
        <v>115</v>
      </c>
      <c r="L480" s="1">
        <v>46143</v>
      </c>
      <c r="M480" s="1">
        <v>46173</v>
      </c>
      <c r="N480">
        <v>1.7687310000000001E-4</v>
      </c>
      <c r="O480" t="s">
        <v>56</v>
      </c>
      <c r="P480" t="s">
        <v>63</v>
      </c>
      <c r="Q480" t="s">
        <v>3908</v>
      </c>
      <c r="R480" t="s">
        <v>3909</v>
      </c>
      <c r="S480" t="s">
        <v>67</v>
      </c>
      <c r="T480" t="s">
        <v>4030</v>
      </c>
      <c r="U480" t="s">
        <v>4031</v>
      </c>
      <c r="V480">
        <v>16</v>
      </c>
      <c r="W480" s="2">
        <v>2.7154400799999999E-2</v>
      </c>
    </row>
    <row r="481" spans="1:23" x14ac:dyDescent="0.25">
      <c r="A481" t="s">
        <v>31</v>
      </c>
      <c r="B481" t="s">
        <v>32</v>
      </c>
      <c r="C481" t="s">
        <v>33</v>
      </c>
      <c r="D481" t="s">
        <v>34</v>
      </c>
      <c r="E481" t="s">
        <v>35</v>
      </c>
      <c r="F481" t="s">
        <v>36</v>
      </c>
      <c r="G481">
        <v>1141685</v>
      </c>
      <c r="H481" t="s">
        <v>79</v>
      </c>
      <c r="I481" t="s">
        <v>94</v>
      </c>
      <c r="J481" t="s">
        <v>101</v>
      </c>
      <c r="K481" t="s">
        <v>114</v>
      </c>
      <c r="L481" s="1">
        <v>46143</v>
      </c>
      <c r="M481" s="1">
        <v>46173</v>
      </c>
      <c r="N481">
        <v>8.7219659999999998E-4</v>
      </c>
      <c r="O481" t="s">
        <v>56</v>
      </c>
      <c r="P481" t="s">
        <v>63</v>
      </c>
      <c r="Q481" t="s">
        <v>3904</v>
      </c>
      <c r="R481" t="s">
        <v>4019</v>
      </c>
      <c r="S481" t="s">
        <v>67</v>
      </c>
      <c r="T481" t="s">
        <v>4032</v>
      </c>
      <c r="U481" t="s">
        <v>4033</v>
      </c>
      <c r="V481">
        <v>16</v>
      </c>
      <c r="W481" s="2">
        <v>1.2212305042</v>
      </c>
    </row>
    <row r="482" spans="1:23" x14ac:dyDescent="0.25">
      <c r="A482" t="s">
        <v>31</v>
      </c>
      <c r="B482" t="s">
        <v>32</v>
      </c>
      <c r="C482" t="s">
        <v>33</v>
      </c>
      <c r="D482" t="s">
        <v>34</v>
      </c>
      <c r="E482" t="s">
        <v>35</v>
      </c>
      <c r="F482" t="s">
        <v>36</v>
      </c>
      <c r="G482">
        <v>1141685</v>
      </c>
      <c r="H482" t="s">
        <v>4034</v>
      </c>
      <c r="I482" t="s">
        <v>95</v>
      </c>
      <c r="J482" t="s">
        <v>4035</v>
      </c>
      <c r="K482" t="s">
        <v>4036</v>
      </c>
      <c r="L482" s="1">
        <v>46143</v>
      </c>
      <c r="M482" s="1">
        <v>46173</v>
      </c>
      <c r="N482">
        <v>305</v>
      </c>
      <c r="O482" t="s">
        <v>58</v>
      </c>
      <c r="P482" t="s">
        <v>63</v>
      </c>
      <c r="Q482" t="s">
        <v>4037</v>
      </c>
      <c r="R482" t="s">
        <v>4038</v>
      </c>
      <c r="S482" t="s">
        <v>67</v>
      </c>
      <c r="T482" t="s">
        <v>4039</v>
      </c>
      <c r="U482" t="s">
        <v>4040</v>
      </c>
      <c r="V482">
        <v>6</v>
      </c>
      <c r="W482" s="2">
        <v>564029.17839999998</v>
      </c>
    </row>
    <row r="483" spans="1:23" x14ac:dyDescent="0.25">
      <c r="A483" t="s">
        <v>31</v>
      </c>
      <c r="B483" t="s">
        <v>32</v>
      </c>
      <c r="C483" t="s">
        <v>33</v>
      </c>
      <c r="D483" t="s">
        <v>34</v>
      </c>
      <c r="E483" t="s">
        <v>35</v>
      </c>
      <c r="F483" t="s">
        <v>36</v>
      </c>
      <c r="G483">
        <v>1141685</v>
      </c>
      <c r="H483" t="s">
        <v>79</v>
      </c>
      <c r="I483" t="s">
        <v>94</v>
      </c>
      <c r="J483" t="s">
        <v>101</v>
      </c>
      <c r="K483" t="s">
        <v>116</v>
      </c>
      <c r="L483" s="1">
        <v>46143</v>
      </c>
      <c r="M483" s="1">
        <v>46173</v>
      </c>
      <c r="N483">
        <v>0.10416406390000001</v>
      </c>
      <c r="O483" t="s">
        <v>56</v>
      </c>
      <c r="P483" t="s">
        <v>63</v>
      </c>
      <c r="Q483" t="s">
        <v>3908</v>
      </c>
      <c r="R483" t="s">
        <v>3909</v>
      </c>
      <c r="S483" t="s">
        <v>67</v>
      </c>
      <c r="T483" t="s">
        <v>4041</v>
      </c>
      <c r="U483" t="s">
        <v>4042</v>
      </c>
      <c r="V483">
        <v>16</v>
      </c>
      <c r="W483" s="2">
        <v>145.3841366547</v>
      </c>
    </row>
    <row r="484" spans="1:23" x14ac:dyDescent="0.25">
      <c r="A484" t="s">
        <v>31</v>
      </c>
      <c r="B484" t="s">
        <v>32</v>
      </c>
      <c r="C484" t="s">
        <v>33</v>
      </c>
      <c r="D484" t="s">
        <v>34</v>
      </c>
      <c r="E484" t="s">
        <v>35</v>
      </c>
      <c r="F484" t="s">
        <v>36</v>
      </c>
      <c r="G484">
        <v>1141685</v>
      </c>
      <c r="H484" t="s">
        <v>76</v>
      </c>
      <c r="I484" t="s">
        <v>95</v>
      </c>
      <c r="J484" t="s">
        <v>99</v>
      </c>
      <c r="K484" t="s">
        <v>109</v>
      </c>
      <c r="L484" s="1">
        <v>46143</v>
      </c>
      <c r="M484" s="1">
        <v>46173</v>
      </c>
      <c r="N484">
        <v>269</v>
      </c>
      <c r="O484" t="s">
        <v>58</v>
      </c>
      <c r="P484" t="s">
        <v>63</v>
      </c>
      <c r="Q484" t="s">
        <v>3957</v>
      </c>
      <c r="R484" t="s">
        <v>3901</v>
      </c>
      <c r="S484" t="s">
        <v>67</v>
      </c>
      <c r="T484" t="s">
        <v>3961</v>
      </c>
      <c r="U484" t="s">
        <v>3962</v>
      </c>
      <c r="V484">
        <v>16</v>
      </c>
      <c r="W484" s="2">
        <v>0</v>
      </c>
    </row>
    <row r="485" spans="1:23" x14ac:dyDescent="0.25">
      <c r="A485" t="s">
        <v>31</v>
      </c>
      <c r="B485" t="s">
        <v>32</v>
      </c>
      <c r="C485" t="s">
        <v>33</v>
      </c>
      <c r="D485" t="s">
        <v>34</v>
      </c>
      <c r="E485" t="s">
        <v>35</v>
      </c>
      <c r="F485" t="s">
        <v>36</v>
      </c>
      <c r="G485">
        <v>1141685</v>
      </c>
      <c r="H485" t="s">
        <v>77</v>
      </c>
      <c r="I485" t="s">
        <v>96</v>
      </c>
      <c r="J485" t="s">
        <v>77</v>
      </c>
      <c r="K485" t="s">
        <v>113</v>
      </c>
      <c r="L485" s="1">
        <v>46143</v>
      </c>
      <c r="M485" s="1">
        <v>46173</v>
      </c>
      <c r="N485">
        <v>1.0880318581999999</v>
      </c>
      <c r="O485" t="s">
        <v>56</v>
      </c>
      <c r="P485" t="s">
        <v>63</v>
      </c>
      <c r="Q485" t="s">
        <v>3908</v>
      </c>
      <c r="R485" t="s">
        <v>3909</v>
      </c>
      <c r="S485" t="s">
        <v>67</v>
      </c>
      <c r="T485" t="s">
        <v>4043</v>
      </c>
      <c r="U485" t="s">
        <v>4044</v>
      </c>
      <c r="V485">
        <v>16</v>
      </c>
      <c r="W485" s="2">
        <v>189.8198734245</v>
      </c>
    </row>
    <row r="486" spans="1:23" x14ac:dyDescent="0.25">
      <c r="A486" t="s">
        <v>31</v>
      </c>
      <c r="B486" t="s">
        <v>32</v>
      </c>
      <c r="C486" t="s">
        <v>33</v>
      </c>
      <c r="D486" t="s">
        <v>34</v>
      </c>
      <c r="E486" t="s">
        <v>35</v>
      </c>
      <c r="F486" t="s">
        <v>36</v>
      </c>
      <c r="G486">
        <v>1141685</v>
      </c>
      <c r="H486" t="s">
        <v>77</v>
      </c>
      <c r="I486" t="s">
        <v>96</v>
      </c>
      <c r="J486" t="s">
        <v>77</v>
      </c>
      <c r="K486" t="s">
        <v>113</v>
      </c>
      <c r="L486" s="1">
        <v>46143</v>
      </c>
      <c r="M486" s="1">
        <v>46173</v>
      </c>
      <c r="N486">
        <v>0.7927423697</v>
      </c>
      <c r="O486" t="s">
        <v>56</v>
      </c>
      <c r="P486" t="s">
        <v>63</v>
      </c>
      <c r="Q486" t="s">
        <v>3908</v>
      </c>
      <c r="R486" t="s">
        <v>3909</v>
      </c>
      <c r="S486" t="s">
        <v>67</v>
      </c>
      <c r="T486" t="s">
        <v>4045</v>
      </c>
      <c r="U486" t="s">
        <v>4046</v>
      </c>
      <c r="V486">
        <v>16</v>
      </c>
      <c r="W486" s="2">
        <v>138.30561375920001</v>
      </c>
    </row>
    <row r="487" spans="1:23" x14ac:dyDescent="0.25">
      <c r="A487" t="s">
        <v>31</v>
      </c>
      <c r="B487" t="s">
        <v>32</v>
      </c>
      <c r="C487" t="s">
        <v>33</v>
      </c>
      <c r="D487" t="s">
        <v>34</v>
      </c>
      <c r="E487" t="s">
        <v>35</v>
      </c>
      <c r="F487" t="s">
        <v>36</v>
      </c>
      <c r="G487">
        <v>1141685</v>
      </c>
      <c r="H487" t="s">
        <v>79</v>
      </c>
      <c r="I487" t="s">
        <v>94</v>
      </c>
      <c r="J487" t="s">
        <v>101</v>
      </c>
      <c r="K487" t="s">
        <v>114</v>
      </c>
      <c r="L487" s="1">
        <v>46143</v>
      </c>
      <c r="M487" s="1">
        <v>46173</v>
      </c>
      <c r="N487">
        <v>3.5124549999999998E-4</v>
      </c>
      <c r="O487" t="s">
        <v>56</v>
      </c>
      <c r="P487" t="s">
        <v>63</v>
      </c>
      <c r="Q487" t="s">
        <v>3972</v>
      </c>
      <c r="R487" t="s">
        <v>4047</v>
      </c>
      <c r="S487" t="s">
        <v>67</v>
      </c>
      <c r="T487" t="s">
        <v>4048</v>
      </c>
      <c r="U487" t="s">
        <v>4049</v>
      </c>
      <c r="V487">
        <v>7</v>
      </c>
      <c r="W487" s="2">
        <v>0.49139917929999999</v>
      </c>
    </row>
    <row r="488" spans="1:23" x14ac:dyDescent="0.25">
      <c r="A488" t="s">
        <v>31</v>
      </c>
      <c r="B488" t="s">
        <v>32</v>
      </c>
      <c r="C488" t="s">
        <v>33</v>
      </c>
      <c r="D488" t="s">
        <v>34</v>
      </c>
      <c r="E488" t="s">
        <v>35</v>
      </c>
      <c r="F488" t="s">
        <v>36</v>
      </c>
      <c r="G488">
        <v>1141685</v>
      </c>
      <c r="H488" t="s">
        <v>77</v>
      </c>
      <c r="I488" t="s">
        <v>96</v>
      </c>
      <c r="J488" t="s">
        <v>77</v>
      </c>
      <c r="K488" t="s">
        <v>110</v>
      </c>
      <c r="L488" s="1">
        <v>46143</v>
      </c>
      <c r="M488" s="1">
        <v>46173</v>
      </c>
      <c r="N488">
        <v>744</v>
      </c>
      <c r="O488" t="s">
        <v>58</v>
      </c>
      <c r="P488" t="s">
        <v>63</v>
      </c>
      <c r="Q488" t="s">
        <v>3993</v>
      </c>
      <c r="R488" t="s">
        <v>4050</v>
      </c>
      <c r="S488" t="s">
        <v>67</v>
      </c>
      <c r="T488" t="s">
        <v>1361</v>
      </c>
      <c r="U488" t="s">
        <v>1364</v>
      </c>
      <c r="V488">
        <v>6</v>
      </c>
      <c r="W488" s="2">
        <v>129798.2412</v>
      </c>
    </row>
    <row r="489" spans="1:23" x14ac:dyDescent="0.25">
      <c r="A489" t="s">
        <v>31</v>
      </c>
      <c r="B489" t="s">
        <v>32</v>
      </c>
      <c r="C489" t="s">
        <v>33</v>
      </c>
      <c r="D489" t="s">
        <v>34</v>
      </c>
      <c r="E489" t="s">
        <v>35</v>
      </c>
      <c r="F489" t="s">
        <v>36</v>
      </c>
      <c r="G489">
        <v>1141685</v>
      </c>
      <c r="H489" t="s">
        <v>77</v>
      </c>
      <c r="I489" t="s">
        <v>96</v>
      </c>
      <c r="J489" t="s">
        <v>77</v>
      </c>
      <c r="K489" t="s">
        <v>110</v>
      </c>
      <c r="L489" s="1">
        <v>46143</v>
      </c>
      <c r="M489" s="1">
        <v>46173</v>
      </c>
      <c r="N489">
        <v>744</v>
      </c>
      <c r="O489" t="s">
        <v>58</v>
      </c>
      <c r="P489" t="s">
        <v>63</v>
      </c>
      <c r="Q489" t="s">
        <v>3993</v>
      </c>
      <c r="R489" t="s">
        <v>4051</v>
      </c>
      <c r="S489" t="s">
        <v>67</v>
      </c>
      <c r="T489" t="s">
        <v>4052</v>
      </c>
      <c r="U489" t="s">
        <v>4053</v>
      </c>
      <c r="V489">
        <v>7</v>
      </c>
      <c r="W489" s="2">
        <v>129798.2412</v>
      </c>
    </row>
    <row r="490" spans="1:23" x14ac:dyDescent="0.25">
      <c r="A490" t="s">
        <v>31</v>
      </c>
      <c r="B490" t="s">
        <v>32</v>
      </c>
      <c r="C490" t="s">
        <v>33</v>
      </c>
      <c r="D490" t="s">
        <v>34</v>
      </c>
      <c r="E490" t="s">
        <v>35</v>
      </c>
      <c r="F490" t="s">
        <v>36</v>
      </c>
      <c r="G490">
        <v>1141685</v>
      </c>
      <c r="H490" t="s">
        <v>76</v>
      </c>
      <c r="I490" t="s">
        <v>95</v>
      </c>
      <c r="J490" t="s">
        <v>99</v>
      </c>
      <c r="K490" t="s">
        <v>109</v>
      </c>
      <c r="L490" s="1">
        <v>46143</v>
      </c>
      <c r="M490" s="1">
        <v>46173</v>
      </c>
      <c r="N490">
        <v>0.31655299999999997</v>
      </c>
      <c r="O490" t="s">
        <v>58</v>
      </c>
      <c r="P490" t="s">
        <v>63</v>
      </c>
      <c r="Q490" t="s">
        <v>3957</v>
      </c>
      <c r="R490" t="s">
        <v>3958</v>
      </c>
      <c r="S490" t="s">
        <v>67</v>
      </c>
      <c r="T490" t="s">
        <v>4054</v>
      </c>
      <c r="U490" t="s">
        <v>4055</v>
      </c>
      <c r="V490">
        <v>16</v>
      </c>
      <c r="W490" s="2">
        <v>0</v>
      </c>
    </row>
    <row r="491" spans="1:23" x14ac:dyDescent="0.25">
      <c r="A491" t="s">
        <v>31</v>
      </c>
      <c r="B491" t="s">
        <v>32</v>
      </c>
      <c r="C491" t="s">
        <v>33</v>
      </c>
      <c r="D491" t="s">
        <v>34</v>
      </c>
      <c r="E491" t="s">
        <v>35</v>
      </c>
      <c r="F491" t="s">
        <v>36</v>
      </c>
      <c r="G491">
        <v>1141685</v>
      </c>
      <c r="H491" t="s">
        <v>76</v>
      </c>
      <c r="I491" t="s">
        <v>95</v>
      </c>
      <c r="J491" t="s">
        <v>99</v>
      </c>
      <c r="K491" t="s">
        <v>109</v>
      </c>
      <c r="L491" s="1">
        <v>46143</v>
      </c>
      <c r="M491" s="1">
        <v>46173</v>
      </c>
      <c r="N491">
        <v>2.950056</v>
      </c>
      <c r="O491" t="s">
        <v>58</v>
      </c>
      <c r="P491" t="s">
        <v>63</v>
      </c>
      <c r="Q491" t="s">
        <v>3957</v>
      </c>
      <c r="R491" t="s">
        <v>3963</v>
      </c>
      <c r="S491" t="s">
        <v>67</v>
      </c>
      <c r="T491" t="s">
        <v>4056</v>
      </c>
      <c r="U491" t="s">
        <v>4057</v>
      </c>
      <c r="V491">
        <v>16</v>
      </c>
      <c r="W491" s="2">
        <v>0</v>
      </c>
    </row>
    <row r="492" spans="1:23" x14ac:dyDescent="0.25">
      <c r="A492" t="s">
        <v>31</v>
      </c>
      <c r="B492" t="s">
        <v>32</v>
      </c>
      <c r="C492" t="s">
        <v>33</v>
      </c>
      <c r="D492" t="s">
        <v>34</v>
      </c>
      <c r="E492" t="s">
        <v>35</v>
      </c>
      <c r="F492" t="s">
        <v>36</v>
      </c>
      <c r="G492">
        <v>1141685</v>
      </c>
      <c r="H492" t="s">
        <v>76</v>
      </c>
      <c r="I492" t="s">
        <v>95</v>
      </c>
      <c r="J492" t="s">
        <v>99</v>
      </c>
      <c r="K492" t="s">
        <v>109</v>
      </c>
      <c r="L492" s="1">
        <v>46143</v>
      </c>
      <c r="M492" s="1">
        <v>46173</v>
      </c>
      <c r="N492">
        <v>0.20000399999999999</v>
      </c>
      <c r="O492" t="s">
        <v>58</v>
      </c>
      <c r="P492" t="s">
        <v>63</v>
      </c>
      <c r="Q492" t="s">
        <v>3957</v>
      </c>
      <c r="R492" t="s">
        <v>3963</v>
      </c>
      <c r="S492" t="s">
        <v>67</v>
      </c>
      <c r="T492" t="s">
        <v>4056</v>
      </c>
      <c r="U492" t="s">
        <v>4057</v>
      </c>
      <c r="V492">
        <v>16</v>
      </c>
      <c r="W492" s="2">
        <v>0</v>
      </c>
    </row>
    <row r="493" spans="1:23" x14ac:dyDescent="0.25">
      <c r="A493" t="s">
        <v>31</v>
      </c>
      <c r="B493" t="s">
        <v>32</v>
      </c>
      <c r="C493" t="s">
        <v>33</v>
      </c>
      <c r="D493" t="s">
        <v>34</v>
      </c>
      <c r="E493" t="s">
        <v>35</v>
      </c>
      <c r="F493" t="s">
        <v>36</v>
      </c>
      <c r="G493">
        <v>1141685</v>
      </c>
      <c r="H493" t="s">
        <v>76</v>
      </c>
      <c r="I493" t="s">
        <v>95</v>
      </c>
      <c r="J493" t="s">
        <v>99</v>
      </c>
      <c r="K493" t="s">
        <v>109</v>
      </c>
      <c r="L493" s="1">
        <v>46143</v>
      </c>
      <c r="M493" s="1">
        <v>46173</v>
      </c>
      <c r="N493">
        <v>26.449552000000001</v>
      </c>
      <c r="O493" t="s">
        <v>58</v>
      </c>
      <c r="P493" t="s">
        <v>63</v>
      </c>
      <c r="Q493" t="s">
        <v>3957</v>
      </c>
      <c r="R493" t="s">
        <v>3958</v>
      </c>
      <c r="S493" t="s">
        <v>67</v>
      </c>
      <c r="T493" t="s">
        <v>4054</v>
      </c>
      <c r="U493" t="s">
        <v>4055</v>
      </c>
      <c r="V493">
        <v>16</v>
      </c>
      <c r="W493" s="2">
        <v>0</v>
      </c>
    </row>
    <row r="494" spans="1:23" x14ac:dyDescent="0.25">
      <c r="A494" t="s">
        <v>31</v>
      </c>
      <c r="B494" t="s">
        <v>32</v>
      </c>
      <c r="C494" t="s">
        <v>33</v>
      </c>
      <c r="D494" t="s">
        <v>34</v>
      </c>
      <c r="E494" t="s">
        <v>35</v>
      </c>
      <c r="F494" t="s">
        <v>36</v>
      </c>
      <c r="G494">
        <v>1141685</v>
      </c>
      <c r="H494" t="s">
        <v>76</v>
      </c>
      <c r="I494" t="s">
        <v>95</v>
      </c>
      <c r="J494" t="s">
        <v>99</v>
      </c>
      <c r="K494" t="s">
        <v>109</v>
      </c>
      <c r="L494" s="1">
        <v>46143</v>
      </c>
      <c r="M494" s="1">
        <v>46173</v>
      </c>
      <c r="N494">
        <v>76</v>
      </c>
      <c r="O494" t="s">
        <v>58</v>
      </c>
      <c r="P494" t="s">
        <v>63</v>
      </c>
      <c r="Q494" t="s">
        <v>3957</v>
      </c>
      <c r="R494" t="s">
        <v>3958</v>
      </c>
      <c r="S494" t="s">
        <v>67</v>
      </c>
      <c r="T494" t="s">
        <v>3959</v>
      </c>
      <c r="U494" t="s">
        <v>3960</v>
      </c>
      <c r="V494">
        <v>16</v>
      </c>
      <c r="W494" s="2">
        <v>0</v>
      </c>
    </row>
    <row r="495" spans="1:23" x14ac:dyDescent="0.25">
      <c r="A495" t="s">
        <v>31</v>
      </c>
      <c r="B495" t="s">
        <v>32</v>
      </c>
      <c r="C495" t="s">
        <v>33</v>
      </c>
      <c r="D495" t="s">
        <v>34</v>
      </c>
      <c r="E495" t="s">
        <v>35</v>
      </c>
      <c r="F495" t="s">
        <v>36</v>
      </c>
      <c r="G495">
        <v>1141685</v>
      </c>
      <c r="H495" t="s">
        <v>76</v>
      </c>
      <c r="I495" t="s">
        <v>95</v>
      </c>
      <c r="J495" t="s">
        <v>99</v>
      </c>
      <c r="K495" t="s">
        <v>109</v>
      </c>
      <c r="L495" s="1">
        <v>46143</v>
      </c>
      <c r="M495" s="1">
        <v>46173</v>
      </c>
      <c r="N495">
        <v>52.716222000000002</v>
      </c>
      <c r="O495" t="s">
        <v>58</v>
      </c>
      <c r="P495" t="s">
        <v>63</v>
      </c>
      <c r="Q495" t="s">
        <v>3953</v>
      </c>
      <c r="R495" t="s">
        <v>3909</v>
      </c>
      <c r="S495" t="s">
        <v>67</v>
      </c>
      <c r="T495" t="s">
        <v>3966</v>
      </c>
      <c r="U495" t="s">
        <v>3967</v>
      </c>
      <c r="V495">
        <v>16</v>
      </c>
      <c r="W495" s="2">
        <v>0</v>
      </c>
    </row>
    <row r="496" spans="1:23" x14ac:dyDescent="0.25">
      <c r="A496" t="s">
        <v>31</v>
      </c>
      <c r="B496" t="s">
        <v>32</v>
      </c>
      <c r="C496" t="s">
        <v>33</v>
      </c>
      <c r="D496" t="s">
        <v>34</v>
      </c>
      <c r="E496" t="s">
        <v>35</v>
      </c>
      <c r="F496" t="s">
        <v>36</v>
      </c>
      <c r="G496">
        <v>1141685</v>
      </c>
      <c r="H496" t="s">
        <v>76</v>
      </c>
      <c r="I496" t="s">
        <v>95</v>
      </c>
      <c r="J496" t="s">
        <v>99</v>
      </c>
      <c r="K496" t="s">
        <v>109</v>
      </c>
      <c r="L496" s="1">
        <v>46143</v>
      </c>
      <c r="M496" s="1">
        <v>46173</v>
      </c>
      <c r="N496">
        <v>0.96668500000000002</v>
      </c>
      <c r="O496" t="s">
        <v>58</v>
      </c>
      <c r="P496" t="s">
        <v>63</v>
      </c>
      <c r="Q496" t="s">
        <v>3953</v>
      </c>
      <c r="R496" t="s">
        <v>4058</v>
      </c>
      <c r="S496" t="s">
        <v>67</v>
      </c>
      <c r="T496" t="s">
        <v>4059</v>
      </c>
      <c r="U496" t="s">
        <v>4060</v>
      </c>
      <c r="V496">
        <v>16</v>
      </c>
      <c r="W496" s="2">
        <v>0</v>
      </c>
    </row>
    <row r="497" spans="1:23" x14ac:dyDescent="0.25">
      <c r="A497" t="s">
        <v>31</v>
      </c>
      <c r="B497" t="s">
        <v>32</v>
      </c>
      <c r="C497" t="s">
        <v>33</v>
      </c>
      <c r="D497" t="s">
        <v>34</v>
      </c>
      <c r="E497" t="s">
        <v>35</v>
      </c>
      <c r="F497" t="s">
        <v>36</v>
      </c>
      <c r="G497">
        <v>1141685</v>
      </c>
      <c r="H497" t="s">
        <v>76</v>
      </c>
      <c r="I497" t="s">
        <v>95</v>
      </c>
      <c r="J497" t="s">
        <v>99</v>
      </c>
      <c r="K497" t="s">
        <v>109</v>
      </c>
      <c r="L497" s="1">
        <v>46143</v>
      </c>
      <c r="M497" s="1">
        <v>46173</v>
      </c>
      <c r="N497">
        <v>4.9940999999999999E-2</v>
      </c>
      <c r="O497" t="s">
        <v>58</v>
      </c>
      <c r="P497" t="s">
        <v>63</v>
      </c>
      <c r="Q497" t="s">
        <v>3957</v>
      </c>
      <c r="R497" t="s">
        <v>3958</v>
      </c>
      <c r="S497" t="s">
        <v>67</v>
      </c>
      <c r="T497" t="s">
        <v>4054</v>
      </c>
      <c r="U497" t="s">
        <v>4055</v>
      </c>
      <c r="V497">
        <v>16</v>
      </c>
      <c r="W497" s="2">
        <v>0</v>
      </c>
    </row>
    <row r="498" spans="1:23" x14ac:dyDescent="0.25">
      <c r="A498" t="s">
        <v>31</v>
      </c>
      <c r="B498" t="s">
        <v>32</v>
      </c>
      <c r="C498" t="s">
        <v>33</v>
      </c>
      <c r="D498" t="s">
        <v>34</v>
      </c>
      <c r="E498" t="s">
        <v>35</v>
      </c>
      <c r="F498" t="s">
        <v>36</v>
      </c>
      <c r="G498">
        <v>1141685</v>
      </c>
      <c r="H498" t="s">
        <v>76</v>
      </c>
      <c r="I498" t="s">
        <v>95</v>
      </c>
      <c r="J498" t="s">
        <v>99</v>
      </c>
      <c r="K498" t="s">
        <v>109</v>
      </c>
      <c r="L498" s="1">
        <v>46143</v>
      </c>
      <c r="M498" s="1">
        <v>46173</v>
      </c>
      <c r="N498">
        <v>90</v>
      </c>
      <c r="O498" t="s">
        <v>58</v>
      </c>
      <c r="P498" t="s">
        <v>63</v>
      </c>
      <c r="Q498" t="s">
        <v>3957</v>
      </c>
      <c r="R498" t="s">
        <v>3958</v>
      </c>
      <c r="S498" t="s">
        <v>67</v>
      </c>
      <c r="T498" t="s">
        <v>4054</v>
      </c>
      <c r="U498" t="s">
        <v>4055</v>
      </c>
      <c r="V498">
        <v>16</v>
      </c>
      <c r="W498" s="2">
        <v>0</v>
      </c>
    </row>
    <row r="499" spans="1:23" x14ac:dyDescent="0.25">
      <c r="A499" t="s">
        <v>31</v>
      </c>
      <c r="B499" t="s">
        <v>32</v>
      </c>
      <c r="C499" t="s">
        <v>33</v>
      </c>
      <c r="D499" t="s">
        <v>34</v>
      </c>
      <c r="E499" t="s">
        <v>35</v>
      </c>
      <c r="F499" t="s">
        <v>36</v>
      </c>
      <c r="G499">
        <v>1141685</v>
      </c>
      <c r="H499" t="s">
        <v>3912</v>
      </c>
      <c r="I499" t="s">
        <v>3913</v>
      </c>
      <c r="J499" t="s">
        <v>3914</v>
      </c>
      <c r="K499" t="s">
        <v>3915</v>
      </c>
      <c r="L499" s="1">
        <v>46143</v>
      </c>
      <c r="M499" s="1">
        <v>46173</v>
      </c>
      <c r="N499">
        <v>7.7103224999999997E-2</v>
      </c>
      <c r="O499" t="s">
        <v>58</v>
      </c>
      <c r="P499" t="s">
        <v>63</v>
      </c>
      <c r="Q499" t="s">
        <v>3916</v>
      </c>
      <c r="R499" t="s">
        <v>3917</v>
      </c>
      <c r="S499" t="s">
        <v>67</v>
      </c>
      <c r="T499" t="s">
        <v>4061</v>
      </c>
      <c r="U499" t="s">
        <v>4062</v>
      </c>
      <c r="V499">
        <v>15</v>
      </c>
      <c r="W499" s="2">
        <v>672.57285987400007</v>
      </c>
    </row>
    <row r="500" spans="1:23" x14ac:dyDescent="0.25">
      <c r="A500" t="s">
        <v>31</v>
      </c>
      <c r="B500" t="s">
        <v>32</v>
      </c>
      <c r="C500" t="s">
        <v>33</v>
      </c>
      <c r="D500" t="s">
        <v>34</v>
      </c>
      <c r="E500" t="s">
        <v>35</v>
      </c>
      <c r="F500" t="s">
        <v>36</v>
      </c>
      <c r="G500">
        <v>1141685</v>
      </c>
      <c r="H500" t="s">
        <v>75</v>
      </c>
      <c r="I500" t="s">
        <v>94</v>
      </c>
      <c r="J500" t="s">
        <v>98</v>
      </c>
      <c r="K500" t="s">
        <v>108</v>
      </c>
      <c r="L500" s="1">
        <v>46143</v>
      </c>
      <c r="M500" s="1">
        <v>46173</v>
      </c>
      <c r="N500">
        <v>8.0325715000000002E-3</v>
      </c>
      <c r="O500" t="s">
        <v>56</v>
      </c>
      <c r="P500" t="s">
        <v>63</v>
      </c>
      <c r="Q500" t="s">
        <v>3904</v>
      </c>
      <c r="R500" t="s">
        <v>3950</v>
      </c>
      <c r="S500" t="s">
        <v>67</v>
      </c>
      <c r="T500" t="s">
        <v>4063</v>
      </c>
      <c r="U500" t="s">
        <v>4064</v>
      </c>
      <c r="V500">
        <v>16</v>
      </c>
      <c r="W500" s="2">
        <v>15.5722774499</v>
      </c>
    </row>
    <row r="501" spans="1:23" x14ac:dyDescent="0.25">
      <c r="A501" t="s">
        <v>31</v>
      </c>
      <c r="B501" t="s">
        <v>32</v>
      </c>
      <c r="C501" t="s">
        <v>33</v>
      </c>
      <c r="D501" t="s">
        <v>34</v>
      </c>
      <c r="E501" t="s">
        <v>35</v>
      </c>
      <c r="F501" t="s">
        <v>36</v>
      </c>
      <c r="G501">
        <v>1141685</v>
      </c>
      <c r="H501" t="s">
        <v>80</v>
      </c>
      <c r="I501" t="s">
        <v>96</v>
      </c>
      <c r="J501" t="s">
        <v>80</v>
      </c>
      <c r="K501" t="s">
        <v>115</v>
      </c>
      <c r="L501" s="1">
        <v>46143</v>
      </c>
      <c r="M501" s="1">
        <v>46173</v>
      </c>
      <c r="N501">
        <v>6.5412400000000004E-5</v>
      </c>
      <c r="O501" t="s">
        <v>56</v>
      </c>
      <c r="P501" t="s">
        <v>63</v>
      </c>
      <c r="Q501" t="s">
        <v>3900</v>
      </c>
      <c r="R501" t="s">
        <v>3901</v>
      </c>
      <c r="S501" t="s">
        <v>67</v>
      </c>
      <c r="T501" t="s">
        <v>4065</v>
      </c>
      <c r="U501" t="s">
        <v>4066</v>
      </c>
      <c r="V501">
        <v>16</v>
      </c>
      <c r="W501" s="2">
        <v>1.00424213E-2</v>
      </c>
    </row>
    <row r="502" spans="1:23" x14ac:dyDescent="0.25">
      <c r="A502" t="s">
        <v>31</v>
      </c>
      <c r="B502" t="s">
        <v>32</v>
      </c>
      <c r="C502" t="s">
        <v>33</v>
      </c>
      <c r="D502" t="s">
        <v>34</v>
      </c>
      <c r="E502" t="s">
        <v>35</v>
      </c>
      <c r="F502" t="s">
        <v>36</v>
      </c>
      <c r="G502">
        <v>1141685</v>
      </c>
      <c r="H502" t="s">
        <v>80</v>
      </c>
      <c r="I502" t="s">
        <v>96</v>
      </c>
      <c r="J502" t="s">
        <v>80</v>
      </c>
      <c r="K502" t="s">
        <v>115</v>
      </c>
      <c r="L502" s="1">
        <v>46143</v>
      </c>
      <c r="M502" s="1">
        <v>46173</v>
      </c>
      <c r="N502">
        <v>1.24122E-4</v>
      </c>
      <c r="O502" t="s">
        <v>56</v>
      </c>
      <c r="P502" t="s">
        <v>63</v>
      </c>
      <c r="Q502" t="s">
        <v>3900</v>
      </c>
      <c r="R502" t="s">
        <v>3901</v>
      </c>
      <c r="S502" t="s">
        <v>67</v>
      </c>
      <c r="T502" t="s">
        <v>4067</v>
      </c>
      <c r="U502" t="s">
        <v>4068</v>
      </c>
      <c r="V502">
        <v>16</v>
      </c>
      <c r="W502" s="2">
        <v>1.9055807599999999E-2</v>
      </c>
    </row>
    <row r="503" spans="1:23" x14ac:dyDescent="0.25">
      <c r="A503" t="s">
        <v>31</v>
      </c>
      <c r="B503" t="s">
        <v>32</v>
      </c>
      <c r="C503" t="s">
        <v>33</v>
      </c>
      <c r="D503" t="s">
        <v>34</v>
      </c>
      <c r="E503" t="s">
        <v>35</v>
      </c>
      <c r="F503" t="s">
        <v>36</v>
      </c>
      <c r="G503">
        <v>1141685</v>
      </c>
      <c r="H503" t="s">
        <v>3912</v>
      </c>
      <c r="I503" t="s">
        <v>3913</v>
      </c>
      <c r="J503" t="s">
        <v>3914</v>
      </c>
      <c r="K503" t="s">
        <v>3915</v>
      </c>
      <c r="L503" s="1">
        <v>46143</v>
      </c>
      <c r="M503" s="1">
        <v>46173</v>
      </c>
      <c r="N503">
        <v>6.1323074999999998E-2</v>
      </c>
      <c r="O503" t="s">
        <v>58</v>
      </c>
      <c r="P503" t="s">
        <v>63</v>
      </c>
      <c r="Q503" t="s">
        <v>3916</v>
      </c>
      <c r="R503" t="s">
        <v>3917</v>
      </c>
      <c r="S503" t="s">
        <v>67</v>
      </c>
      <c r="T503" t="s">
        <v>4069</v>
      </c>
      <c r="U503" t="s">
        <v>4070</v>
      </c>
      <c r="V503">
        <v>15</v>
      </c>
      <c r="W503" s="2">
        <v>534.92064123799992</v>
      </c>
    </row>
    <row r="504" spans="1:23" x14ac:dyDescent="0.25">
      <c r="A504" t="s">
        <v>31</v>
      </c>
      <c r="B504" t="s">
        <v>32</v>
      </c>
      <c r="C504" t="s">
        <v>33</v>
      </c>
      <c r="D504" t="s">
        <v>34</v>
      </c>
      <c r="E504" t="s">
        <v>35</v>
      </c>
      <c r="F504" t="s">
        <v>36</v>
      </c>
      <c r="G504">
        <v>1141685</v>
      </c>
      <c r="H504" t="s">
        <v>91</v>
      </c>
      <c r="I504" t="s">
        <v>95</v>
      </c>
      <c r="J504" t="s">
        <v>106</v>
      </c>
      <c r="K504" t="s">
        <v>479</v>
      </c>
      <c r="L504" s="1">
        <v>46143</v>
      </c>
      <c r="M504" s="1">
        <v>46173</v>
      </c>
      <c r="N504">
        <v>207.31811999999999</v>
      </c>
      <c r="O504" t="s">
        <v>58</v>
      </c>
      <c r="P504" t="s">
        <v>63</v>
      </c>
      <c r="Q504" t="s">
        <v>3953</v>
      </c>
      <c r="R504" t="s">
        <v>3909</v>
      </c>
      <c r="S504" t="s">
        <v>67</v>
      </c>
      <c r="T504" t="s">
        <v>4071</v>
      </c>
      <c r="U504" t="s">
        <v>4072</v>
      </c>
      <c r="V504">
        <v>16</v>
      </c>
      <c r="W504" s="2">
        <v>904217.98273440008</v>
      </c>
    </row>
    <row r="505" spans="1:23" x14ac:dyDescent="0.25">
      <c r="A505" t="s">
        <v>31</v>
      </c>
      <c r="B505" t="s">
        <v>32</v>
      </c>
      <c r="C505" t="s">
        <v>33</v>
      </c>
      <c r="D505" t="s">
        <v>34</v>
      </c>
      <c r="E505" t="s">
        <v>35</v>
      </c>
      <c r="F505" t="s">
        <v>36</v>
      </c>
      <c r="G505">
        <v>1141685</v>
      </c>
      <c r="H505" t="s">
        <v>91</v>
      </c>
      <c r="I505" t="s">
        <v>95</v>
      </c>
      <c r="J505" t="s">
        <v>106</v>
      </c>
      <c r="K505" t="s">
        <v>479</v>
      </c>
      <c r="L505" s="1">
        <v>46143</v>
      </c>
      <c r="M505" s="1">
        <v>46173</v>
      </c>
      <c r="N505">
        <v>0.983352</v>
      </c>
      <c r="O505" t="s">
        <v>58</v>
      </c>
      <c r="P505" t="s">
        <v>63</v>
      </c>
      <c r="Q505" t="s">
        <v>3957</v>
      </c>
      <c r="R505" t="s">
        <v>3958</v>
      </c>
      <c r="S505" t="s">
        <v>67</v>
      </c>
      <c r="T505" t="s">
        <v>4073</v>
      </c>
      <c r="U505" t="s">
        <v>4074</v>
      </c>
      <c r="V505">
        <v>16</v>
      </c>
      <c r="W505" s="2">
        <v>4288.89297824</v>
      </c>
    </row>
    <row r="506" spans="1:23" x14ac:dyDescent="0.25">
      <c r="A506" t="s">
        <v>31</v>
      </c>
      <c r="B506" t="s">
        <v>32</v>
      </c>
      <c r="C506" t="s">
        <v>33</v>
      </c>
      <c r="D506" t="s">
        <v>34</v>
      </c>
      <c r="E506" t="s">
        <v>35</v>
      </c>
      <c r="F506" t="s">
        <v>36</v>
      </c>
      <c r="G506">
        <v>1141685</v>
      </c>
      <c r="H506" t="s">
        <v>91</v>
      </c>
      <c r="I506" t="s">
        <v>95</v>
      </c>
      <c r="J506" t="s">
        <v>106</v>
      </c>
      <c r="K506" t="s">
        <v>479</v>
      </c>
      <c r="L506" s="1">
        <v>46143</v>
      </c>
      <c r="M506" s="1">
        <v>46173</v>
      </c>
      <c r="N506">
        <v>52</v>
      </c>
      <c r="O506" t="s">
        <v>58</v>
      </c>
      <c r="P506" t="s">
        <v>63</v>
      </c>
      <c r="Q506" t="s">
        <v>3957</v>
      </c>
      <c r="R506" t="s">
        <v>3958</v>
      </c>
      <c r="S506" t="s">
        <v>67</v>
      </c>
      <c r="T506" t="s">
        <v>4075</v>
      </c>
      <c r="U506" t="s">
        <v>4076</v>
      </c>
      <c r="V506">
        <v>16</v>
      </c>
      <c r="W506" s="2">
        <v>226798</v>
      </c>
    </row>
    <row r="507" spans="1:23" x14ac:dyDescent="0.25">
      <c r="A507" t="s">
        <v>31</v>
      </c>
      <c r="B507" t="s">
        <v>32</v>
      </c>
      <c r="C507" t="s">
        <v>33</v>
      </c>
      <c r="D507" t="s">
        <v>34</v>
      </c>
      <c r="E507" t="s">
        <v>35</v>
      </c>
      <c r="F507" t="s">
        <v>36</v>
      </c>
      <c r="G507">
        <v>1141685</v>
      </c>
      <c r="H507" t="s">
        <v>3912</v>
      </c>
      <c r="I507" t="s">
        <v>3913</v>
      </c>
      <c r="J507" t="s">
        <v>3914</v>
      </c>
      <c r="K507" t="s">
        <v>3915</v>
      </c>
      <c r="L507" s="1">
        <v>46143</v>
      </c>
      <c r="M507" s="1">
        <v>46173</v>
      </c>
      <c r="N507">
        <v>5.5845449999999998E-2</v>
      </c>
      <c r="O507" t="s">
        <v>58</v>
      </c>
      <c r="P507" t="s">
        <v>63</v>
      </c>
      <c r="Q507" t="s">
        <v>3916</v>
      </c>
      <c r="R507" t="s">
        <v>3917</v>
      </c>
      <c r="S507" t="s">
        <v>67</v>
      </c>
      <c r="T507" t="s">
        <v>4077</v>
      </c>
      <c r="U507" t="s">
        <v>4078</v>
      </c>
      <c r="V507">
        <v>15</v>
      </c>
      <c r="W507" s="2">
        <v>487.143077108</v>
      </c>
    </row>
    <row r="508" spans="1:23" x14ac:dyDescent="0.25">
      <c r="A508" t="s">
        <v>31</v>
      </c>
      <c r="B508" t="s">
        <v>32</v>
      </c>
      <c r="C508" t="s">
        <v>33</v>
      </c>
      <c r="D508" t="s">
        <v>34</v>
      </c>
      <c r="E508" t="s">
        <v>35</v>
      </c>
      <c r="F508" t="s">
        <v>36</v>
      </c>
      <c r="G508">
        <v>1141685</v>
      </c>
      <c r="H508" t="s">
        <v>4079</v>
      </c>
      <c r="I508" t="s">
        <v>4079</v>
      </c>
      <c r="J508" t="s">
        <v>4079</v>
      </c>
      <c r="K508" t="s">
        <v>131</v>
      </c>
      <c r="L508" s="1">
        <v>46143</v>
      </c>
      <c r="M508" s="1">
        <v>46173</v>
      </c>
      <c r="N508">
        <v>9.9223817884999992</v>
      </c>
      <c r="O508" t="s">
        <v>56</v>
      </c>
      <c r="P508" t="s">
        <v>63</v>
      </c>
      <c r="Q508" t="s">
        <v>3993</v>
      </c>
      <c r="R508" t="s">
        <v>4080</v>
      </c>
      <c r="S508" t="s">
        <v>67</v>
      </c>
      <c r="T508" t="s">
        <v>4081</v>
      </c>
      <c r="U508" t="s">
        <v>4082</v>
      </c>
      <c r="V508">
        <v>6</v>
      </c>
      <c r="W508" s="2">
        <v>7789.7625582056007</v>
      </c>
    </row>
    <row r="509" spans="1:23" x14ac:dyDescent="0.25">
      <c r="A509" t="s">
        <v>31</v>
      </c>
      <c r="B509" t="s">
        <v>32</v>
      </c>
      <c r="C509" t="s">
        <v>33</v>
      </c>
      <c r="D509" t="s">
        <v>34</v>
      </c>
      <c r="E509" t="s">
        <v>35</v>
      </c>
      <c r="F509" t="s">
        <v>36</v>
      </c>
      <c r="G509">
        <v>1141685</v>
      </c>
      <c r="H509" t="s">
        <v>4079</v>
      </c>
      <c r="I509" t="s">
        <v>4079</v>
      </c>
      <c r="J509" t="s">
        <v>4079</v>
      </c>
      <c r="K509" t="s">
        <v>131</v>
      </c>
      <c r="L509" s="1">
        <v>46143</v>
      </c>
      <c r="M509" s="1">
        <v>46173</v>
      </c>
      <c r="N509">
        <v>8.2512199999999996E-4</v>
      </c>
      <c r="O509" t="s">
        <v>56</v>
      </c>
      <c r="P509" t="s">
        <v>63</v>
      </c>
      <c r="Q509" t="s">
        <v>3916</v>
      </c>
      <c r="R509" t="s">
        <v>3917</v>
      </c>
      <c r="S509" t="s">
        <v>67</v>
      </c>
      <c r="T509" t="s">
        <v>4083</v>
      </c>
      <c r="U509" t="s">
        <v>4084</v>
      </c>
      <c r="V509">
        <v>9</v>
      </c>
      <c r="W509" s="2">
        <v>0.6500451049</v>
      </c>
    </row>
    <row r="510" spans="1:23" x14ac:dyDescent="0.25">
      <c r="A510" t="s">
        <v>31</v>
      </c>
      <c r="B510" t="s">
        <v>32</v>
      </c>
      <c r="C510" t="s">
        <v>33</v>
      </c>
      <c r="D510" t="s">
        <v>34</v>
      </c>
      <c r="E510" t="s">
        <v>35</v>
      </c>
      <c r="F510" t="s">
        <v>36</v>
      </c>
      <c r="G510">
        <v>1141685</v>
      </c>
      <c r="H510" t="s">
        <v>91</v>
      </c>
      <c r="I510" t="s">
        <v>95</v>
      </c>
      <c r="J510" t="s">
        <v>106</v>
      </c>
      <c r="K510" t="s">
        <v>479</v>
      </c>
      <c r="L510" s="1">
        <v>46143</v>
      </c>
      <c r="M510" s="1">
        <v>46173</v>
      </c>
      <c r="N510">
        <v>35</v>
      </c>
      <c r="O510" t="s">
        <v>58</v>
      </c>
      <c r="P510" t="s">
        <v>63</v>
      </c>
      <c r="Q510" t="s">
        <v>3957</v>
      </c>
      <c r="R510" t="s">
        <v>3958</v>
      </c>
      <c r="S510" t="s">
        <v>67</v>
      </c>
      <c r="T510" t="s">
        <v>4085</v>
      </c>
      <c r="U510" t="s">
        <v>4086</v>
      </c>
      <c r="V510">
        <v>16</v>
      </c>
      <c r="W510" s="2">
        <v>152652.5</v>
      </c>
    </row>
    <row r="511" spans="1:23" x14ac:dyDescent="0.25">
      <c r="A511" t="s">
        <v>31</v>
      </c>
      <c r="B511" t="s">
        <v>32</v>
      </c>
      <c r="C511" t="s">
        <v>33</v>
      </c>
      <c r="D511" t="s">
        <v>34</v>
      </c>
      <c r="E511" t="s">
        <v>35</v>
      </c>
      <c r="F511" t="s">
        <v>36</v>
      </c>
      <c r="G511">
        <v>1141685</v>
      </c>
      <c r="H511" t="s">
        <v>4087</v>
      </c>
      <c r="I511" t="s">
        <v>43</v>
      </c>
      <c r="J511" t="s">
        <v>4088</v>
      </c>
      <c r="K511" t="s">
        <v>128</v>
      </c>
      <c r="L511" s="1">
        <v>46143</v>
      </c>
      <c r="M511" s="1">
        <v>46173</v>
      </c>
      <c r="N511">
        <v>0.75134408600000002</v>
      </c>
      <c r="O511" t="s">
        <v>135</v>
      </c>
      <c r="P511" t="s">
        <v>63</v>
      </c>
      <c r="Q511" t="s">
        <v>3916</v>
      </c>
      <c r="R511" t="s">
        <v>4089</v>
      </c>
      <c r="S511" t="s">
        <v>67</v>
      </c>
      <c r="T511" t="s">
        <v>4090</v>
      </c>
      <c r="U511" t="s">
        <v>4091</v>
      </c>
      <c r="V511">
        <v>8</v>
      </c>
      <c r="W511" s="2">
        <v>196619.2358064494</v>
      </c>
    </row>
    <row r="512" spans="1:23" x14ac:dyDescent="0.25">
      <c r="A512" t="s">
        <v>31</v>
      </c>
      <c r="B512" t="s">
        <v>32</v>
      </c>
      <c r="C512" t="s">
        <v>33</v>
      </c>
      <c r="D512" t="s">
        <v>34</v>
      </c>
      <c r="E512" t="s">
        <v>35</v>
      </c>
      <c r="F512" t="s">
        <v>36</v>
      </c>
      <c r="G512">
        <v>1141685</v>
      </c>
      <c r="H512" t="s">
        <v>84</v>
      </c>
      <c r="I512" t="s">
        <v>97</v>
      </c>
      <c r="J512" t="s">
        <v>104</v>
      </c>
      <c r="K512" t="s">
        <v>121</v>
      </c>
      <c r="L512" s="1">
        <v>46143</v>
      </c>
      <c r="M512" s="1">
        <v>46173</v>
      </c>
      <c r="N512">
        <v>14.7435644006</v>
      </c>
      <c r="O512" t="s">
        <v>57</v>
      </c>
      <c r="P512" t="s">
        <v>63</v>
      </c>
      <c r="Q512" t="s">
        <v>3936</v>
      </c>
      <c r="R512" t="s">
        <v>4092</v>
      </c>
      <c r="S512" t="s">
        <v>67</v>
      </c>
      <c r="T512" t="s">
        <v>4093</v>
      </c>
      <c r="U512" t="s">
        <v>4094</v>
      </c>
      <c r="V512">
        <v>6</v>
      </c>
      <c r="W512" s="2">
        <v>61731.896621421402</v>
      </c>
    </row>
    <row r="513" spans="1:23" x14ac:dyDescent="0.25">
      <c r="A513" t="s">
        <v>31</v>
      </c>
      <c r="B513" t="s">
        <v>32</v>
      </c>
      <c r="C513" t="s">
        <v>33</v>
      </c>
      <c r="D513" t="s">
        <v>34</v>
      </c>
      <c r="E513" t="s">
        <v>35</v>
      </c>
      <c r="F513" t="s">
        <v>36</v>
      </c>
      <c r="G513">
        <v>1141685</v>
      </c>
      <c r="H513" t="s">
        <v>4095</v>
      </c>
      <c r="I513" t="s">
        <v>97</v>
      </c>
      <c r="J513" t="s">
        <v>4096</v>
      </c>
      <c r="K513" t="s">
        <v>119</v>
      </c>
      <c r="L513" s="1">
        <v>46143</v>
      </c>
      <c r="M513" s="1">
        <v>46173</v>
      </c>
      <c r="N513">
        <v>14</v>
      </c>
      <c r="O513" t="s">
        <v>58</v>
      </c>
      <c r="P513" t="s">
        <v>63</v>
      </c>
      <c r="Q513" t="s">
        <v>3936</v>
      </c>
      <c r="R513" t="s">
        <v>4097</v>
      </c>
      <c r="S513" t="s">
        <v>67</v>
      </c>
      <c r="T513" t="s">
        <v>4098</v>
      </c>
      <c r="U513" t="s">
        <v>4099</v>
      </c>
      <c r="V513">
        <v>6</v>
      </c>
      <c r="W513" s="2">
        <v>53090.095412800001</v>
      </c>
    </row>
    <row r="514" spans="1:23" x14ac:dyDescent="0.25">
      <c r="A514" t="s">
        <v>31</v>
      </c>
      <c r="B514" t="s">
        <v>32</v>
      </c>
      <c r="C514" t="s">
        <v>33</v>
      </c>
      <c r="D514" t="s">
        <v>34</v>
      </c>
      <c r="E514" t="s">
        <v>35</v>
      </c>
      <c r="F514" t="s">
        <v>36</v>
      </c>
      <c r="G514">
        <v>1141685</v>
      </c>
      <c r="H514" t="s">
        <v>76</v>
      </c>
      <c r="I514" t="s">
        <v>95</v>
      </c>
      <c r="J514" t="s">
        <v>99</v>
      </c>
      <c r="K514" t="s">
        <v>109</v>
      </c>
      <c r="L514" s="1">
        <v>46143</v>
      </c>
      <c r="M514" s="1">
        <v>46173</v>
      </c>
      <c r="N514">
        <v>306.89692600000001</v>
      </c>
      <c r="O514" t="s">
        <v>58</v>
      </c>
      <c r="P514" t="s">
        <v>63</v>
      </c>
      <c r="Q514" t="s">
        <v>3953</v>
      </c>
      <c r="R514" t="s">
        <v>3909</v>
      </c>
      <c r="S514" t="s">
        <v>67</v>
      </c>
      <c r="T514" t="s">
        <v>3966</v>
      </c>
      <c r="U514" t="s">
        <v>3967</v>
      </c>
      <c r="V514">
        <v>16</v>
      </c>
      <c r="W514" s="2">
        <v>0</v>
      </c>
    </row>
    <row r="515" spans="1:23" x14ac:dyDescent="0.25">
      <c r="A515" t="s">
        <v>31</v>
      </c>
      <c r="B515" t="s">
        <v>32</v>
      </c>
      <c r="C515" t="s">
        <v>33</v>
      </c>
      <c r="D515" t="s">
        <v>34</v>
      </c>
      <c r="E515" t="s">
        <v>35</v>
      </c>
      <c r="F515" t="s">
        <v>36</v>
      </c>
      <c r="G515">
        <v>1141685</v>
      </c>
      <c r="H515" t="s">
        <v>4100</v>
      </c>
      <c r="I515" t="s">
        <v>42</v>
      </c>
      <c r="J515" t="s">
        <v>4100</v>
      </c>
      <c r="K515" t="s">
        <v>4101</v>
      </c>
      <c r="L515" s="1">
        <v>46143</v>
      </c>
      <c r="M515" s="1">
        <v>46173</v>
      </c>
      <c r="N515">
        <v>0.62922199999999995</v>
      </c>
      <c r="O515" t="s">
        <v>56</v>
      </c>
      <c r="P515" t="s">
        <v>63</v>
      </c>
      <c r="Q515" t="s">
        <v>4102</v>
      </c>
      <c r="R515" t="s">
        <v>4103</v>
      </c>
      <c r="S515" t="s">
        <v>67</v>
      </c>
      <c r="T515" t="s">
        <v>4104</v>
      </c>
      <c r="U515" t="s">
        <v>4105</v>
      </c>
      <c r="V515">
        <v>9</v>
      </c>
      <c r="W515" s="2">
        <v>987.97063535040002</v>
      </c>
    </row>
    <row r="516" spans="1:23" x14ac:dyDescent="0.25">
      <c r="A516" t="s">
        <v>31</v>
      </c>
      <c r="B516" t="s">
        <v>32</v>
      </c>
      <c r="C516" t="s">
        <v>33</v>
      </c>
      <c r="D516" t="s">
        <v>34</v>
      </c>
      <c r="E516" t="s">
        <v>35</v>
      </c>
      <c r="F516" t="s">
        <v>36</v>
      </c>
      <c r="G516">
        <v>1141685</v>
      </c>
      <c r="H516" t="s">
        <v>86</v>
      </c>
      <c r="I516" t="s">
        <v>42</v>
      </c>
      <c r="J516" t="s">
        <v>86</v>
      </c>
      <c r="K516" t="s">
        <v>132</v>
      </c>
      <c r="L516" s="1">
        <v>46143</v>
      </c>
      <c r="M516" s="1">
        <v>46173</v>
      </c>
      <c r="N516">
        <v>0.20294400000000001</v>
      </c>
      <c r="O516" t="s">
        <v>135</v>
      </c>
      <c r="P516" t="s">
        <v>63</v>
      </c>
      <c r="Q516" t="s">
        <v>1359</v>
      </c>
      <c r="R516" t="s">
        <v>4106</v>
      </c>
      <c r="S516" t="s">
        <v>67</v>
      </c>
      <c r="T516" t="s">
        <v>4107</v>
      </c>
      <c r="U516" t="s">
        <v>4108</v>
      </c>
      <c r="V516">
        <v>6</v>
      </c>
      <c r="W516" s="2">
        <v>36138.505607331797</v>
      </c>
    </row>
    <row r="517" spans="1:23" x14ac:dyDescent="0.25">
      <c r="A517" t="s">
        <v>31</v>
      </c>
      <c r="B517" t="s">
        <v>32</v>
      </c>
      <c r="C517" t="s">
        <v>33</v>
      </c>
      <c r="D517" t="s">
        <v>34</v>
      </c>
      <c r="E517" t="s">
        <v>35</v>
      </c>
      <c r="F517" t="s">
        <v>36</v>
      </c>
      <c r="G517">
        <v>1141685</v>
      </c>
      <c r="H517" t="s">
        <v>3912</v>
      </c>
      <c r="I517" t="s">
        <v>3913</v>
      </c>
      <c r="J517" t="s">
        <v>3914</v>
      </c>
      <c r="K517" t="s">
        <v>3915</v>
      </c>
      <c r="L517" s="1">
        <v>46143</v>
      </c>
      <c r="M517" s="1">
        <v>46173</v>
      </c>
      <c r="N517">
        <v>8.5443525000000006E-2</v>
      </c>
      <c r="O517" t="s">
        <v>58</v>
      </c>
      <c r="P517" t="s">
        <v>63</v>
      </c>
      <c r="Q517" t="s">
        <v>3916</v>
      </c>
      <c r="R517" t="s">
        <v>3917</v>
      </c>
      <c r="S517" t="s">
        <v>67</v>
      </c>
      <c r="T517" t="s">
        <v>4109</v>
      </c>
      <c r="U517" t="s">
        <v>4110</v>
      </c>
      <c r="V517">
        <v>15</v>
      </c>
      <c r="W517" s="2">
        <v>745.32500434579993</v>
      </c>
    </row>
    <row r="518" spans="1:23" x14ac:dyDescent="0.25">
      <c r="A518" t="s">
        <v>31</v>
      </c>
      <c r="B518" t="s">
        <v>32</v>
      </c>
      <c r="C518" t="s">
        <v>33</v>
      </c>
      <c r="D518" t="s">
        <v>34</v>
      </c>
      <c r="E518" t="s">
        <v>35</v>
      </c>
      <c r="F518" t="s">
        <v>36</v>
      </c>
      <c r="G518">
        <v>1141685</v>
      </c>
      <c r="H518" t="s">
        <v>3912</v>
      </c>
      <c r="I518" t="s">
        <v>3913</v>
      </c>
      <c r="J518" t="s">
        <v>3914</v>
      </c>
      <c r="K518" t="s">
        <v>3915</v>
      </c>
      <c r="L518" s="1">
        <v>46143</v>
      </c>
      <c r="M518" s="1">
        <v>46173</v>
      </c>
      <c r="N518">
        <v>5.3055625000000002E-2</v>
      </c>
      <c r="O518" t="s">
        <v>58</v>
      </c>
      <c r="P518" t="s">
        <v>63</v>
      </c>
      <c r="Q518" t="s">
        <v>3916</v>
      </c>
      <c r="R518" t="s">
        <v>3917</v>
      </c>
      <c r="S518" t="s">
        <v>67</v>
      </c>
      <c r="T518" t="s">
        <v>4111</v>
      </c>
      <c r="U518" t="s">
        <v>4112</v>
      </c>
      <c r="V518">
        <v>15</v>
      </c>
      <c r="W518" s="2">
        <v>462.80771084999998</v>
      </c>
    </row>
    <row r="519" spans="1:23" x14ac:dyDescent="0.25">
      <c r="A519" t="s">
        <v>31</v>
      </c>
      <c r="B519" t="s">
        <v>32</v>
      </c>
      <c r="C519" t="s">
        <v>33</v>
      </c>
      <c r="D519" t="s">
        <v>34</v>
      </c>
      <c r="E519" t="s">
        <v>35</v>
      </c>
      <c r="F519" t="s">
        <v>36</v>
      </c>
      <c r="G519">
        <v>1141685</v>
      </c>
      <c r="H519" t="s">
        <v>79</v>
      </c>
      <c r="I519" t="s">
        <v>94</v>
      </c>
      <c r="J519" t="s">
        <v>101</v>
      </c>
      <c r="K519" t="s">
        <v>116</v>
      </c>
      <c r="L519" s="1">
        <v>46143</v>
      </c>
      <c r="M519" s="1">
        <v>46173</v>
      </c>
      <c r="N519">
        <v>2.2934189999999999E-4</v>
      </c>
      <c r="O519" t="s">
        <v>56</v>
      </c>
      <c r="P519" t="s">
        <v>63</v>
      </c>
      <c r="Q519" t="s">
        <v>3908</v>
      </c>
      <c r="R519" t="s">
        <v>3909</v>
      </c>
      <c r="S519" t="s">
        <v>67</v>
      </c>
      <c r="T519" t="s">
        <v>4113</v>
      </c>
      <c r="U519" t="s">
        <v>4114</v>
      </c>
      <c r="V519">
        <v>16</v>
      </c>
      <c r="W519" s="2">
        <v>0.32167736600000002</v>
      </c>
    </row>
    <row r="520" spans="1:23" x14ac:dyDescent="0.25">
      <c r="A520" t="s">
        <v>31</v>
      </c>
      <c r="B520" t="s">
        <v>32</v>
      </c>
      <c r="C520" t="s">
        <v>33</v>
      </c>
      <c r="D520" t="s">
        <v>34</v>
      </c>
      <c r="E520" t="s">
        <v>35</v>
      </c>
      <c r="F520" t="s">
        <v>36</v>
      </c>
      <c r="G520">
        <v>1141685</v>
      </c>
      <c r="H520" t="s">
        <v>79</v>
      </c>
      <c r="I520" t="s">
        <v>94</v>
      </c>
      <c r="J520" t="s">
        <v>101</v>
      </c>
      <c r="K520" t="s">
        <v>116</v>
      </c>
      <c r="L520" s="1">
        <v>46143</v>
      </c>
      <c r="M520" s="1">
        <v>46173</v>
      </c>
      <c r="N520">
        <v>3.22767999E-2</v>
      </c>
      <c r="O520" t="s">
        <v>56</v>
      </c>
      <c r="P520" t="s">
        <v>63</v>
      </c>
      <c r="Q520" t="s">
        <v>3908</v>
      </c>
      <c r="R520" t="s">
        <v>3909</v>
      </c>
      <c r="S520" t="s">
        <v>67</v>
      </c>
      <c r="T520" t="s">
        <v>4115</v>
      </c>
      <c r="U520" t="s">
        <v>4116</v>
      </c>
      <c r="V520">
        <v>16</v>
      </c>
      <c r="W520" s="2">
        <v>39.9863774158</v>
      </c>
    </row>
    <row r="521" spans="1:23" x14ac:dyDescent="0.25">
      <c r="A521" t="s">
        <v>31</v>
      </c>
      <c r="B521" t="s">
        <v>32</v>
      </c>
      <c r="C521" t="s">
        <v>33</v>
      </c>
      <c r="D521" t="s">
        <v>34</v>
      </c>
      <c r="E521" t="s">
        <v>35</v>
      </c>
      <c r="F521" t="s">
        <v>36</v>
      </c>
      <c r="G521">
        <v>1141685</v>
      </c>
      <c r="H521" t="s">
        <v>79</v>
      </c>
      <c r="I521" t="s">
        <v>94</v>
      </c>
      <c r="J521" t="s">
        <v>101</v>
      </c>
      <c r="K521" t="s">
        <v>114</v>
      </c>
      <c r="L521" s="1">
        <v>46143</v>
      </c>
      <c r="M521" s="1">
        <v>46173</v>
      </c>
      <c r="N521">
        <v>7.8230000000000001E-7</v>
      </c>
      <c r="O521" t="s">
        <v>56</v>
      </c>
      <c r="P521" t="s">
        <v>63</v>
      </c>
      <c r="Q521" t="s">
        <v>3900</v>
      </c>
      <c r="R521" t="s">
        <v>3958</v>
      </c>
      <c r="S521" t="s">
        <v>67</v>
      </c>
      <c r="T521" t="s">
        <v>4117</v>
      </c>
      <c r="U521" t="s">
        <v>4118</v>
      </c>
      <c r="V521">
        <v>16</v>
      </c>
      <c r="W521" s="2">
        <v>9.6083300000000002E-4</v>
      </c>
    </row>
    <row r="522" spans="1:23" x14ac:dyDescent="0.25">
      <c r="A522" t="s">
        <v>31</v>
      </c>
      <c r="B522" t="s">
        <v>32</v>
      </c>
      <c r="C522" t="s">
        <v>33</v>
      </c>
      <c r="D522" t="s">
        <v>34</v>
      </c>
      <c r="E522" t="s">
        <v>35</v>
      </c>
      <c r="F522" t="s">
        <v>36</v>
      </c>
      <c r="G522">
        <v>1141685</v>
      </c>
      <c r="H522" t="s">
        <v>76</v>
      </c>
      <c r="I522" t="s">
        <v>95</v>
      </c>
      <c r="J522" t="s">
        <v>99</v>
      </c>
      <c r="K522" t="s">
        <v>109</v>
      </c>
      <c r="L522" s="1">
        <v>46143</v>
      </c>
      <c r="M522" s="1">
        <v>46173</v>
      </c>
      <c r="N522">
        <v>3.166452</v>
      </c>
      <c r="O522" t="s">
        <v>58</v>
      </c>
      <c r="P522" t="s">
        <v>63</v>
      </c>
      <c r="Q522" t="s">
        <v>3953</v>
      </c>
      <c r="R522" t="s">
        <v>3909</v>
      </c>
      <c r="S522" t="s">
        <v>67</v>
      </c>
      <c r="T522" t="s">
        <v>3966</v>
      </c>
      <c r="U522" t="s">
        <v>3967</v>
      </c>
      <c r="V522">
        <v>16</v>
      </c>
      <c r="W522" s="2">
        <v>0</v>
      </c>
    </row>
    <row r="523" spans="1:23" x14ac:dyDescent="0.25">
      <c r="A523" t="s">
        <v>31</v>
      </c>
      <c r="B523" t="s">
        <v>32</v>
      </c>
      <c r="C523" t="s">
        <v>33</v>
      </c>
      <c r="D523" t="s">
        <v>34</v>
      </c>
      <c r="E523" t="s">
        <v>35</v>
      </c>
      <c r="F523" t="s">
        <v>36</v>
      </c>
      <c r="G523">
        <v>1141685</v>
      </c>
      <c r="H523" t="s">
        <v>76</v>
      </c>
      <c r="I523" t="s">
        <v>95</v>
      </c>
      <c r="J523" t="s">
        <v>99</v>
      </c>
      <c r="K523" t="s">
        <v>109</v>
      </c>
      <c r="L523" s="1">
        <v>46143</v>
      </c>
      <c r="M523" s="1">
        <v>46173</v>
      </c>
      <c r="N523">
        <v>0.63334599999999996</v>
      </c>
      <c r="O523" t="s">
        <v>58</v>
      </c>
      <c r="P523" t="s">
        <v>63</v>
      </c>
      <c r="Q523" t="s">
        <v>3953</v>
      </c>
      <c r="R523" t="s">
        <v>3909</v>
      </c>
      <c r="S523" t="s">
        <v>67</v>
      </c>
      <c r="T523" t="s">
        <v>4119</v>
      </c>
      <c r="U523" t="s">
        <v>4120</v>
      </c>
      <c r="V523">
        <v>16</v>
      </c>
      <c r="W523" s="2">
        <v>0</v>
      </c>
    </row>
    <row r="524" spans="1:23" x14ac:dyDescent="0.25">
      <c r="A524" t="s">
        <v>31</v>
      </c>
      <c r="B524" t="s">
        <v>32</v>
      </c>
      <c r="C524" t="s">
        <v>33</v>
      </c>
      <c r="D524" t="s">
        <v>34</v>
      </c>
      <c r="E524" t="s">
        <v>35</v>
      </c>
      <c r="F524" t="s">
        <v>36</v>
      </c>
      <c r="G524">
        <v>1141685</v>
      </c>
      <c r="H524" t="s">
        <v>3912</v>
      </c>
      <c r="I524" t="s">
        <v>3913</v>
      </c>
      <c r="J524" t="s">
        <v>3914</v>
      </c>
      <c r="K524" t="s">
        <v>3915</v>
      </c>
      <c r="L524" s="1">
        <v>46143</v>
      </c>
      <c r="M524" s="1">
        <v>46173</v>
      </c>
      <c r="N524">
        <v>0.2236354629</v>
      </c>
      <c r="O524" t="s">
        <v>58</v>
      </c>
      <c r="P524" t="s">
        <v>63</v>
      </c>
      <c r="Q524" t="s">
        <v>3916</v>
      </c>
      <c r="R524" t="s">
        <v>3917</v>
      </c>
      <c r="S524" t="s">
        <v>67</v>
      </c>
      <c r="T524" t="s">
        <v>4121</v>
      </c>
      <c r="U524" t="s">
        <v>4122</v>
      </c>
      <c r="V524">
        <v>12</v>
      </c>
      <c r="W524" s="2">
        <v>1950.7694858594</v>
      </c>
    </row>
    <row r="525" spans="1:23" x14ac:dyDescent="0.25">
      <c r="A525" t="s">
        <v>31</v>
      </c>
      <c r="B525" t="s">
        <v>32</v>
      </c>
      <c r="C525" t="s">
        <v>33</v>
      </c>
      <c r="D525" t="s">
        <v>34</v>
      </c>
      <c r="E525" t="s">
        <v>35</v>
      </c>
      <c r="F525" t="s">
        <v>36</v>
      </c>
      <c r="G525">
        <v>1141685</v>
      </c>
      <c r="H525" t="s">
        <v>76</v>
      </c>
      <c r="I525" t="s">
        <v>95</v>
      </c>
      <c r="J525" t="s">
        <v>99</v>
      </c>
      <c r="K525" t="s">
        <v>109</v>
      </c>
      <c r="L525" s="1">
        <v>46143</v>
      </c>
      <c r="M525" s="1">
        <v>46173</v>
      </c>
      <c r="N525">
        <v>152.81597400000001</v>
      </c>
      <c r="O525" t="s">
        <v>58</v>
      </c>
      <c r="P525" t="s">
        <v>63</v>
      </c>
      <c r="Q525" t="s">
        <v>3953</v>
      </c>
      <c r="R525" t="s">
        <v>3909</v>
      </c>
      <c r="S525" t="s">
        <v>67</v>
      </c>
      <c r="T525" t="s">
        <v>4119</v>
      </c>
      <c r="U525" t="s">
        <v>4120</v>
      </c>
      <c r="V525">
        <v>16</v>
      </c>
      <c r="W525" s="2">
        <v>0</v>
      </c>
    </row>
    <row r="526" spans="1:23" x14ac:dyDescent="0.25">
      <c r="A526" t="s">
        <v>31</v>
      </c>
      <c r="B526" t="s">
        <v>32</v>
      </c>
      <c r="C526" t="s">
        <v>33</v>
      </c>
      <c r="D526" t="s">
        <v>34</v>
      </c>
      <c r="E526" t="s">
        <v>35</v>
      </c>
      <c r="F526" t="s">
        <v>36</v>
      </c>
      <c r="G526">
        <v>1141685</v>
      </c>
      <c r="H526" t="s">
        <v>76</v>
      </c>
      <c r="I526" t="s">
        <v>95</v>
      </c>
      <c r="J526" t="s">
        <v>99</v>
      </c>
      <c r="K526" t="s">
        <v>109</v>
      </c>
      <c r="L526" s="1">
        <v>46143</v>
      </c>
      <c r="M526" s="1">
        <v>46173</v>
      </c>
      <c r="N526">
        <v>7.0002890000000004</v>
      </c>
      <c r="O526" t="s">
        <v>58</v>
      </c>
      <c r="P526" t="s">
        <v>63</v>
      </c>
      <c r="Q526" t="s">
        <v>3953</v>
      </c>
      <c r="R526" t="s">
        <v>3909</v>
      </c>
      <c r="S526" t="s">
        <v>67</v>
      </c>
      <c r="T526" t="s">
        <v>4119</v>
      </c>
      <c r="U526" t="s">
        <v>4120</v>
      </c>
      <c r="V526">
        <v>16</v>
      </c>
      <c r="W526" s="2">
        <v>0</v>
      </c>
    </row>
    <row r="527" spans="1:23" x14ac:dyDescent="0.25">
      <c r="A527" t="s">
        <v>31</v>
      </c>
      <c r="B527" t="s">
        <v>32</v>
      </c>
      <c r="C527" t="s">
        <v>33</v>
      </c>
      <c r="D527" t="s">
        <v>34</v>
      </c>
      <c r="E527" t="s">
        <v>35</v>
      </c>
      <c r="F527" t="s">
        <v>36</v>
      </c>
      <c r="G527">
        <v>1141685</v>
      </c>
      <c r="H527" t="s">
        <v>3912</v>
      </c>
      <c r="I527" t="s">
        <v>3913</v>
      </c>
      <c r="J527" t="s">
        <v>3914</v>
      </c>
      <c r="K527" t="s">
        <v>3915</v>
      </c>
      <c r="L527" s="1">
        <v>46143</v>
      </c>
      <c r="M527" s="1">
        <v>46173</v>
      </c>
      <c r="N527">
        <v>0.43552791210000003</v>
      </c>
      <c r="O527" t="s">
        <v>58</v>
      </c>
      <c r="P527" t="s">
        <v>63</v>
      </c>
      <c r="Q527" t="s">
        <v>3916</v>
      </c>
      <c r="R527" t="s">
        <v>3917</v>
      </c>
      <c r="S527" t="s">
        <v>67</v>
      </c>
      <c r="T527" t="s">
        <v>4123</v>
      </c>
      <c r="U527" t="s">
        <v>4124</v>
      </c>
      <c r="V527">
        <v>12</v>
      </c>
      <c r="W527" s="2">
        <v>3799.1067798504</v>
      </c>
    </row>
    <row r="528" spans="1:23" x14ac:dyDescent="0.25">
      <c r="A528" t="s">
        <v>31</v>
      </c>
      <c r="B528" t="s">
        <v>32</v>
      </c>
      <c r="C528" t="s">
        <v>33</v>
      </c>
      <c r="D528" t="s">
        <v>34</v>
      </c>
      <c r="E528" t="s">
        <v>35</v>
      </c>
      <c r="F528" t="s">
        <v>36</v>
      </c>
      <c r="G528">
        <v>1141685</v>
      </c>
      <c r="H528" t="s">
        <v>3912</v>
      </c>
      <c r="I528" t="s">
        <v>3913</v>
      </c>
      <c r="J528" t="s">
        <v>3914</v>
      </c>
      <c r="K528" t="s">
        <v>3915</v>
      </c>
      <c r="L528" s="1">
        <v>46143</v>
      </c>
      <c r="M528" s="1">
        <v>46173</v>
      </c>
      <c r="N528">
        <v>9.1307390399999994E-2</v>
      </c>
      <c r="O528" t="s">
        <v>58</v>
      </c>
      <c r="P528" t="s">
        <v>63</v>
      </c>
      <c r="Q528" t="s">
        <v>3916</v>
      </c>
      <c r="R528" t="s">
        <v>3917</v>
      </c>
      <c r="S528" t="s">
        <v>67</v>
      </c>
      <c r="T528" t="s">
        <v>4125</v>
      </c>
      <c r="U528" t="s">
        <v>4126</v>
      </c>
      <c r="V528">
        <v>12</v>
      </c>
      <c r="W528" s="2">
        <v>796.477442612</v>
      </c>
    </row>
    <row r="529" spans="1:23" x14ac:dyDescent="0.25">
      <c r="A529" t="s">
        <v>31</v>
      </c>
      <c r="B529" t="s">
        <v>32</v>
      </c>
      <c r="C529" t="s">
        <v>33</v>
      </c>
      <c r="D529" t="s">
        <v>34</v>
      </c>
      <c r="E529" t="s">
        <v>35</v>
      </c>
      <c r="F529" t="s">
        <v>36</v>
      </c>
      <c r="G529">
        <v>1141685</v>
      </c>
      <c r="H529" t="s">
        <v>3912</v>
      </c>
      <c r="I529" t="s">
        <v>3913</v>
      </c>
      <c r="J529" t="s">
        <v>3914</v>
      </c>
      <c r="K529" t="s">
        <v>3915</v>
      </c>
      <c r="L529" s="1">
        <v>46143</v>
      </c>
      <c r="M529" s="1">
        <v>46173</v>
      </c>
      <c r="N529">
        <v>0.1100249908</v>
      </c>
      <c r="O529" t="s">
        <v>58</v>
      </c>
      <c r="P529" t="s">
        <v>63</v>
      </c>
      <c r="Q529" t="s">
        <v>3916</v>
      </c>
      <c r="R529" t="s">
        <v>3917</v>
      </c>
      <c r="S529" t="s">
        <v>67</v>
      </c>
      <c r="T529" t="s">
        <v>4127</v>
      </c>
      <c r="U529" t="s">
        <v>4128</v>
      </c>
      <c r="V529">
        <v>12</v>
      </c>
      <c r="W529" s="2">
        <v>959.74823563429993</v>
      </c>
    </row>
    <row r="530" spans="1:23" x14ac:dyDescent="0.25">
      <c r="A530" t="s">
        <v>31</v>
      </c>
      <c r="B530" t="s">
        <v>32</v>
      </c>
      <c r="C530" t="s">
        <v>33</v>
      </c>
      <c r="D530" t="s">
        <v>34</v>
      </c>
      <c r="E530" t="s">
        <v>35</v>
      </c>
      <c r="F530" t="s">
        <v>36</v>
      </c>
      <c r="G530">
        <v>1141685</v>
      </c>
      <c r="H530" t="s">
        <v>3912</v>
      </c>
      <c r="I530" t="s">
        <v>3913</v>
      </c>
      <c r="J530" t="s">
        <v>3914</v>
      </c>
      <c r="K530" t="s">
        <v>4129</v>
      </c>
      <c r="L530" s="1">
        <v>46143</v>
      </c>
      <c r="M530" s="1">
        <v>46173</v>
      </c>
      <c r="N530">
        <v>5.2061366667</v>
      </c>
      <c r="O530" t="s">
        <v>58</v>
      </c>
      <c r="P530" t="s">
        <v>63</v>
      </c>
      <c r="Q530" t="s">
        <v>3916</v>
      </c>
      <c r="R530" t="s">
        <v>3917</v>
      </c>
      <c r="S530" t="s">
        <v>67</v>
      </c>
      <c r="T530" t="s">
        <v>4130</v>
      </c>
      <c r="U530" t="s">
        <v>4131</v>
      </c>
      <c r="V530">
        <v>14</v>
      </c>
      <c r="W530" s="2">
        <v>79927.105965994706</v>
      </c>
    </row>
    <row r="531" spans="1:23" x14ac:dyDescent="0.25">
      <c r="A531" t="s">
        <v>31</v>
      </c>
      <c r="B531" t="s">
        <v>32</v>
      </c>
      <c r="C531" t="s">
        <v>33</v>
      </c>
      <c r="D531" t="s">
        <v>34</v>
      </c>
      <c r="E531" t="s">
        <v>35</v>
      </c>
      <c r="F531" t="s">
        <v>36</v>
      </c>
      <c r="G531">
        <v>1141685</v>
      </c>
      <c r="H531" t="s">
        <v>77</v>
      </c>
      <c r="I531" t="s">
        <v>96</v>
      </c>
      <c r="J531" t="s">
        <v>77</v>
      </c>
      <c r="K531" t="s">
        <v>111</v>
      </c>
      <c r="L531" s="1">
        <v>46143</v>
      </c>
      <c r="M531" s="1">
        <v>46173</v>
      </c>
      <c r="N531">
        <v>4.2080069000000001E-3</v>
      </c>
      <c r="O531" t="s">
        <v>56</v>
      </c>
      <c r="P531" t="s">
        <v>63</v>
      </c>
      <c r="Q531" t="s">
        <v>3908</v>
      </c>
      <c r="R531" t="s">
        <v>3909</v>
      </c>
      <c r="S531" t="s">
        <v>67</v>
      </c>
      <c r="T531" t="s">
        <v>4132</v>
      </c>
      <c r="U531" t="s">
        <v>4133</v>
      </c>
      <c r="V531">
        <v>16</v>
      </c>
      <c r="W531" s="2">
        <v>0.73603341700000002</v>
      </c>
    </row>
    <row r="532" spans="1:23" x14ac:dyDescent="0.25">
      <c r="A532" t="s">
        <v>31</v>
      </c>
      <c r="B532" t="s">
        <v>32</v>
      </c>
      <c r="C532" t="s">
        <v>33</v>
      </c>
      <c r="D532" t="s">
        <v>34</v>
      </c>
      <c r="E532" t="s">
        <v>35</v>
      </c>
      <c r="F532" t="s">
        <v>36</v>
      </c>
      <c r="G532">
        <v>1141685</v>
      </c>
      <c r="H532" t="s">
        <v>77</v>
      </c>
      <c r="I532" t="s">
        <v>96</v>
      </c>
      <c r="J532" t="s">
        <v>77</v>
      </c>
      <c r="K532" t="s">
        <v>111</v>
      </c>
      <c r="L532" s="1">
        <v>46143</v>
      </c>
      <c r="M532" s="1">
        <v>46173</v>
      </c>
      <c r="N532">
        <v>31.4947640058</v>
      </c>
      <c r="O532" t="s">
        <v>56</v>
      </c>
      <c r="P532" t="s">
        <v>63</v>
      </c>
      <c r="Q532" t="s">
        <v>3908</v>
      </c>
      <c r="R532" t="s">
        <v>3909</v>
      </c>
      <c r="S532" t="s">
        <v>67</v>
      </c>
      <c r="T532" t="s">
        <v>4134</v>
      </c>
      <c r="U532" t="s">
        <v>4135</v>
      </c>
      <c r="V532">
        <v>16</v>
      </c>
      <c r="W532" s="2">
        <v>5494.5773450291999</v>
      </c>
    </row>
    <row r="533" spans="1:23" x14ac:dyDescent="0.25">
      <c r="A533" t="s">
        <v>31</v>
      </c>
      <c r="B533" t="s">
        <v>32</v>
      </c>
      <c r="C533" t="s">
        <v>33</v>
      </c>
      <c r="D533" t="s">
        <v>34</v>
      </c>
      <c r="E533" t="s">
        <v>35</v>
      </c>
      <c r="F533" t="s">
        <v>36</v>
      </c>
      <c r="G533">
        <v>1141685</v>
      </c>
      <c r="H533" t="s">
        <v>77</v>
      </c>
      <c r="I533" t="s">
        <v>96</v>
      </c>
      <c r="J533" t="s">
        <v>77</v>
      </c>
      <c r="K533" t="s">
        <v>111</v>
      </c>
      <c r="L533" s="1">
        <v>46143</v>
      </c>
      <c r="M533" s="1">
        <v>46173</v>
      </c>
      <c r="N533">
        <v>30.539682579200001</v>
      </c>
      <c r="O533" t="s">
        <v>56</v>
      </c>
      <c r="P533" t="s">
        <v>63</v>
      </c>
      <c r="Q533" t="s">
        <v>3908</v>
      </c>
      <c r="R533" t="s">
        <v>3909</v>
      </c>
      <c r="S533" t="s">
        <v>67</v>
      </c>
      <c r="T533" t="s">
        <v>4136</v>
      </c>
      <c r="U533" t="s">
        <v>4137</v>
      </c>
      <c r="V533">
        <v>16</v>
      </c>
      <c r="W533" s="2">
        <v>5327.9486600393002</v>
      </c>
    </row>
    <row r="534" spans="1:23" x14ac:dyDescent="0.25">
      <c r="A534" t="s">
        <v>31</v>
      </c>
      <c r="B534" t="s">
        <v>32</v>
      </c>
      <c r="C534" t="s">
        <v>33</v>
      </c>
      <c r="D534" t="s">
        <v>34</v>
      </c>
      <c r="E534" t="s">
        <v>35</v>
      </c>
      <c r="F534" t="s">
        <v>36</v>
      </c>
      <c r="G534">
        <v>1141685</v>
      </c>
      <c r="H534" t="s">
        <v>3912</v>
      </c>
      <c r="I534" t="s">
        <v>3913</v>
      </c>
      <c r="J534" t="s">
        <v>3914</v>
      </c>
      <c r="K534" t="s">
        <v>3915</v>
      </c>
      <c r="L534" s="1">
        <v>46143</v>
      </c>
      <c r="M534" s="1">
        <v>46173</v>
      </c>
      <c r="N534">
        <v>9.5870666699999996E-2</v>
      </c>
      <c r="O534" t="s">
        <v>58</v>
      </c>
      <c r="P534" t="s">
        <v>63</v>
      </c>
      <c r="Q534" t="s">
        <v>3916</v>
      </c>
      <c r="R534" t="s">
        <v>3917</v>
      </c>
      <c r="S534" t="s">
        <v>67</v>
      </c>
      <c r="T534" t="s">
        <v>4138</v>
      </c>
      <c r="U534" t="s">
        <v>4139</v>
      </c>
      <c r="V534">
        <v>12</v>
      </c>
      <c r="W534" s="2">
        <v>836.27624629330001</v>
      </c>
    </row>
    <row r="535" spans="1:23" x14ac:dyDescent="0.25">
      <c r="A535" t="s">
        <v>31</v>
      </c>
      <c r="B535" t="s">
        <v>32</v>
      </c>
      <c r="C535" t="s">
        <v>33</v>
      </c>
      <c r="D535" t="s">
        <v>34</v>
      </c>
      <c r="E535" t="s">
        <v>35</v>
      </c>
      <c r="F535" t="s">
        <v>36</v>
      </c>
      <c r="G535">
        <v>1141685</v>
      </c>
      <c r="H535" t="s">
        <v>77</v>
      </c>
      <c r="I535" t="s">
        <v>96</v>
      </c>
      <c r="J535" t="s">
        <v>77</v>
      </c>
      <c r="K535" t="s">
        <v>111</v>
      </c>
      <c r="L535" s="1">
        <v>46143</v>
      </c>
      <c r="M535" s="1">
        <v>46173</v>
      </c>
      <c r="N535">
        <v>16.106904503900001</v>
      </c>
      <c r="O535" t="s">
        <v>56</v>
      </c>
      <c r="P535" t="s">
        <v>63</v>
      </c>
      <c r="Q535" t="s">
        <v>3908</v>
      </c>
      <c r="R535" t="s">
        <v>3909</v>
      </c>
      <c r="S535" t="s">
        <v>67</v>
      </c>
      <c r="T535" t="s">
        <v>4140</v>
      </c>
      <c r="U535" t="s">
        <v>4141</v>
      </c>
      <c r="V535">
        <v>16</v>
      </c>
      <c r="W535" s="2">
        <v>2810.0092925771</v>
      </c>
    </row>
    <row r="536" spans="1:23" x14ac:dyDescent="0.25">
      <c r="A536" t="s">
        <v>31</v>
      </c>
      <c r="B536" t="s">
        <v>32</v>
      </c>
      <c r="C536" t="s">
        <v>33</v>
      </c>
      <c r="D536" t="s">
        <v>34</v>
      </c>
      <c r="E536" t="s">
        <v>35</v>
      </c>
      <c r="F536" t="s">
        <v>36</v>
      </c>
      <c r="G536">
        <v>1141685</v>
      </c>
      <c r="H536" t="s">
        <v>77</v>
      </c>
      <c r="I536" t="s">
        <v>96</v>
      </c>
      <c r="J536" t="s">
        <v>77</v>
      </c>
      <c r="K536" t="s">
        <v>111</v>
      </c>
      <c r="L536" s="1">
        <v>46143</v>
      </c>
      <c r="M536" s="1">
        <v>46173</v>
      </c>
      <c r="N536">
        <v>49.7230026294</v>
      </c>
      <c r="O536" t="s">
        <v>56</v>
      </c>
      <c r="P536" t="s">
        <v>63</v>
      </c>
      <c r="Q536" t="s">
        <v>3908</v>
      </c>
      <c r="R536" t="s">
        <v>3909</v>
      </c>
      <c r="S536" t="s">
        <v>67</v>
      </c>
      <c r="T536" t="s">
        <v>4142</v>
      </c>
      <c r="U536" t="s">
        <v>4143</v>
      </c>
      <c r="V536">
        <v>16</v>
      </c>
      <c r="W536" s="2">
        <v>8674.6740340711003</v>
      </c>
    </row>
    <row r="537" spans="1:23" x14ac:dyDescent="0.25">
      <c r="A537" t="s">
        <v>31</v>
      </c>
      <c r="B537" t="s">
        <v>32</v>
      </c>
      <c r="C537" t="s">
        <v>33</v>
      </c>
      <c r="D537" t="s">
        <v>34</v>
      </c>
      <c r="E537" t="s">
        <v>35</v>
      </c>
      <c r="F537" t="s">
        <v>36</v>
      </c>
      <c r="G537">
        <v>1141685</v>
      </c>
      <c r="H537" t="s">
        <v>77</v>
      </c>
      <c r="I537" t="s">
        <v>96</v>
      </c>
      <c r="J537" t="s">
        <v>77</v>
      </c>
      <c r="K537" t="s">
        <v>111</v>
      </c>
      <c r="L537" s="1">
        <v>46143</v>
      </c>
      <c r="M537" s="1">
        <v>46173</v>
      </c>
      <c r="N537">
        <v>5.6480048200000001E-2</v>
      </c>
      <c r="O537" t="s">
        <v>56</v>
      </c>
      <c r="P537" t="s">
        <v>63</v>
      </c>
      <c r="Q537" t="s">
        <v>3908</v>
      </c>
      <c r="R537" t="s">
        <v>3909</v>
      </c>
      <c r="S537" t="s">
        <v>67</v>
      </c>
      <c r="T537" t="s">
        <v>4144</v>
      </c>
      <c r="U537" t="s">
        <v>4145</v>
      </c>
      <c r="V537">
        <v>16</v>
      </c>
      <c r="W537" s="2">
        <v>9.851088107499999</v>
      </c>
    </row>
    <row r="538" spans="1:23" x14ac:dyDescent="0.25">
      <c r="A538" t="s">
        <v>31</v>
      </c>
      <c r="B538" t="s">
        <v>32</v>
      </c>
      <c r="C538" t="s">
        <v>33</v>
      </c>
      <c r="D538" t="s">
        <v>34</v>
      </c>
      <c r="E538" t="s">
        <v>35</v>
      </c>
      <c r="F538" t="s">
        <v>36</v>
      </c>
      <c r="G538">
        <v>1141685</v>
      </c>
      <c r="H538" t="s">
        <v>77</v>
      </c>
      <c r="I538" t="s">
        <v>96</v>
      </c>
      <c r="J538" t="s">
        <v>77</v>
      </c>
      <c r="K538" t="s">
        <v>111</v>
      </c>
      <c r="L538" s="1">
        <v>46143</v>
      </c>
      <c r="M538" s="1">
        <v>46173</v>
      </c>
      <c r="N538">
        <v>11.5905887457</v>
      </c>
      <c r="O538" t="s">
        <v>56</v>
      </c>
      <c r="P538" t="s">
        <v>63</v>
      </c>
      <c r="Q538" t="s">
        <v>3904</v>
      </c>
      <c r="R538" t="s">
        <v>3905</v>
      </c>
      <c r="S538" t="s">
        <v>67</v>
      </c>
      <c r="T538" t="s">
        <v>4146</v>
      </c>
      <c r="U538" t="s">
        <v>4147</v>
      </c>
      <c r="V538">
        <v>16</v>
      </c>
      <c r="W538" s="2">
        <v>2022.0928190586999</v>
      </c>
    </row>
    <row r="539" spans="1:23" x14ac:dyDescent="0.25">
      <c r="A539" t="s">
        <v>31</v>
      </c>
      <c r="B539" t="s">
        <v>32</v>
      </c>
      <c r="C539" t="s">
        <v>33</v>
      </c>
      <c r="D539" t="s">
        <v>34</v>
      </c>
      <c r="E539" t="s">
        <v>35</v>
      </c>
      <c r="F539" t="s">
        <v>36</v>
      </c>
      <c r="G539">
        <v>1141685</v>
      </c>
      <c r="H539" t="s">
        <v>3912</v>
      </c>
      <c r="I539" t="s">
        <v>3913</v>
      </c>
      <c r="J539" t="s">
        <v>3914</v>
      </c>
      <c r="K539" t="s">
        <v>3915</v>
      </c>
      <c r="L539" s="1">
        <v>46143</v>
      </c>
      <c r="M539" s="1">
        <v>46173</v>
      </c>
      <c r="N539">
        <v>7.7807249999999994E-2</v>
      </c>
      <c r="O539" t="s">
        <v>58</v>
      </c>
      <c r="P539" t="s">
        <v>63</v>
      </c>
      <c r="Q539" t="s">
        <v>3916</v>
      </c>
      <c r="R539" t="s">
        <v>3917</v>
      </c>
      <c r="S539" t="s">
        <v>67</v>
      </c>
      <c r="T539" t="s">
        <v>4148</v>
      </c>
      <c r="U539" t="s">
        <v>4149</v>
      </c>
      <c r="V539">
        <v>15</v>
      </c>
      <c r="W539" s="2">
        <v>678.71712474000003</v>
      </c>
    </row>
    <row r="540" spans="1:23" x14ac:dyDescent="0.25">
      <c r="A540" t="s">
        <v>31</v>
      </c>
      <c r="B540" t="s">
        <v>32</v>
      </c>
      <c r="C540" t="s">
        <v>33</v>
      </c>
      <c r="D540" t="s">
        <v>34</v>
      </c>
      <c r="E540" t="s">
        <v>35</v>
      </c>
      <c r="F540" t="s">
        <v>36</v>
      </c>
      <c r="G540">
        <v>1141685</v>
      </c>
      <c r="H540" t="s">
        <v>3912</v>
      </c>
      <c r="I540" t="s">
        <v>3913</v>
      </c>
      <c r="J540" t="s">
        <v>3914</v>
      </c>
      <c r="K540" t="s">
        <v>3915</v>
      </c>
      <c r="L540" s="1">
        <v>46143</v>
      </c>
      <c r="M540" s="1">
        <v>46173</v>
      </c>
      <c r="N540">
        <v>5.6625300000000003E-2</v>
      </c>
      <c r="O540" t="s">
        <v>58</v>
      </c>
      <c r="P540" t="s">
        <v>63</v>
      </c>
      <c r="Q540" t="s">
        <v>3916</v>
      </c>
      <c r="R540" t="s">
        <v>3917</v>
      </c>
      <c r="S540" t="s">
        <v>67</v>
      </c>
      <c r="T540" t="s">
        <v>4150</v>
      </c>
      <c r="U540" t="s">
        <v>4151</v>
      </c>
      <c r="V540">
        <v>15</v>
      </c>
      <c r="W540" s="2">
        <v>493.93939287199998</v>
      </c>
    </row>
    <row r="541" spans="1:23" x14ac:dyDescent="0.25">
      <c r="A541" t="s">
        <v>31</v>
      </c>
      <c r="B541" t="s">
        <v>32</v>
      </c>
      <c r="C541" t="s">
        <v>33</v>
      </c>
      <c r="D541" t="s">
        <v>34</v>
      </c>
      <c r="E541" t="s">
        <v>35</v>
      </c>
      <c r="F541" t="s">
        <v>36</v>
      </c>
      <c r="G541">
        <v>1141685</v>
      </c>
      <c r="H541" t="s">
        <v>3912</v>
      </c>
      <c r="I541" t="s">
        <v>3913</v>
      </c>
      <c r="J541" t="s">
        <v>3914</v>
      </c>
      <c r="K541" t="s">
        <v>3915</v>
      </c>
      <c r="L541" s="1">
        <v>46143</v>
      </c>
      <c r="M541" s="1">
        <v>46173</v>
      </c>
      <c r="N541">
        <v>9.5868319399999999E-2</v>
      </c>
      <c r="O541" t="s">
        <v>58</v>
      </c>
      <c r="P541" t="s">
        <v>63</v>
      </c>
      <c r="Q541" t="s">
        <v>3916</v>
      </c>
      <c r="R541" t="s">
        <v>3917</v>
      </c>
      <c r="S541" t="s">
        <v>67</v>
      </c>
      <c r="T541" t="s">
        <v>4152</v>
      </c>
      <c r="U541" t="s">
        <v>4153</v>
      </c>
      <c r="V541">
        <v>12</v>
      </c>
      <c r="W541" s="2">
        <v>836.25822845210007</v>
      </c>
    </row>
    <row r="542" spans="1:23" x14ac:dyDescent="0.25">
      <c r="A542" t="s">
        <v>31</v>
      </c>
      <c r="B542" t="s">
        <v>32</v>
      </c>
      <c r="C542" t="s">
        <v>33</v>
      </c>
      <c r="D542" t="s">
        <v>34</v>
      </c>
      <c r="E542" t="s">
        <v>35</v>
      </c>
      <c r="F542" t="s">
        <v>36</v>
      </c>
      <c r="G542">
        <v>1141685</v>
      </c>
      <c r="H542" t="s">
        <v>3912</v>
      </c>
      <c r="I542" t="s">
        <v>3913</v>
      </c>
      <c r="J542" t="s">
        <v>3914</v>
      </c>
      <c r="K542" t="s">
        <v>3915</v>
      </c>
      <c r="L542" s="1">
        <v>46143</v>
      </c>
      <c r="M542" s="1">
        <v>46173</v>
      </c>
      <c r="N542">
        <v>0.22147140169999999</v>
      </c>
      <c r="O542" t="s">
        <v>58</v>
      </c>
      <c r="P542" t="s">
        <v>63</v>
      </c>
      <c r="Q542" t="s">
        <v>3916</v>
      </c>
      <c r="R542" t="s">
        <v>3917</v>
      </c>
      <c r="S542" t="s">
        <v>67</v>
      </c>
      <c r="T542" t="s">
        <v>4154</v>
      </c>
      <c r="U542" t="s">
        <v>4155</v>
      </c>
      <c r="V542">
        <v>12</v>
      </c>
      <c r="W542" s="2">
        <v>1931.8976323296999</v>
      </c>
    </row>
    <row r="543" spans="1:23" x14ac:dyDescent="0.25">
      <c r="A543" t="s">
        <v>31</v>
      </c>
      <c r="B543" t="s">
        <v>32</v>
      </c>
      <c r="C543" t="s">
        <v>33</v>
      </c>
      <c r="D543" t="s">
        <v>34</v>
      </c>
      <c r="E543" t="s">
        <v>35</v>
      </c>
      <c r="F543" t="s">
        <v>36</v>
      </c>
      <c r="G543">
        <v>1141685</v>
      </c>
      <c r="H543" t="s">
        <v>3912</v>
      </c>
      <c r="I543" t="s">
        <v>3913</v>
      </c>
      <c r="J543" t="s">
        <v>3914</v>
      </c>
      <c r="K543" t="s">
        <v>3915</v>
      </c>
      <c r="L543" s="1">
        <v>46143</v>
      </c>
      <c r="M543" s="1">
        <v>46173</v>
      </c>
      <c r="N543">
        <v>41.979469097200003</v>
      </c>
      <c r="O543" t="s">
        <v>58</v>
      </c>
      <c r="P543" t="s">
        <v>63</v>
      </c>
      <c r="Q543" t="s">
        <v>3916</v>
      </c>
      <c r="R543" t="s">
        <v>3917</v>
      </c>
      <c r="S543" t="s">
        <v>67</v>
      </c>
      <c r="T543" t="s">
        <v>4156</v>
      </c>
      <c r="U543" t="s">
        <v>4157</v>
      </c>
      <c r="V543">
        <v>11</v>
      </c>
      <c r="W543" s="2">
        <v>366186.9098628569</v>
      </c>
    </row>
    <row r="544" spans="1:23" x14ac:dyDescent="0.25">
      <c r="A544" t="s">
        <v>31</v>
      </c>
      <c r="B544" t="s">
        <v>32</v>
      </c>
      <c r="C544" t="s">
        <v>33</v>
      </c>
      <c r="D544" t="s">
        <v>34</v>
      </c>
      <c r="E544" t="s">
        <v>35</v>
      </c>
      <c r="F544" t="s">
        <v>36</v>
      </c>
      <c r="G544">
        <v>1141685</v>
      </c>
      <c r="H544" t="s">
        <v>3912</v>
      </c>
      <c r="I544" t="s">
        <v>3913</v>
      </c>
      <c r="J544" t="s">
        <v>3914</v>
      </c>
      <c r="K544" t="s">
        <v>3915</v>
      </c>
      <c r="L544" s="1">
        <v>46143</v>
      </c>
      <c r="M544" s="1">
        <v>46173</v>
      </c>
      <c r="N544">
        <v>0.1101022361</v>
      </c>
      <c r="O544" t="s">
        <v>58</v>
      </c>
      <c r="P544" t="s">
        <v>63</v>
      </c>
      <c r="Q544" t="s">
        <v>3916</v>
      </c>
      <c r="R544" t="s">
        <v>3917</v>
      </c>
      <c r="S544" t="s">
        <v>67</v>
      </c>
      <c r="T544" t="s">
        <v>4158</v>
      </c>
      <c r="U544" t="s">
        <v>4159</v>
      </c>
      <c r="V544">
        <v>12</v>
      </c>
      <c r="W544" s="2">
        <v>960.42118892550002</v>
      </c>
    </row>
    <row r="545" spans="1:23" x14ac:dyDescent="0.25">
      <c r="A545" t="s">
        <v>31</v>
      </c>
      <c r="B545" t="s">
        <v>32</v>
      </c>
      <c r="C545" t="s">
        <v>33</v>
      </c>
      <c r="D545" t="s">
        <v>34</v>
      </c>
      <c r="E545" t="s">
        <v>35</v>
      </c>
      <c r="F545" t="s">
        <v>36</v>
      </c>
      <c r="G545">
        <v>1141685</v>
      </c>
      <c r="H545" t="s">
        <v>3912</v>
      </c>
      <c r="I545" t="s">
        <v>3913</v>
      </c>
      <c r="J545" t="s">
        <v>3914</v>
      </c>
      <c r="K545" t="s">
        <v>3915</v>
      </c>
      <c r="L545" s="1">
        <v>46143</v>
      </c>
      <c r="M545" s="1">
        <v>46173</v>
      </c>
      <c r="N545">
        <v>0.24659409669999999</v>
      </c>
      <c r="O545" t="s">
        <v>58</v>
      </c>
      <c r="P545" t="s">
        <v>63</v>
      </c>
      <c r="Q545" t="s">
        <v>3916</v>
      </c>
      <c r="R545" t="s">
        <v>3917</v>
      </c>
      <c r="S545" t="s">
        <v>67</v>
      </c>
      <c r="T545" t="s">
        <v>4160</v>
      </c>
      <c r="U545" t="s">
        <v>4161</v>
      </c>
      <c r="V545">
        <v>12</v>
      </c>
      <c r="W545" s="2">
        <v>2151.0354685964999</v>
      </c>
    </row>
    <row r="546" spans="1:23" x14ac:dyDescent="0.25">
      <c r="A546" t="s">
        <v>31</v>
      </c>
      <c r="B546" t="s">
        <v>32</v>
      </c>
      <c r="C546" t="s">
        <v>33</v>
      </c>
      <c r="D546" t="s">
        <v>34</v>
      </c>
      <c r="E546" t="s">
        <v>35</v>
      </c>
      <c r="F546" t="s">
        <v>36</v>
      </c>
      <c r="G546">
        <v>1141685</v>
      </c>
      <c r="H546" t="s">
        <v>3912</v>
      </c>
      <c r="I546" t="s">
        <v>3913</v>
      </c>
      <c r="J546" t="s">
        <v>3914</v>
      </c>
      <c r="K546" t="s">
        <v>3915</v>
      </c>
      <c r="L546" s="1">
        <v>46143</v>
      </c>
      <c r="M546" s="1">
        <v>46173</v>
      </c>
      <c r="N546">
        <v>6.3918224999999995E-2</v>
      </c>
      <c r="O546" t="s">
        <v>58</v>
      </c>
      <c r="P546" t="s">
        <v>63</v>
      </c>
      <c r="Q546" t="s">
        <v>3916</v>
      </c>
      <c r="R546" t="s">
        <v>3917</v>
      </c>
      <c r="S546" t="s">
        <v>67</v>
      </c>
      <c r="T546" t="s">
        <v>4162</v>
      </c>
      <c r="U546" t="s">
        <v>4163</v>
      </c>
      <c r="V546">
        <v>15</v>
      </c>
      <c r="W546" s="2">
        <v>557.56163547400001</v>
      </c>
    </row>
    <row r="547" spans="1:23" x14ac:dyDescent="0.25">
      <c r="A547" t="s">
        <v>31</v>
      </c>
      <c r="B547" t="s">
        <v>32</v>
      </c>
      <c r="C547" t="s">
        <v>33</v>
      </c>
      <c r="D547" t="s">
        <v>34</v>
      </c>
      <c r="E547" t="s">
        <v>35</v>
      </c>
      <c r="F547" t="s">
        <v>36</v>
      </c>
      <c r="G547">
        <v>1141685</v>
      </c>
      <c r="H547" t="s">
        <v>3912</v>
      </c>
      <c r="I547" t="s">
        <v>3913</v>
      </c>
      <c r="J547" t="s">
        <v>3914</v>
      </c>
      <c r="K547" t="s">
        <v>3915</v>
      </c>
      <c r="L547" s="1">
        <v>46143</v>
      </c>
      <c r="M547" s="1">
        <v>46173</v>
      </c>
      <c r="N547">
        <v>6.3883750000000003E-2</v>
      </c>
      <c r="O547" t="s">
        <v>58</v>
      </c>
      <c r="P547" t="s">
        <v>63</v>
      </c>
      <c r="Q547" t="s">
        <v>3916</v>
      </c>
      <c r="R547" t="s">
        <v>3917</v>
      </c>
      <c r="S547" t="s">
        <v>67</v>
      </c>
      <c r="T547" t="s">
        <v>4164</v>
      </c>
      <c r="U547" t="s">
        <v>4165</v>
      </c>
      <c r="V547">
        <v>15</v>
      </c>
      <c r="W547" s="2">
        <v>557.25699710000004</v>
      </c>
    </row>
    <row r="548" spans="1:23" x14ac:dyDescent="0.25">
      <c r="A548" t="s">
        <v>31</v>
      </c>
      <c r="B548" t="s">
        <v>32</v>
      </c>
      <c r="C548" t="s">
        <v>33</v>
      </c>
      <c r="D548" t="s">
        <v>34</v>
      </c>
      <c r="E548" t="s">
        <v>35</v>
      </c>
      <c r="F548" t="s">
        <v>36</v>
      </c>
      <c r="G548">
        <v>1141685</v>
      </c>
      <c r="H548" t="s">
        <v>3912</v>
      </c>
      <c r="I548" t="s">
        <v>3913</v>
      </c>
      <c r="J548" t="s">
        <v>3914</v>
      </c>
      <c r="K548" t="s">
        <v>3915</v>
      </c>
      <c r="L548" s="1">
        <v>46143</v>
      </c>
      <c r="M548" s="1">
        <v>46173</v>
      </c>
      <c r="N548">
        <v>5.2546500000000003E-2</v>
      </c>
      <c r="O548" t="s">
        <v>58</v>
      </c>
      <c r="P548" t="s">
        <v>63</v>
      </c>
      <c r="Q548" t="s">
        <v>3916</v>
      </c>
      <c r="R548" t="s">
        <v>3917</v>
      </c>
      <c r="S548" t="s">
        <v>67</v>
      </c>
      <c r="T548" t="s">
        <v>4166</v>
      </c>
      <c r="U548" t="s">
        <v>4167</v>
      </c>
      <c r="V548">
        <v>15</v>
      </c>
      <c r="W548" s="2">
        <v>458.35954515999998</v>
      </c>
    </row>
    <row r="549" spans="1:23" x14ac:dyDescent="0.25">
      <c r="A549" t="s">
        <v>31</v>
      </c>
      <c r="B549" t="s">
        <v>32</v>
      </c>
      <c r="C549" t="s">
        <v>33</v>
      </c>
      <c r="D549" t="s">
        <v>34</v>
      </c>
      <c r="E549" t="s">
        <v>35</v>
      </c>
      <c r="F549" t="s">
        <v>36</v>
      </c>
      <c r="G549">
        <v>1141685</v>
      </c>
      <c r="H549" t="s">
        <v>3912</v>
      </c>
      <c r="I549" t="s">
        <v>3913</v>
      </c>
      <c r="J549" t="s">
        <v>3914</v>
      </c>
      <c r="K549" t="s">
        <v>3915</v>
      </c>
      <c r="L549" s="1">
        <v>46143</v>
      </c>
      <c r="M549" s="1">
        <v>46173</v>
      </c>
      <c r="N549">
        <v>9.6640875000000001E-2</v>
      </c>
      <c r="O549" t="s">
        <v>58</v>
      </c>
      <c r="P549" t="s">
        <v>63</v>
      </c>
      <c r="Q549" t="s">
        <v>3916</v>
      </c>
      <c r="R549" t="s">
        <v>3917</v>
      </c>
      <c r="S549" t="s">
        <v>67</v>
      </c>
      <c r="T549" t="s">
        <v>4168</v>
      </c>
      <c r="U549" t="s">
        <v>4169</v>
      </c>
      <c r="V549">
        <v>15</v>
      </c>
      <c r="W549" s="2">
        <v>842.99855030999993</v>
      </c>
    </row>
    <row r="550" spans="1:23" x14ac:dyDescent="0.25">
      <c r="A550" t="s">
        <v>31</v>
      </c>
      <c r="B550" t="s">
        <v>32</v>
      </c>
      <c r="C550" t="s">
        <v>33</v>
      </c>
      <c r="D550" t="s">
        <v>34</v>
      </c>
      <c r="E550" t="s">
        <v>35</v>
      </c>
      <c r="F550" t="s">
        <v>36</v>
      </c>
      <c r="G550">
        <v>1141685</v>
      </c>
      <c r="H550" t="s">
        <v>3912</v>
      </c>
      <c r="I550" t="s">
        <v>3913</v>
      </c>
      <c r="J550" t="s">
        <v>3914</v>
      </c>
      <c r="K550" t="s">
        <v>3915</v>
      </c>
      <c r="L550" s="1">
        <v>46143</v>
      </c>
      <c r="M550" s="1">
        <v>46173</v>
      </c>
      <c r="N550">
        <v>6.7068000000000003E-2</v>
      </c>
      <c r="O550" t="s">
        <v>58</v>
      </c>
      <c r="P550" t="s">
        <v>63</v>
      </c>
      <c r="Q550" t="s">
        <v>3916</v>
      </c>
      <c r="R550" t="s">
        <v>3917</v>
      </c>
      <c r="S550" t="s">
        <v>67</v>
      </c>
      <c r="T550" t="s">
        <v>4170</v>
      </c>
      <c r="U550" t="s">
        <v>4171</v>
      </c>
      <c r="V550">
        <v>15</v>
      </c>
      <c r="W550" s="2">
        <v>585.03006432000006</v>
      </c>
    </row>
    <row r="551" spans="1:23" x14ac:dyDescent="0.25">
      <c r="A551" t="s">
        <v>31</v>
      </c>
      <c r="B551" t="s">
        <v>32</v>
      </c>
      <c r="C551" t="s">
        <v>33</v>
      </c>
      <c r="D551" t="s">
        <v>34</v>
      </c>
      <c r="E551" t="s">
        <v>35</v>
      </c>
      <c r="F551" t="s">
        <v>36</v>
      </c>
      <c r="G551">
        <v>1141685</v>
      </c>
      <c r="H551" t="s">
        <v>3912</v>
      </c>
      <c r="I551" t="s">
        <v>3913</v>
      </c>
      <c r="J551" t="s">
        <v>3914</v>
      </c>
      <c r="K551" t="s">
        <v>3915</v>
      </c>
      <c r="L551" s="1">
        <v>46143</v>
      </c>
      <c r="M551" s="1">
        <v>46173</v>
      </c>
      <c r="N551">
        <v>9.9864900000000006E-2</v>
      </c>
      <c r="O551" t="s">
        <v>58</v>
      </c>
      <c r="P551" t="s">
        <v>63</v>
      </c>
      <c r="Q551" t="s">
        <v>3916</v>
      </c>
      <c r="R551" t="s">
        <v>3917</v>
      </c>
      <c r="S551" t="s">
        <v>67</v>
      </c>
      <c r="T551" t="s">
        <v>4172</v>
      </c>
      <c r="U551" t="s">
        <v>4173</v>
      </c>
      <c r="V551">
        <v>15</v>
      </c>
      <c r="W551" s="2">
        <v>871.11693997600003</v>
      </c>
    </row>
    <row r="552" spans="1:23" x14ac:dyDescent="0.25">
      <c r="A552" t="s">
        <v>31</v>
      </c>
      <c r="B552" t="s">
        <v>32</v>
      </c>
      <c r="C552" t="s">
        <v>33</v>
      </c>
      <c r="D552" t="s">
        <v>34</v>
      </c>
      <c r="E552" t="s">
        <v>35</v>
      </c>
      <c r="F552" t="s">
        <v>36</v>
      </c>
      <c r="G552">
        <v>1141685</v>
      </c>
      <c r="H552" t="s">
        <v>3912</v>
      </c>
      <c r="I552" t="s">
        <v>3913</v>
      </c>
      <c r="J552" t="s">
        <v>3914</v>
      </c>
      <c r="K552" t="s">
        <v>3915</v>
      </c>
      <c r="L552" s="1">
        <v>46143</v>
      </c>
      <c r="M552" s="1">
        <v>46173</v>
      </c>
      <c r="N552">
        <v>6.042285E-2</v>
      </c>
      <c r="O552" t="s">
        <v>58</v>
      </c>
      <c r="P552" t="s">
        <v>63</v>
      </c>
      <c r="Q552" t="s">
        <v>3916</v>
      </c>
      <c r="R552" t="s">
        <v>3917</v>
      </c>
      <c r="S552" t="s">
        <v>67</v>
      </c>
      <c r="T552" t="s">
        <v>4174</v>
      </c>
      <c r="U552" t="s">
        <v>4175</v>
      </c>
      <c r="V552">
        <v>15</v>
      </c>
      <c r="W552" s="2">
        <v>527.070298084</v>
      </c>
    </row>
    <row r="553" spans="1:23" x14ac:dyDescent="0.25">
      <c r="A553" t="s">
        <v>31</v>
      </c>
      <c r="B553" t="s">
        <v>32</v>
      </c>
      <c r="C553" t="s">
        <v>33</v>
      </c>
      <c r="D553" t="s">
        <v>34</v>
      </c>
      <c r="E553" t="s">
        <v>35</v>
      </c>
      <c r="F553" t="s">
        <v>36</v>
      </c>
      <c r="G553">
        <v>1141685</v>
      </c>
      <c r="H553" t="s">
        <v>3912</v>
      </c>
      <c r="I553" t="s">
        <v>3913</v>
      </c>
      <c r="J553" t="s">
        <v>3914</v>
      </c>
      <c r="K553" t="s">
        <v>3915</v>
      </c>
      <c r="L553" s="1">
        <v>46143</v>
      </c>
      <c r="M553" s="1">
        <v>46173</v>
      </c>
      <c r="N553">
        <v>6.4124550000000002E-2</v>
      </c>
      <c r="O553" t="s">
        <v>58</v>
      </c>
      <c r="P553" t="s">
        <v>63</v>
      </c>
      <c r="Q553" t="s">
        <v>3916</v>
      </c>
      <c r="R553" t="s">
        <v>3917</v>
      </c>
      <c r="S553" t="s">
        <v>67</v>
      </c>
      <c r="T553" t="s">
        <v>4176</v>
      </c>
      <c r="U553" t="s">
        <v>4177</v>
      </c>
      <c r="V553">
        <v>15</v>
      </c>
      <c r="W553" s="2">
        <v>559.35543569200001</v>
      </c>
    </row>
    <row r="554" spans="1:23" x14ac:dyDescent="0.25">
      <c r="A554" t="s">
        <v>31</v>
      </c>
      <c r="B554" t="s">
        <v>32</v>
      </c>
      <c r="C554" t="s">
        <v>33</v>
      </c>
      <c r="D554" t="s">
        <v>34</v>
      </c>
      <c r="E554" t="s">
        <v>35</v>
      </c>
      <c r="F554" t="s">
        <v>36</v>
      </c>
      <c r="G554">
        <v>1141685</v>
      </c>
      <c r="H554" t="s">
        <v>3912</v>
      </c>
      <c r="I554" t="s">
        <v>3913</v>
      </c>
      <c r="J554" t="s">
        <v>3914</v>
      </c>
      <c r="K554" t="s">
        <v>3915</v>
      </c>
      <c r="L554" s="1">
        <v>46143</v>
      </c>
      <c r="M554" s="1">
        <v>46173</v>
      </c>
      <c r="N554">
        <v>0.30603950000000002</v>
      </c>
      <c r="O554" t="s">
        <v>58</v>
      </c>
      <c r="P554" t="s">
        <v>63</v>
      </c>
      <c r="Q554" t="s">
        <v>3916</v>
      </c>
      <c r="R554" t="s">
        <v>3917</v>
      </c>
      <c r="S554" t="s">
        <v>67</v>
      </c>
      <c r="T554" t="s">
        <v>4178</v>
      </c>
      <c r="U554" t="s">
        <v>4179</v>
      </c>
      <c r="V554">
        <v>12</v>
      </c>
      <c r="W554" s="2">
        <v>2669.5826514800001</v>
      </c>
    </row>
    <row r="555" spans="1:23" x14ac:dyDescent="0.25">
      <c r="A555" t="s">
        <v>31</v>
      </c>
      <c r="B555" t="s">
        <v>32</v>
      </c>
      <c r="C555" t="s">
        <v>33</v>
      </c>
      <c r="D555" t="s">
        <v>34</v>
      </c>
      <c r="E555" t="s">
        <v>35</v>
      </c>
      <c r="F555" t="s">
        <v>36</v>
      </c>
      <c r="G555">
        <v>1141685</v>
      </c>
      <c r="H555" t="s">
        <v>3912</v>
      </c>
      <c r="I555" t="s">
        <v>3913</v>
      </c>
      <c r="J555" t="s">
        <v>3914</v>
      </c>
      <c r="K555" t="s">
        <v>3915</v>
      </c>
      <c r="L555" s="1">
        <v>46143</v>
      </c>
      <c r="M555" s="1">
        <v>46173</v>
      </c>
      <c r="N555">
        <v>0.28106704170000002</v>
      </c>
      <c r="O555" t="s">
        <v>58</v>
      </c>
      <c r="P555" t="s">
        <v>63</v>
      </c>
      <c r="Q555" t="s">
        <v>3916</v>
      </c>
      <c r="R555" t="s">
        <v>3917</v>
      </c>
      <c r="S555" t="s">
        <v>67</v>
      </c>
      <c r="T555" t="s">
        <v>4180</v>
      </c>
      <c r="U555" t="s">
        <v>4181</v>
      </c>
      <c r="V555">
        <v>12</v>
      </c>
      <c r="W555" s="2">
        <v>2451.7480679232999</v>
      </c>
    </row>
    <row r="556" spans="1:23" x14ac:dyDescent="0.25">
      <c r="A556" t="s">
        <v>31</v>
      </c>
      <c r="B556" t="s">
        <v>32</v>
      </c>
      <c r="C556" t="s">
        <v>33</v>
      </c>
      <c r="D556" t="s">
        <v>34</v>
      </c>
      <c r="E556" t="s">
        <v>35</v>
      </c>
      <c r="F556" t="s">
        <v>36</v>
      </c>
      <c r="G556">
        <v>1141685</v>
      </c>
      <c r="H556" t="s">
        <v>3912</v>
      </c>
      <c r="I556" t="s">
        <v>3913</v>
      </c>
      <c r="J556" t="s">
        <v>3914</v>
      </c>
      <c r="K556" t="s">
        <v>3915</v>
      </c>
      <c r="L556" s="1">
        <v>46143</v>
      </c>
      <c r="M556" s="1">
        <v>46173</v>
      </c>
      <c r="N556">
        <v>0.1120764504</v>
      </c>
      <c r="O556" t="s">
        <v>58</v>
      </c>
      <c r="P556" t="s">
        <v>63</v>
      </c>
      <c r="Q556" t="s">
        <v>3916</v>
      </c>
      <c r="R556" t="s">
        <v>3917</v>
      </c>
      <c r="S556" t="s">
        <v>67</v>
      </c>
      <c r="T556" t="s">
        <v>4182</v>
      </c>
      <c r="U556" t="s">
        <v>4183</v>
      </c>
      <c r="V556">
        <v>12</v>
      </c>
      <c r="W556" s="2">
        <v>977.64573174640009</v>
      </c>
    </row>
    <row r="557" spans="1:23" x14ac:dyDescent="0.25">
      <c r="A557" t="s">
        <v>31</v>
      </c>
      <c r="B557" t="s">
        <v>32</v>
      </c>
      <c r="C557" t="s">
        <v>33</v>
      </c>
      <c r="D557" t="s">
        <v>34</v>
      </c>
      <c r="E557" t="s">
        <v>35</v>
      </c>
      <c r="F557" t="s">
        <v>36</v>
      </c>
      <c r="G557">
        <v>1141685</v>
      </c>
      <c r="H557" t="s">
        <v>3912</v>
      </c>
      <c r="I557" t="s">
        <v>3913</v>
      </c>
      <c r="J557" t="s">
        <v>3914</v>
      </c>
      <c r="K557" t="s">
        <v>3915</v>
      </c>
      <c r="L557" s="1">
        <v>46143</v>
      </c>
      <c r="M557" s="1">
        <v>46173</v>
      </c>
      <c r="N557">
        <v>9.5330646699999994E-2</v>
      </c>
      <c r="O557" t="s">
        <v>58</v>
      </c>
      <c r="P557" t="s">
        <v>63</v>
      </c>
      <c r="Q557" t="s">
        <v>3916</v>
      </c>
      <c r="R557" t="s">
        <v>3917</v>
      </c>
      <c r="S557" t="s">
        <v>67</v>
      </c>
      <c r="T557" t="s">
        <v>4184</v>
      </c>
      <c r="U557" t="s">
        <v>4185</v>
      </c>
      <c r="V557">
        <v>12</v>
      </c>
      <c r="W557" s="2">
        <v>831.57092316849992</v>
      </c>
    </row>
    <row r="558" spans="1:23" x14ac:dyDescent="0.25">
      <c r="A558" t="s">
        <v>31</v>
      </c>
      <c r="B558" t="s">
        <v>32</v>
      </c>
      <c r="C558" t="s">
        <v>33</v>
      </c>
      <c r="D558" t="s">
        <v>34</v>
      </c>
      <c r="E558" t="s">
        <v>35</v>
      </c>
      <c r="F558" t="s">
        <v>36</v>
      </c>
      <c r="G558">
        <v>1141685</v>
      </c>
      <c r="H558" t="s">
        <v>4034</v>
      </c>
      <c r="I558" t="s">
        <v>95</v>
      </c>
      <c r="J558" t="s">
        <v>4035</v>
      </c>
      <c r="K558" t="s">
        <v>4036</v>
      </c>
      <c r="L558" s="1">
        <v>46143</v>
      </c>
      <c r="M558" s="1">
        <v>46173</v>
      </c>
      <c r="N558">
        <v>0.66668000000000005</v>
      </c>
      <c r="O558" t="s">
        <v>58</v>
      </c>
      <c r="P558" t="s">
        <v>63</v>
      </c>
      <c r="Q558" t="s">
        <v>4037</v>
      </c>
      <c r="R558" t="s">
        <v>4038</v>
      </c>
      <c r="S558" t="s">
        <v>67</v>
      </c>
      <c r="T558" t="s">
        <v>4186</v>
      </c>
      <c r="U558" t="s">
        <v>4187</v>
      </c>
      <c r="V558">
        <v>6</v>
      </c>
      <c r="W558" s="2">
        <v>1232.8802848384</v>
      </c>
    </row>
    <row r="559" spans="1:23" x14ac:dyDescent="0.25">
      <c r="A559" t="s">
        <v>31</v>
      </c>
      <c r="B559" t="s">
        <v>32</v>
      </c>
      <c r="C559" t="s">
        <v>33</v>
      </c>
      <c r="D559" t="s">
        <v>34</v>
      </c>
      <c r="E559" t="s">
        <v>35</v>
      </c>
      <c r="F559" t="s">
        <v>36</v>
      </c>
      <c r="G559">
        <v>1141685</v>
      </c>
      <c r="H559" t="s">
        <v>76</v>
      </c>
      <c r="I559" t="s">
        <v>95</v>
      </c>
      <c r="J559" t="s">
        <v>99</v>
      </c>
      <c r="K559" t="s">
        <v>109</v>
      </c>
      <c r="L559" s="1">
        <v>46143</v>
      </c>
      <c r="M559" s="1">
        <v>46173</v>
      </c>
      <c r="N559">
        <v>1.9833529999999999</v>
      </c>
      <c r="O559" t="s">
        <v>58</v>
      </c>
      <c r="P559" t="s">
        <v>63</v>
      </c>
      <c r="Q559" t="s">
        <v>3953</v>
      </c>
      <c r="R559" t="s">
        <v>3909</v>
      </c>
      <c r="S559" t="s">
        <v>67</v>
      </c>
      <c r="T559" t="s">
        <v>4119</v>
      </c>
      <c r="U559" t="s">
        <v>4120</v>
      </c>
      <c r="V559">
        <v>16</v>
      </c>
      <c r="W559" s="2">
        <v>0</v>
      </c>
    </row>
    <row r="560" spans="1:23" x14ac:dyDescent="0.25">
      <c r="A560" t="s">
        <v>31</v>
      </c>
      <c r="B560" t="s">
        <v>32</v>
      </c>
      <c r="C560" t="s">
        <v>33</v>
      </c>
      <c r="D560" t="s">
        <v>34</v>
      </c>
      <c r="E560" t="s">
        <v>35</v>
      </c>
      <c r="F560" t="s">
        <v>36</v>
      </c>
      <c r="G560">
        <v>1141685</v>
      </c>
      <c r="H560" t="s">
        <v>4188</v>
      </c>
      <c r="I560" t="s">
        <v>42</v>
      </c>
      <c r="J560" t="s">
        <v>4188</v>
      </c>
      <c r="K560" t="s">
        <v>4189</v>
      </c>
      <c r="L560" s="1">
        <v>46143</v>
      </c>
      <c r="M560" s="1">
        <v>46173</v>
      </c>
      <c r="N560">
        <v>4.0000000000000002E-4</v>
      </c>
      <c r="O560" t="s">
        <v>59</v>
      </c>
      <c r="P560" t="s">
        <v>63</v>
      </c>
      <c r="Q560" t="s">
        <v>3916</v>
      </c>
      <c r="R560" t="s">
        <v>4190</v>
      </c>
      <c r="S560" t="s">
        <v>67</v>
      </c>
      <c r="T560" t="s">
        <v>4191</v>
      </c>
      <c r="U560" t="s">
        <v>4192</v>
      </c>
      <c r="V560">
        <v>6</v>
      </c>
      <c r="W560" s="2">
        <v>2.2107570999999999E-3</v>
      </c>
    </row>
    <row r="561" spans="1:23" x14ac:dyDescent="0.25">
      <c r="A561" t="s">
        <v>31</v>
      </c>
      <c r="B561" t="s">
        <v>32</v>
      </c>
      <c r="C561" t="s">
        <v>33</v>
      </c>
      <c r="D561" t="s">
        <v>34</v>
      </c>
      <c r="E561" t="s">
        <v>35</v>
      </c>
      <c r="F561" t="s">
        <v>36</v>
      </c>
      <c r="G561">
        <v>1141685</v>
      </c>
      <c r="H561" t="s">
        <v>86</v>
      </c>
      <c r="I561" t="s">
        <v>42</v>
      </c>
      <c r="J561" t="s">
        <v>86</v>
      </c>
      <c r="K561" t="s">
        <v>124</v>
      </c>
      <c r="L561" s="1">
        <v>46143</v>
      </c>
      <c r="M561" s="1">
        <v>46173</v>
      </c>
      <c r="N561">
        <v>0.70742000000000005</v>
      </c>
      <c r="O561" t="s">
        <v>135</v>
      </c>
      <c r="P561" t="s">
        <v>63</v>
      </c>
      <c r="Q561" t="s">
        <v>3949</v>
      </c>
      <c r="R561" t="s">
        <v>4193</v>
      </c>
      <c r="S561" t="s">
        <v>67</v>
      </c>
      <c r="T561" t="s">
        <v>4194</v>
      </c>
      <c r="U561" t="s">
        <v>4195</v>
      </c>
      <c r="V561">
        <v>16</v>
      </c>
      <c r="W561" s="2">
        <v>243253.90912553601</v>
      </c>
    </row>
    <row r="562" spans="1:23" x14ac:dyDescent="0.25">
      <c r="A562" t="s">
        <v>31</v>
      </c>
      <c r="B562" t="s">
        <v>32</v>
      </c>
      <c r="C562" t="s">
        <v>33</v>
      </c>
      <c r="D562" t="s">
        <v>34</v>
      </c>
      <c r="E562" t="s">
        <v>35</v>
      </c>
      <c r="F562" t="s">
        <v>36</v>
      </c>
      <c r="G562">
        <v>1141685</v>
      </c>
      <c r="H562" t="s">
        <v>88</v>
      </c>
      <c r="I562" t="s">
        <v>88</v>
      </c>
      <c r="J562" t="s">
        <v>88</v>
      </c>
      <c r="K562" t="s">
        <v>126</v>
      </c>
      <c r="L562" s="1">
        <v>46143</v>
      </c>
      <c r="M562" s="1">
        <v>46173</v>
      </c>
      <c r="N562">
        <v>744</v>
      </c>
      <c r="O562" t="s">
        <v>58</v>
      </c>
      <c r="P562" t="s">
        <v>63</v>
      </c>
      <c r="Q562" t="s">
        <v>3916</v>
      </c>
      <c r="R562" t="s">
        <v>4196</v>
      </c>
      <c r="S562" t="s">
        <v>67</v>
      </c>
      <c r="T562" t="s">
        <v>4197</v>
      </c>
      <c r="U562" t="s">
        <v>4198</v>
      </c>
      <c r="V562">
        <v>7</v>
      </c>
      <c r="W562" s="2">
        <v>389394.72360000003</v>
      </c>
    </row>
    <row r="563" spans="1:23" x14ac:dyDescent="0.25">
      <c r="A563" t="s">
        <v>31</v>
      </c>
      <c r="B563" t="s">
        <v>32</v>
      </c>
      <c r="C563" t="s">
        <v>33</v>
      </c>
      <c r="D563" t="s">
        <v>34</v>
      </c>
      <c r="E563" t="s">
        <v>35</v>
      </c>
      <c r="F563" t="s">
        <v>36</v>
      </c>
      <c r="G563">
        <v>1141685</v>
      </c>
      <c r="H563" t="s">
        <v>41</v>
      </c>
      <c r="I563" t="s">
        <v>41</v>
      </c>
      <c r="J563" t="s">
        <v>41</v>
      </c>
      <c r="K563" t="s">
        <v>54</v>
      </c>
      <c r="L563" s="1">
        <v>46143</v>
      </c>
      <c r="M563" s="1">
        <v>46173</v>
      </c>
      <c r="N563">
        <v>1594.7171000000001</v>
      </c>
      <c r="O563" t="s">
        <v>59</v>
      </c>
      <c r="P563" t="s">
        <v>63</v>
      </c>
      <c r="Q563" t="s">
        <v>3936</v>
      </c>
      <c r="R563" t="s">
        <v>4199</v>
      </c>
      <c r="S563" t="s">
        <v>67</v>
      </c>
      <c r="T563" t="s">
        <v>4200</v>
      </c>
      <c r="U563" t="s">
        <v>4201</v>
      </c>
      <c r="V563">
        <v>6</v>
      </c>
      <c r="W563" s="2">
        <v>834643.03150223999</v>
      </c>
    </row>
    <row r="564" spans="1:23" x14ac:dyDescent="0.25">
      <c r="A564" t="s">
        <v>31</v>
      </c>
      <c r="B564" t="s">
        <v>32</v>
      </c>
      <c r="C564" t="s">
        <v>33</v>
      </c>
      <c r="D564" t="s">
        <v>34</v>
      </c>
      <c r="E564" t="s">
        <v>35</v>
      </c>
      <c r="F564" t="s">
        <v>36</v>
      </c>
      <c r="G564">
        <v>1141685</v>
      </c>
      <c r="H564" t="s">
        <v>3912</v>
      </c>
      <c r="I564" t="s">
        <v>3913</v>
      </c>
      <c r="J564" t="s">
        <v>3914</v>
      </c>
      <c r="K564" t="s">
        <v>3915</v>
      </c>
      <c r="L564" s="1">
        <v>46143</v>
      </c>
      <c r="M564" s="1">
        <v>46173</v>
      </c>
      <c r="N564">
        <v>0.2172975</v>
      </c>
      <c r="O564" t="s">
        <v>58</v>
      </c>
      <c r="P564" t="s">
        <v>63</v>
      </c>
      <c r="Q564" t="s">
        <v>3916</v>
      </c>
      <c r="R564" t="s">
        <v>3917</v>
      </c>
      <c r="S564" t="s">
        <v>67</v>
      </c>
      <c r="T564" t="s">
        <v>4202</v>
      </c>
      <c r="U564" t="s">
        <v>4203</v>
      </c>
      <c r="V564">
        <v>14</v>
      </c>
      <c r="W564" s="2">
        <v>1895.4877614</v>
      </c>
    </row>
    <row r="565" spans="1:23" x14ac:dyDescent="0.25">
      <c r="A565" t="s">
        <v>31</v>
      </c>
      <c r="B565" t="s">
        <v>32</v>
      </c>
      <c r="C565" t="s">
        <v>33</v>
      </c>
      <c r="D565" t="s">
        <v>34</v>
      </c>
      <c r="E565" t="s">
        <v>35</v>
      </c>
      <c r="F565" t="s">
        <v>36</v>
      </c>
      <c r="G565">
        <v>1141685</v>
      </c>
      <c r="H565" t="s">
        <v>89</v>
      </c>
      <c r="I565" t="s">
        <v>89</v>
      </c>
      <c r="J565" t="s">
        <v>89</v>
      </c>
      <c r="K565" t="s">
        <v>127</v>
      </c>
      <c r="L565" s="1">
        <v>46143</v>
      </c>
      <c r="M565" s="1">
        <v>46173</v>
      </c>
      <c r="N565">
        <v>3.57E-4</v>
      </c>
      <c r="O565" t="s">
        <v>60</v>
      </c>
      <c r="P565" t="s">
        <v>63</v>
      </c>
      <c r="Q565" t="s">
        <v>3916</v>
      </c>
      <c r="R565" t="s">
        <v>4196</v>
      </c>
      <c r="S565" t="s">
        <v>67</v>
      </c>
      <c r="T565" t="s">
        <v>4204</v>
      </c>
      <c r="U565" t="s">
        <v>4205</v>
      </c>
      <c r="V565">
        <v>7</v>
      </c>
      <c r="W565" s="2">
        <v>0</v>
      </c>
    </row>
    <row r="566" spans="1:23" x14ac:dyDescent="0.25">
      <c r="A566" t="s">
        <v>31</v>
      </c>
      <c r="B566" t="s">
        <v>32</v>
      </c>
      <c r="C566" t="s">
        <v>33</v>
      </c>
      <c r="D566" t="s">
        <v>34</v>
      </c>
      <c r="E566" t="s">
        <v>35</v>
      </c>
      <c r="F566" t="s">
        <v>36</v>
      </c>
      <c r="G566">
        <v>1141685</v>
      </c>
      <c r="H566" t="s">
        <v>4206</v>
      </c>
      <c r="I566" t="s">
        <v>4206</v>
      </c>
      <c r="J566" t="s">
        <v>4206</v>
      </c>
      <c r="K566" t="s">
        <v>4207</v>
      </c>
      <c r="L566" s="1">
        <v>46143</v>
      </c>
      <c r="M566" s="1">
        <v>46173</v>
      </c>
      <c r="N566">
        <v>9.3999999999999997E-4</v>
      </c>
      <c r="O566" t="s">
        <v>4208</v>
      </c>
      <c r="P566" t="s">
        <v>63</v>
      </c>
      <c r="Q566" t="s">
        <v>3930</v>
      </c>
      <c r="R566" t="s">
        <v>4209</v>
      </c>
      <c r="S566" t="s">
        <v>67</v>
      </c>
      <c r="T566" t="s">
        <v>4210</v>
      </c>
      <c r="U566" t="s">
        <v>4211</v>
      </c>
      <c r="V566">
        <v>6</v>
      </c>
      <c r="W566" s="2">
        <v>8.1956655999999999</v>
      </c>
    </row>
    <row r="567" spans="1:23" x14ac:dyDescent="0.25">
      <c r="A567" t="s">
        <v>31</v>
      </c>
      <c r="B567" t="s">
        <v>32</v>
      </c>
      <c r="C567" t="s">
        <v>33</v>
      </c>
      <c r="D567" t="s">
        <v>34</v>
      </c>
      <c r="E567" t="s">
        <v>35</v>
      </c>
      <c r="F567" t="s">
        <v>36</v>
      </c>
      <c r="G567">
        <v>1141685</v>
      </c>
      <c r="H567" t="s">
        <v>80</v>
      </c>
      <c r="I567" t="s">
        <v>96</v>
      </c>
      <c r="J567" t="s">
        <v>80</v>
      </c>
      <c r="K567" t="s">
        <v>122</v>
      </c>
      <c r="L567" s="1">
        <v>46143</v>
      </c>
      <c r="M567" s="1">
        <v>46173</v>
      </c>
      <c r="N567">
        <v>5.8208000000000002E-6</v>
      </c>
      <c r="O567" t="s">
        <v>56</v>
      </c>
      <c r="P567" t="s">
        <v>63</v>
      </c>
      <c r="Q567" t="s">
        <v>3908</v>
      </c>
      <c r="R567" t="s">
        <v>3909</v>
      </c>
      <c r="S567" t="s">
        <v>67</v>
      </c>
      <c r="T567" t="s">
        <v>4212</v>
      </c>
      <c r="U567" t="s">
        <v>4213</v>
      </c>
      <c r="V567">
        <v>16</v>
      </c>
      <c r="W567" s="2">
        <v>8.9363189999999996E-4</v>
      </c>
    </row>
    <row r="568" spans="1:23" x14ac:dyDescent="0.25">
      <c r="A568" t="s">
        <v>31</v>
      </c>
      <c r="B568" t="s">
        <v>32</v>
      </c>
      <c r="C568" t="s">
        <v>33</v>
      </c>
      <c r="D568" t="s">
        <v>34</v>
      </c>
      <c r="E568" t="s">
        <v>35</v>
      </c>
      <c r="F568" t="s">
        <v>36</v>
      </c>
      <c r="G568">
        <v>1141685</v>
      </c>
      <c r="H568" t="s">
        <v>80</v>
      </c>
      <c r="I568" t="s">
        <v>96</v>
      </c>
      <c r="J568" t="s">
        <v>80</v>
      </c>
      <c r="K568" t="s">
        <v>122</v>
      </c>
      <c r="L568" s="1">
        <v>46143</v>
      </c>
      <c r="M568" s="1">
        <v>46173</v>
      </c>
      <c r="N568">
        <v>9.9303489999999998E-3</v>
      </c>
      <c r="O568" t="s">
        <v>56</v>
      </c>
      <c r="P568" t="s">
        <v>63</v>
      </c>
      <c r="Q568" t="s">
        <v>3908</v>
      </c>
      <c r="R568" t="s">
        <v>3909</v>
      </c>
      <c r="S568" t="s">
        <v>67</v>
      </c>
      <c r="T568" t="s">
        <v>4214</v>
      </c>
      <c r="U568" t="s">
        <v>4215</v>
      </c>
      <c r="V568">
        <v>16</v>
      </c>
      <c r="W568" s="2">
        <v>1.7345548370999999</v>
      </c>
    </row>
    <row r="569" spans="1:23" x14ac:dyDescent="0.25">
      <c r="A569" t="s">
        <v>31</v>
      </c>
      <c r="B569" t="s">
        <v>32</v>
      </c>
      <c r="C569" t="s">
        <v>33</v>
      </c>
      <c r="D569" t="s">
        <v>34</v>
      </c>
      <c r="E569" t="s">
        <v>35</v>
      </c>
      <c r="F569" t="s">
        <v>36</v>
      </c>
      <c r="G569">
        <v>1141685</v>
      </c>
      <c r="H569" t="s">
        <v>80</v>
      </c>
      <c r="I569" t="s">
        <v>96</v>
      </c>
      <c r="J569" t="s">
        <v>80</v>
      </c>
      <c r="K569" t="s">
        <v>122</v>
      </c>
      <c r="L569" s="1">
        <v>46143</v>
      </c>
      <c r="M569" s="1">
        <v>46173</v>
      </c>
      <c r="N569">
        <v>2.7620789999999997E-4</v>
      </c>
      <c r="O569" t="s">
        <v>56</v>
      </c>
      <c r="P569" t="s">
        <v>63</v>
      </c>
      <c r="Q569" t="s">
        <v>3900</v>
      </c>
      <c r="R569" t="s">
        <v>3901</v>
      </c>
      <c r="S569" t="s">
        <v>67</v>
      </c>
      <c r="T569" t="s">
        <v>4216</v>
      </c>
      <c r="U569" t="s">
        <v>4217</v>
      </c>
      <c r="V569">
        <v>16</v>
      </c>
      <c r="W569" s="2">
        <v>5.2404766200000001E-2</v>
      </c>
    </row>
    <row r="570" spans="1:23" x14ac:dyDescent="0.25">
      <c r="A570" t="s">
        <v>31</v>
      </c>
      <c r="B570" t="s">
        <v>32</v>
      </c>
      <c r="C570" t="s">
        <v>33</v>
      </c>
      <c r="D570" t="s">
        <v>34</v>
      </c>
      <c r="E570" t="s">
        <v>35</v>
      </c>
      <c r="F570" t="s">
        <v>36</v>
      </c>
      <c r="G570">
        <v>1141685</v>
      </c>
      <c r="H570" t="s">
        <v>1351</v>
      </c>
      <c r="I570" t="s">
        <v>1353</v>
      </c>
      <c r="J570" t="s">
        <v>1351</v>
      </c>
      <c r="K570" t="s">
        <v>1357</v>
      </c>
      <c r="L570" s="1">
        <v>46143</v>
      </c>
      <c r="M570" s="1">
        <v>46173</v>
      </c>
      <c r="N570">
        <v>2.0638882000000001E-2</v>
      </c>
      <c r="O570" t="s">
        <v>56</v>
      </c>
      <c r="P570" t="s">
        <v>63</v>
      </c>
      <c r="Q570" t="s">
        <v>3972</v>
      </c>
      <c r="R570" t="s">
        <v>4218</v>
      </c>
      <c r="S570" t="s">
        <v>68</v>
      </c>
      <c r="T570" t="s">
        <v>4219</v>
      </c>
      <c r="U570" t="s">
        <v>4220</v>
      </c>
      <c r="V570">
        <v>7</v>
      </c>
      <c r="W570" s="2">
        <v>40.328098590300002</v>
      </c>
    </row>
    <row r="571" spans="1:23" x14ac:dyDescent="0.25">
      <c r="A571" t="s">
        <v>31</v>
      </c>
      <c r="B571" t="s">
        <v>32</v>
      </c>
      <c r="C571" t="s">
        <v>33</v>
      </c>
      <c r="D571" t="s">
        <v>34</v>
      </c>
      <c r="E571" t="s">
        <v>35</v>
      </c>
      <c r="F571" t="s">
        <v>36</v>
      </c>
      <c r="G571">
        <v>1141685</v>
      </c>
      <c r="H571" t="s">
        <v>3912</v>
      </c>
      <c r="I571" t="s">
        <v>3913</v>
      </c>
      <c r="J571" t="s">
        <v>3914</v>
      </c>
      <c r="K571" t="s">
        <v>3915</v>
      </c>
      <c r="L571" s="1">
        <v>46143</v>
      </c>
      <c r="M571" s="1">
        <v>46173</v>
      </c>
      <c r="N571">
        <v>7.0825833300000002E-2</v>
      </c>
      <c r="O571" t="s">
        <v>58</v>
      </c>
      <c r="P571" t="s">
        <v>63</v>
      </c>
      <c r="Q571" t="s">
        <v>3916</v>
      </c>
      <c r="R571" t="s">
        <v>3917</v>
      </c>
      <c r="S571" t="s">
        <v>67</v>
      </c>
      <c r="T571" t="s">
        <v>4221</v>
      </c>
      <c r="U571" t="s">
        <v>4222</v>
      </c>
      <c r="V571">
        <v>15</v>
      </c>
      <c r="W571" s="2">
        <v>617.81609486649995</v>
      </c>
    </row>
    <row r="572" spans="1:23" x14ac:dyDescent="0.25">
      <c r="A572" t="s">
        <v>31</v>
      </c>
      <c r="B572" t="s">
        <v>32</v>
      </c>
      <c r="C572" t="s">
        <v>33</v>
      </c>
      <c r="D572" t="s">
        <v>34</v>
      </c>
      <c r="E572" t="s">
        <v>35</v>
      </c>
      <c r="F572" t="s">
        <v>36</v>
      </c>
      <c r="G572">
        <v>1141685</v>
      </c>
      <c r="H572" t="s">
        <v>3912</v>
      </c>
      <c r="I572" t="s">
        <v>3913</v>
      </c>
      <c r="J572" t="s">
        <v>3914</v>
      </c>
      <c r="K572" t="s">
        <v>3915</v>
      </c>
      <c r="L572" s="1">
        <v>46143</v>
      </c>
      <c r="M572" s="1">
        <v>46173</v>
      </c>
      <c r="N572">
        <v>6.3775125000000002E-2</v>
      </c>
      <c r="O572" t="s">
        <v>58</v>
      </c>
      <c r="P572" t="s">
        <v>63</v>
      </c>
      <c r="Q572" t="s">
        <v>3916</v>
      </c>
      <c r="R572" t="s">
        <v>3917</v>
      </c>
      <c r="S572" t="s">
        <v>67</v>
      </c>
      <c r="T572" t="s">
        <v>4223</v>
      </c>
      <c r="U572" t="s">
        <v>4224</v>
      </c>
      <c r="V572">
        <v>15</v>
      </c>
      <c r="W572" s="2">
        <v>556.31316552999999</v>
      </c>
    </row>
    <row r="573" spans="1:23" x14ac:dyDescent="0.25">
      <c r="A573" t="s">
        <v>31</v>
      </c>
      <c r="B573" t="s">
        <v>32</v>
      </c>
      <c r="C573" t="s">
        <v>33</v>
      </c>
      <c r="D573" t="s">
        <v>34</v>
      </c>
      <c r="E573" t="s">
        <v>35</v>
      </c>
      <c r="F573" t="s">
        <v>36</v>
      </c>
      <c r="G573">
        <v>1141685</v>
      </c>
      <c r="H573" t="s">
        <v>3912</v>
      </c>
      <c r="I573" t="s">
        <v>3913</v>
      </c>
      <c r="J573" t="s">
        <v>3914</v>
      </c>
      <c r="K573" t="s">
        <v>3915</v>
      </c>
      <c r="L573" s="1">
        <v>46143</v>
      </c>
      <c r="M573" s="1">
        <v>46173</v>
      </c>
      <c r="N573">
        <v>5.2915950000000003E-2</v>
      </c>
      <c r="O573" t="s">
        <v>58</v>
      </c>
      <c r="P573" t="s">
        <v>63</v>
      </c>
      <c r="Q573" t="s">
        <v>3916</v>
      </c>
      <c r="R573" t="s">
        <v>3917</v>
      </c>
      <c r="S573" t="s">
        <v>67</v>
      </c>
      <c r="T573" t="s">
        <v>4225</v>
      </c>
      <c r="U573" t="s">
        <v>4226</v>
      </c>
      <c r="V573">
        <v>15</v>
      </c>
      <c r="W573" s="2">
        <v>461.58553202799999</v>
      </c>
    </row>
    <row r="574" spans="1:23" x14ac:dyDescent="0.25">
      <c r="A574" t="s">
        <v>31</v>
      </c>
      <c r="B574" t="s">
        <v>32</v>
      </c>
      <c r="C574" t="s">
        <v>33</v>
      </c>
      <c r="D574" t="s">
        <v>34</v>
      </c>
      <c r="E574" t="s">
        <v>35</v>
      </c>
      <c r="F574" t="s">
        <v>36</v>
      </c>
      <c r="G574">
        <v>1141685</v>
      </c>
      <c r="H574" t="s">
        <v>3912</v>
      </c>
      <c r="I574" t="s">
        <v>3913</v>
      </c>
      <c r="J574" t="s">
        <v>3914</v>
      </c>
      <c r="K574" t="s">
        <v>3915</v>
      </c>
      <c r="L574" s="1">
        <v>46143</v>
      </c>
      <c r="M574" s="1">
        <v>46173</v>
      </c>
      <c r="N574">
        <v>6.8555699999999997E-2</v>
      </c>
      <c r="O574" t="s">
        <v>58</v>
      </c>
      <c r="P574" t="s">
        <v>63</v>
      </c>
      <c r="Q574" t="s">
        <v>3916</v>
      </c>
      <c r="R574" t="s">
        <v>3917</v>
      </c>
      <c r="S574" t="s">
        <v>67</v>
      </c>
      <c r="T574" t="s">
        <v>4227</v>
      </c>
      <c r="U574" t="s">
        <v>4228</v>
      </c>
      <c r="V574">
        <v>15</v>
      </c>
      <c r="W574" s="2">
        <v>598.01000656799999</v>
      </c>
    </row>
    <row r="575" spans="1:23" x14ac:dyDescent="0.25">
      <c r="A575" t="s">
        <v>31</v>
      </c>
      <c r="B575" t="s">
        <v>32</v>
      </c>
      <c r="C575" t="s">
        <v>33</v>
      </c>
      <c r="D575" t="s">
        <v>34</v>
      </c>
      <c r="E575" t="s">
        <v>35</v>
      </c>
      <c r="F575" t="s">
        <v>36</v>
      </c>
      <c r="G575">
        <v>1141685</v>
      </c>
      <c r="H575" t="s">
        <v>3912</v>
      </c>
      <c r="I575" t="s">
        <v>3913</v>
      </c>
      <c r="J575" t="s">
        <v>3914</v>
      </c>
      <c r="K575" t="s">
        <v>3915</v>
      </c>
      <c r="L575" s="1">
        <v>46143</v>
      </c>
      <c r="M575" s="1">
        <v>46173</v>
      </c>
      <c r="N575">
        <v>6.8499791700000007E-2</v>
      </c>
      <c r="O575" t="s">
        <v>58</v>
      </c>
      <c r="P575" t="s">
        <v>63</v>
      </c>
      <c r="Q575" t="s">
        <v>3916</v>
      </c>
      <c r="R575" t="s">
        <v>3917</v>
      </c>
      <c r="S575" t="s">
        <v>67</v>
      </c>
      <c r="T575" t="s">
        <v>4229</v>
      </c>
      <c r="U575" t="s">
        <v>4230</v>
      </c>
      <c r="V575">
        <v>15</v>
      </c>
      <c r="W575" s="2">
        <v>597.52084078330006</v>
      </c>
    </row>
    <row r="576" spans="1:23" x14ac:dyDescent="0.25">
      <c r="A576" t="s">
        <v>31</v>
      </c>
      <c r="B576" t="s">
        <v>32</v>
      </c>
      <c r="C576" t="s">
        <v>33</v>
      </c>
      <c r="D576" t="s">
        <v>34</v>
      </c>
      <c r="E576" t="s">
        <v>35</v>
      </c>
      <c r="F576" t="s">
        <v>36</v>
      </c>
      <c r="G576">
        <v>1141685</v>
      </c>
      <c r="H576" t="s">
        <v>3912</v>
      </c>
      <c r="I576" t="s">
        <v>3913</v>
      </c>
      <c r="J576" t="s">
        <v>3914</v>
      </c>
      <c r="K576" t="s">
        <v>3915</v>
      </c>
      <c r="L576" s="1">
        <v>46143</v>
      </c>
      <c r="M576" s="1">
        <v>46173</v>
      </c>
      <c r="N576">
        <v>0.1220204167</v>
      </c>
      <c r="O576" t="s">
        <v>58</v>
      </c>
      <c r="P576" t="s">
        <v>63</v>
      </c>
      <c r="Q576" t="s">
        <v>3916</v>
      </c>
      <c r="R576" t="s">
        <v>3917</v>
      </c>
      <c r="S576" t="s">
        <v>67</v>
      </c>
      <c r="T576" t="s">
        <v>4231</v>
      </c>
      <c r="U576" t="s">
        <v>4232</v>
      </c>
      <c r="V576">
        <v>15</v>
      </c>
      <c r="W576" s="2">
        <v>1064.3880032333</v>
      </c>
    </row>
    <row r="577" spans="1:23" x14ac:dyDescent="0.25">
      <c r="A577" t="s">
        <v>31</v>
      </c>
      <c r="B577" t="s">
        <v>32</v>
      </c>
      <c r="C577" t="s">
        <v>33</v>
      </c>
      <c r="D577" t="s">
        <v>34</v>
      </c>
      <c r="E577" t="s">
        <v>35</v>
      </c>
      <c r="F577" t="s">
        <v>36</v>
      </c>
      <c r="G577">
        <v>1141685</v>
      </c>
      <c r="H577" t="s">
        <v>3912</v>
      </c>
      <c r="I577" t="s">
        <v>3913</v>
      </c>
      <c r="J577" t="s">
        <v>3914</v>
      </c>
      <c r="K577" t="s">
        <v>3915</v>
      </c>
      <c r="L577" s="1">
        <v>46143</v>
      </c>
      <c r="M577" s="1">
        <v>46173</v>
      </c>
      <c r="N577">
        <v>4.9213541700000002E-2</v>
      </c>
      <c r="O577" t="s">
        <v>58</v>
      </c>
      <c r="P577" t="s">
        <v>63</v>
      </c>
      <c r="Q577" t="s">
        <v>3916</v>
      </c>
      <c r="R577" t="s">
        <v>3917</v>
      </c>
      <c r="S577" t="s">
        <v>67</v>
      </c>
      <c r="T577" t="s">
        <v>4233</v>
      </c>
      <c r="U577" t="s">
        <v>4234</v>
      </c>
      <c r="V577">
        <v>15</v>
      </c>
      <c r="W577" s="2">
        <v>429.28495708330001</v>
      </c>
    </row>
    <row r="578" spans="1:23" x14ac:dyDescent="0.25">
      <c r="A578" t="s">
        <v>31</v>
      </c>
      <c r="B578" t="s">
        <v>32</v>
      </c>
      <c r="C578" t="s">
        <v>33</v>
      </c>
      <c r="D578" t="s">
        <v>34</v>
      </c>
      <c r="E578" t="s">
        <v>35</v>
      </c>
      <c r="F578" t="s">
        <v>36</v>
      </c>
      <c r="G578">
        <v>1141685</v>
      </c>
      <c r="H578" t="s">
        <v>3912</v>
      </c>
      <c r="I578" t="s">
        <v>3913</v>
      </c>
      <c r="J578" t="s">
        <v>3914</v>
      </c>
      <c r="K578" t="s">
        <v>3915</v>
      </c>
      <c r="L578" s="1">
        <v>46143</v>
      </c>
      <c r="M578" s="1">
        <v>46173</v>
      </c>
      <c r="N578">
        <v>5.5405625E-2</v>
      </c>
      <c r="O578" t="s">
        <v>58</v>
      </c>
      <c r="P578" t="s">
        <v>63</v>
      </c>
      <c r="Q578" t="s">
        <v>3916</v>
      </c>
      <c r="R578" t="s">
        <v>3917</v>
      </c>
      <c r="S578" t="s">
        <v>67</v>
      </c>
      <c r="T578" t="s">
        <v>4235</v>
      </c>
      <c r="U578" t="s">
        <v>4236</v>
      </c>
      <c r="V578">
        <v>15</v>
      </c>
      <c r="W578" s="2">
        <v>483.30687484999999</v>
      </c>
    </row>
    <row r="579" spans="1:23" x14ac:dyDescent="0.25">
      <c r="A579" t="s">
        <v>31</v>
      </c>
      <c r="B579" t="s">
        <v>32</v>
      </c>
      <c r="C579" t="s">
        <v>33</v>
      </c>
      <c r="D579" t="s">
        <v>34</v>
      </c>
      <c r="E579" t="s">
        <v>35</v>
      </c>
      <c r="F579" t="s">
        <v>36</v>
      </c>
      <c r="G579">
        <v>1141685</v>
      </c>
      <c r="H579" t="s">
        <v>3912</v>
      </c>
      <c r="I579" t="s">
        <v>3913</v>
      </c>
      <c r="J579" t="s">
        <v>3914</v>
      </c>
      <c r="K579" t="s">
        <v>3915</v>
      </c>
      <c r="L579" s="1">
        <v>46143</v>
      </c>
      <c r="M579" s="1">
        <v>46173</v>
      </c>
      <c r="N579">
        <v>5.4587708300000003E-2</v>
      </c>
      <c r="O579" t="s">
        <v>58</v>
      </c>
      <c r="P579" t="s">
        <v>63</v>
      </c>
      <c r="Q579" t="s">
        <v>3916</v>
      </c>
      <c r="R579" t="s">
        <v>3917</v>
      </c>
      <c r="S579" t="s">
        <v>67</v>
      </c>
      <c r="T579" t="s">
        <v>4237</v>
      </c>
      <c r="U579" t="s">
        <v>4238</v>
      </c>
      <c r="V579">
        <v>15</v>
      </c>
      <c r="W579" s="2">
        <v>476.16835021650002</v>
      </c>
    </row>
    <row r="580" spans="1:23" x14ac:dyDescent="0.25">
      <c r="A580" t="s">
        <v>31</v>
      </c>
      <c r="B580" t="s">
        <v>32</v>
      </c>
      <c r="C580" t="s">
        <v>33</v>
      </c>
      <c r="D580" t="s">
        <v>34</v>
      </c>
      <c r="E580" t="s">
        <v>35</v>
      </c>
      <c r="F580" t="s">
        <v>36</v>
      </c>
      <c r="G580">
        <v>1141685</v>
      </c>
      <c r="H580" t="s">
        <v>3912</v>
      </c>
      <c r="I580" t="s">
        <v>3913</v>
      </c>
      <c r="J580" t="s">
        <v>3914</v>
      </c>
      <c r="K580" t="s">
        <v>3915</v>
      </c>
      <c r="L580" s="1">
        <v>46143</v>
      </c>
      <c r="M580" s="1">
        <v>46173</v>
      </c>
      <c r="N580">
        <v>7.6761041700000004E-2</v>
      </c>
      <c r="O580" t="s">
        <v>58</v>
      </c>
      <c r="P580" t="s">
        <v>63</v>
      </c>
      <c r="Q580" t="s">
        <v>3916</v>
      </c>
      <c r="R580" t="s">
        <v>3917</v>
      </c>
      <c r="S580" t="s">
        <v>67</v>
      </c>
      <c r="T580" t="s">
        <v>4239</v>
      </c>
      <c r="U580" t="s">
        <v>4240</v>
      </c>
      <c r="V580">
        <v>15</v>
      </c>
      <c r="W580" s="2">
        <v>669.58617848330005</v>
      </c>
    </row>
    <row r="581" spans="1:23" x14ac:dyDescent="0.25">
      <c r="A581" t="s">
        <v>31</v>
      </c>
      <c r="B581" t="s">
        <v>32</v>
      </c>
      <c r="C581" t="s">
        <v>33</v>
      </c>
      <c r="D581" t="s">
        <v>34</v>
      </c>
      <c r="E581" t="s">
        <v>35</v>
      </c>
      <c r="F581" t="s">
        <v>36</v>
      </c>
      <c r="G581">
        <v>1141685</v>
      </c>
      <c r="H581" t="s">
        <v>79</v>
      </c>
      <c r="I581" t="s">
        <v>94</v>
      </c>
      <c r="J581" t="s">
        <v>101</v>
      </c>
      <c r="K581" t="s">
        <v>116</v>
      </c>
      <c r="L581" s="1">
        <v>46143</v>
      </c>
      <c r="M581" s="1">
        <v>46173</v>
      </c>
      <c r="N581">
        <v>4.2872763199999997E-2</v>
      </c>
      <c r="O581" t="s">
        <v>56</v>
      </c>
      <c r="P581" t="s">
        <v>63</v>
      </c>
      <c r="Q581" t="s">
        <v>3900</v>
      </c>
      <c r="R581" t="s">
        <v>3963</v>
      </c>
      <c r="S581" t="s">
        <v>67</v>
      </c>
      <c r="T581" t="s">
        <v>4241</v>
      </c>
      <c r="U581" t="s">
        <v>4242</v>
      </c>
      <c r="V581">
        <v>16</v>
      </c>
      <c r="W581" s="2">
        <v>59.836259213300004</v>
      </c>
    </row>
    <row r="582" spans="1:23" x14ac:dyDescent="0.25">
      <c r="A582" t="s">
        <v>31</v>
      </c>
      <c r="B582" t="s">
        <v>32</v>
      </c>
      <c r="C582" t="s">
        <v>33</v>
      </c>
      <c r="D582" t="s">
        <v>34</v>
      </c>
      <c r="E582" t="s">
        <v>35</v>
      </c>
      <c r="F582" t="s">
        <v>36</v>
      </c>
      <c r="G582">
        <v>1141685</v>
      </c>
      <c r="H582" t="s">
        <v>79</v>
      </c>
      <c r="I582" t="s">
        <v>94</v>
      </c>
      <c r="J582" t="s">
        <v>101</v>
      </c>
      <c r="K582" t="s">
        <v>116</v>
      </c>
      <c r="L582" s="1">
        <v>46143</v>
      </c>
      <c r="M582" s="1">
        <v>46173</v>
      </c>
      <c r="N582">
        <v>2.66116923E-2</v>
      </c>
      <c r="O582" t="s">
        <v>56</v>
      </c>
      <c r="P582" t="s">
        <v>63</v>
      </c>
      <c r="Q582" t="s">
        <v>3904</v>
      </c>
      <c r="R582" t="s">
        <v>3905</v>
      </c>
      <c r="S582" t="s">
        <v>67</v>
      </c>
      <c r="T582" t="s">
        <v>4243</v>
      </c>
      <c r="U582" t="s">
        <v>4244</v>
      </c>
      <c r="V582">
        <v>16</v>
      </c>
      <c r="W582" s="2">
        <v>33.003595429100002</v>
      </c>
    </row>
    <row r="583" spans="1:23" x14ac:dyDescent="0.25">
      <c r="A583" t="s">
        <v>31</v>
      </c>
      <c r="B583" t="s">
        <v>32</v>
      </c>
      <c r="C583" t="s">
        <v>33</v>
      </c>
      <c r="D583" t="s">
        <v>34</v>
      </c>
      <c r="E583" t="s">
        <v>35</v>
      </c>
      <c r="F583" t="s">
        <v>36</v>
      </c>
      <c r="G583">
        <v>1141685</v>
      </c>
      <c r="H583" t="s">
        <v>3912</v>
      </c>
      <c r="I583" t="s">
        <v>3913</v>
      </c>
      <c r="J583" t="s">
        <v>3914</v>
      </c>
      <c r="K583" t="s">
        <v>3915</v>
      </c>
      <c r="L583" s="1">
        <v>46143</v>
      </c>
      <c r="M583" s="1">
        <v>46173</v>
      </c>
      <c r="N583">
        <v>0.13114372499999999</v>
      </c>
      <c r="O583" t="s">
        <v>58</v>
      </c>
      <c r="P583" t="s">
        <v>63</v>
      </c>
      <c r="Q583" t="s">
        <v>3916</v>
      </c>
      <c r="R583" t="s">
        <v>3917</v>
      </c>
      <c r="S583" t="s">
        <v>67</v>
      </c>
      <c r="T583" t="s">
        <v>4245</v>
      </c>
      <c r="U583" t="s">
        <v>4246</v>
      </c>
      <c r="V583">
        <v>15</v>
      </c>
      <c r="W583" s="2">
        <v>1143.970707594</v>
      </c>
    </row>
    <row r="584" spans="1:23" x14ac:dyDescent="0.25">
      <c r="A584" t="s">
        <v>31</v>
      </c>
      <c r="B584" t="s">
        <v>32</v>
      </c>
      <c r="C584" t="s">
        <v>33</v>
      </c>
      <c r="D584" t="s">
        <v>34</v>
      </c>
      <c r="E584" t="s">
        <v>35</v>
      </c>
      <c r="F584" t="s">
        <v>36</v>
      </c>
      <c r="G584">
        <v>1141685</v>
      </c>
      <c r="H584" t="s">
        <v>3912</v>
      </c>
      <c r="I584" t="s">
        <v>3913</v>
      </c>
      <c r="J584" t="s">
        <v>3914</v>
      </c>
      <c r="K584" t="s">
        <v>3915</v>
      </c>
      <c r="L584" s="1">
        <v>46143</v>
      </c>
      <c r="M584" s="1">
        <v>46173</v>
      </c>
      <c r="N584">
        <v>4.8778874999999999E-2</v>
      </c>
      <c r="O584" t="s">
        <v>58</v>
      </c>
      <c r="P584" t="s">
        <v>63</v>
      </c>
      <c r="Q584" t="s">
        <v>3916</v>
      </c>
      <c r="R584" t="s">
        <v>3917</v>
      </c>
      <c r="S584" t="s">
        <v>67</v>
      </c>
      <c r="T584" t="s">
        <v>4247</v>
      </c>
      <c r="U584" t="s">
        <v>4248</v>
      </c>
      <c r="V584">
        <v>15</v>
      </c>
      <c r="W584" s="2">
        <v>425.49835143000001</v>
      </c>
    </row>
    <row r="585" spans="1:23" x14ac:dyDescent="0.25">
      <c r="A585" t="s">
        <v>31</v>
      </c>
      <c r="B585" t="s">
        <v>32</v>
      </c>
      <c r="C585" t="s">
        <v>33</v>
      </c>
      <c r="D585" t="s">
        <v>34</v>
      </c>
      <c r="E585" t="s">
        <v>35</v>
      </c>
      <c r="F585" t="s">
        <v>36</v>
      </c>
      <c r="G585">
        <v>1141685</v>
      </c>
      <c r="H585" t="s">
        <v>3912</v>
      </c>
      <c r="I585" t="s">
        <v>3913</v>
      </c>
      <c r="J585" t="s">
        <v>3914</v>
      </c>
      <c r="K585" t="s">
        <v>3915</v>
      </c>
      <c r="L585" s="1">
        <v>46143</v>
      </c>
      <c r="M585" s="1">
        <v>46173</v>
      </c>
      <c r="N585">
        <v>4.4347049999999999E-2</v>
      </c>
      <c r="O585" t="s">
        <v>58</v>
      </c>
      <c r="P585" t="s">
        <v>63</v>
      </c>
      <c r="Q585" t="s">
        <v>3916</v>
      </c>
      <c r="R585" t="s">
        <v>3917</v>
      </c>
      <c r="S585" t="s">
        <v>67</v>
      </c>
      <c r="T585" t="s">
        <v>4249</v>
      </c>
      <c r="U585" t="s">
        <v>4250</v>
      </c>
      <c r="V585">
        <v>15</v>
      </c>
      <c r="W585" s="2">
        <v>386.83859909199998</v>
      </c>
    </row>
    <row r="586" spans="1:23" x14ac:dyDescent="0.25">
      <c r="A586" t="s">
        <v>31</v>
      </c>
      <c r="B586" t="s">
        <v>32</v>
      </c>
      <c r="C586" t="s">
        <v>33</v>
      </c>
      <c r="D586" t="s">
        <v>34</v>
      </c>
      <c r="E586" t="s">
        <v>35</v>
      </c>
      <c r="F586" t="s">
        <v>36</v>
      </c>
      <c r="G586">
        <v>1141685</v>
      </c>
      <c r="H586" t="s">
        <v>3912</v>
      </c>
      <c r="I586" t="s">
        <v>3913</v>
      </c>
      <c r="J586" t="s">
        <v>3914</v>
      </c>
      <c r="K586" t="s">
        <v>3915</v>
      </c>
      <c r="L586" s="1">
        <v>46143</v>
      </c>
      <c r="M586" s="1">
        <v>46173</v>
      </c>
      <c r="N586">
        <v>6.7335300000000001E-2</v>
      </c>
      <c r="O586" t="s">
        <v>58</v>
      </c>
      <c r="P586" t="s">
        <v>63</v>
      </c>
      <c r="Q586" t="s">
        <v>3916</v>
      </c>
      <c r="R586" t="s">
        <v>3917</v>
      </c>
      <c r="S586" t="s">
        <v>67</v>
      </c>
      <c r="T586" t="s">
        <v>4251</v>
      </c>
      <c r="U586" t="s">
        <v>4252</v>
      </c>
      <c r="V586">
        <v>15</v>
      </c>
      <c r="W586" s="2">
        <v>587.36192327200001</v>
      </c>
    </row>
    <row r="587" spans="1:23" x14ac:dyDescent="0.25">
      <c r="A587" t="s">
        <v>31</v>
      </c>
      <c r="B587" t="s">
        <v>32</v>
      </c>
      <c r="C587" t="s">
        <v>33</v>
      </c>
      <c r="D587" t="s">
        <v>34</v>
      </c>
      <c r="E587" t="s">
        <v>35</v>
      </c>
      <c r="F587" t="s">
        <v>36</v>
      </c>
      <c r="G587">
        <v>1141685</v>
      </c>
      <c r="H587" t="s">
        <v>3912</v>
      </c>
      <c r="I587" t="s">
        <v>3913</v>
      </c>
      <c r="J587" t="s">
        <v>3914</v>
      </c>
      <c r="K587" t="s">
        <v>3915</v>
      </c>
      <c r="L587" s="1">
        <v>46143</v>
      </c>
      <c r="M587" s="1">
        <v>46173</v>
      </c>
      <c r="N587">
        <v>6.7870625000000004E-2</v>
      </c>
      <c r="O587" t="s">
        <v>58</v>
      </c>
      <c r="P587" t="s">
        <v>63</v>
      </c>
      <c r="Q587" t="s">
        <v>3916</v>
      </c>
      <c r="R587" t="s">
        <v>3917</v>
      </c>
      <c r="S587" t="s">
        <v>67</v>
      </c>
      <c r="T587" t="s">
        <v>4253</v>
      </c>
      <c r="U587" t="s">
        <v>4254</v>
      </c>
      <c r="V587">
        <v>15</v>
      </c>
      <c r="W587" s="2">
        <v>592.03120645000001</v>
      </c>
    </row>
    <row r="588" spans="1:23" x14ac:dyDescent="0.25">
      <c r="A588" t="s">
        <v>31</v>
      </c>
      <c r="B588" t="s">
        <v>32</v>
      </c>
      <c r="C588" t="s">
        <v>33</v>
      </c>
      <c r="D588" t="s">
        <v>34</v>
      </c>
      <c r="E588" t="s">
        <v>35</v>
      </c>
      <c r="F588" t="s">
        <v>36</v>
      </c>
      <c r="G588">
        <v>1141685</v>
      </c>
      <c r="H588" t="s">
        <v>3912</v>
      </c>
      <c r="I588" t="s">
        <v>3913</v>
      </c>
      <c r="J588" t="s">
        <v>3914</v>
      </c>
      <c r="K588" t="s">
        <v>3915</v>
      </c>
      <c r="L588" s="1">
        <v>46143</v>
      </c>
      <c r="M588" s="1">
        <v>46173</v>
      </c>
      <c r="N588">
        <v>0.22276405129999999</v>
      </c>
      <c r="O588" t="s">
        <v>58</v>
      </c>
      <c r="P588" t="s">
        <v>63</v>
      </c>
      <c r="Q588" t="s">
        <v>3916</v>
      </c>
      <c r="R588" t="s">
        <v>3917</v>
      </c>
      <c r="S588" t="s">
        <v>67</v>
      </c>
      <c r="T588" t="s">
        <v>4255</v>
      </c>
      <c r="U588" t="s">
        <v>4256</v>
      </c>
      <c r="V588">
        <v>12</v>
      </c>
      <c r="W588" s="2">
        <v>1943.1703207672999</v>
      </c>
    </row>
    <row r="589" spans="1:23" x14ac:dyDescent="0.25">
      <c r="A589" t="s">
        <v>31</v>
      </c>
      <c r="B589" t="s">
        <v>32</v>
      </c>
      <c r="C589" t="s">
        <v>33</v>
      </c>
      <c r="D589" t="s">
        <v>34</v>
      </c>
      <c r="E589" t="s">
        <v>35</v>
      </c>
      <c r="F589" t="s">
        <v>36</v>
      </c>
      <c r="G589">
        <v>1141685</v>
      </c>
      <c r="H589" t="s">
        <v>86</v>
      </c>
      <c r="I589" t="s">
        <v>42</v>
      </c>
      <c r="J589" t="s">
        <v>86</v>
      </c>
      <c r="K589" t="s">
        <v>124</v>
      </c>
      <c r="L589" s="1">
        <v>46143</v>
      </c>
      <c r="M589" s="1">
        <v>46173</v>
      </c>
      <c r="N589">
        <v>1.8200000000000001E-4</v>
      </c>
      <c r="O589" t="s">
        <v>135</v>
      </c>
      <c r="P589" t="s">
        <v>63</v>
      </c>
      <c r="Q589" t="s">
        <v>3949</v>
      </c>
      <c r="R589" t="s">
        <v>4257</v>
      </c>
      <c r="S589" t="s">
        <v>67</v>
      </c>
      <c r="T589" t="s">
        <v>4258</v>
      </c>
      <c r="U589" t="s">
        <v>4259</v>
      </c>
      <c r="V589">
        <v>16</v>
      </c>
      <c r="W589" s="2">
        <v>62.582723305599998</v>
      </c>
    </row>
    <row r="590" spans="1:23" x14ac:dyDescent="0.25">
      <c r="A590" t="s">
        <v>31</v>
      </c>
      <c r="B590" t="s">
        <v>32</v>
      </c>
      <c r="C590" t="s">
        <v>33</v>
      </c>
      <c r="D590" t="s">
        <v>34</v>
      </c>
      <c r="E590" t="s">
        <v>35</v>
      </c>
      <c r="F590" t="s">
        <v>36</v>
      </c>
      <c r="G590">
        <v>1141685</v>
      </c>
      <c r="H590" t="s">
        <v>86</v>
      </c>
      <c r="I590" t="s">
        <v>42</v>
      </c>
      <c r="J590" t="s">
        <v>86</v>
      </c>
      <c r="K590" t="s">
        <v>124</v>
      </c>
      <c r="L590" s="1">
        <v>46143</v>
      </c>
      <c r="M590" s="1">
        <v>46173</v>
      </c>
      <c r="N590">
        <v>0.29164800000000002</v>
      </c>
      <c r="O590" t="s">
        <v>135</v>
      </c>
      <c r="P590" t="s">
        <v>63</v>
      </c>
      <c r="Q590" t="s">
        <v>3949</v>
      </c>
      <c r="R590" t="s">
        <v>4260</v>
      </c>
      <c r="S590" t="s">
        <v>67</v>
      </c>
      <c r="T590" t="s">
        <v>4261</v>
      </c>
      <c r="U590" t="s">
        <v>4262</v>
      </c>
      <c r="V590">
        <v>16</v>
      </c>
      <c r="W590" s="2">
        <v>100286.2709155584</v>
      </c>
    </row>
    <row r="591" spans="1:23" x14ac:dyDescent="0.25">
      <c r="A591" t="s">
        <v>31</v>
      </c>
      <c r="B591" t="s">
        <v>32</v>
      </c>
      <c r="C591" t="s">
        <v>33</v>
      </c>
      <c r="D591" t="s">
        <v>34</v>
      </c>
      <c r="E591" t="s">
        <v>35</v>
      </c>
      <c r="F591" t="s">
        <v>36</v>
      </c>
      <c r="G591">
        <v>1141685</v>
      </c>
      <c r="H591" t="s">
        <v>3912</v>
      </c>
      <c r="I591" t="s">
        <v>3913</v>
      </c>
      <c r="J591" t="s">
        <v>3914</v>
      </c>
      <c r="K591" t="s">
        <v>3915</v>
      </c>
      <c r="L591" s="1">
        <v>46143</v>
      </c>
      <c r="M591" s="1">
        <v>46173</v>
      </c>
      <c r="N591">
        <v>3.8500649999999997E-2</v>
      </c>
      <c r="O591" t="s">
        <v>58</v>
      </c>
      <c r="P591" t="s">
        <v>63</v>
      </c>
      <c r="Q591" t="s">
        <v>3916</v>
      </c>
      <c r="R591" t="s">
        <v>3917</v>
      </c>
      <c r="S591" t="s">
        <v>67</v>
      </c>
      <c r="T591" t="s">
        <v>4263</v>
      </c>
      <c r="U591" t="s">
        <v>4264</v>
      </c>
      <c r="V591">
        <v>15</v>
      </c>
      <c r="W591" s="2">
        <v>335.840229556</v>
      </c>
    </row>
    <row r="592" spans="1:23" x14ac:dyDescent="0.25">
      <c r="A592" t="s">
        <v>31</v>
      </c>
      <c r="B592" t="s">
        <v>32</v>
      </c>
      <c r="C592" t="s">
        <v>33</v>
      </c>
      <c r="D592" t="s">
        <v>34</v>
      </c>
      <c r="E592" t="s">
        <v>35</v>
      </c>
      <c r="F592" t="s">
        <v>36</v>
      </c>
      <c r="G592">
        <v>1141685</v>
      </c>
      <c r="H592" t="s">
        <v>75</v>
      </c>
      <c r="I592" t="s">
        <v>94</v>
      </c>
      <c r="J592" t="s">
        <v>98</v>
      </c>
      <c r="K592" t="s">
        <v>108</v>
      </c>
      <c r="L592" s="1">
        <v>46143</v>
      </c>
      <c r="M592" s="1">
        <v>46173</v>
      </c>
      <c r="N592">
        <v>1.2999999999999999E-5</v>
      </c>
      <c r="O592" t="s">
        <v>56</v>
      </c>
      <c r="P592" t="s">
        <v>63</v>
      </c>
      <c r="Q592" t="s">
        <v>3993</v>
      </c>
      <c r="R592" t="s">
        <v>4265</v>
      </c>
      <c r="S592" t="s">
        <v>67</v>
      </c>
      <c r="T592" t="s">
        <v>4266</v>
      </c>
      <c r="U592" t="s">
        <v>4267</v>
      </c>
      <c r="V592">
        <v>6</v>
      </c>
      <c r="W592" s="2">
        <v>2.3949868799999999E-2</v>
      </c>
    </row>
    <row r="593" spans="1:23" x14ac:dyDescent="0.25">
      <c r="A593" t="s">
        <v>31</v>
      </c>
      <c r="B593" t="s">
        <v>32</v>
      </c>
      <c r="C593" t="s">
        <v>33</v>
      </c>
      <c r="D593" t="s">
        <v>34</v>
      </c>
      <c r="E593" t="s">
        <v>35</v>
      </c>
      <c r="F593" t="s">
        <v>36</v>
      </c>
      <c r="G593">
        <v>1141685</v>
      </c>
      <c r="H593" t="s">
        <v>80</v>
      </c>
      <c r="I593" t="s">
        <v>96</v>
      </c>
      <c r="J593" t="s">
        <v>80</v>
      </c>
      <c r="K593" t="s">
        <v>122</v>
      </c>
      <c r="L593" s="1">
        <v>46143</v>
      </c>
      <c r="M593" s="1">
        <v>46173</v>
      </c>
      <c r="N593">
        <v>7.6205500000000001E-5</v>
      </c>
      <c r="O593" t="s">
        <v>56</v>
      </c>
      <c r="P593" t="s">
        <v>63</v>
      </c>
      <c r="Q593" t="s">
        <v>3908</v>
      </c>
      <c r="R593" t="s">
        <v>3909</v>
      </c>
      <c r="S593" t="s">
        <v>67</v>
      </c>
      <c r="T593" t="s">
        <v>4268</v>
      </c>
      <c r="U593" t="s">
        <v>4269</v>
      </c>
      <c r="V593">
        <v>16</v>
      </c>
      <c r="W593" s="2">
        <v>1.1699429500000001E-2</v>
      </c>
    </row>
    <row r="594" spans="1:23" x14ac:dyDescent="0.25">
      <c r="A594" t="s">
        <v>31</v>
      </c>
      <c r="B594" t="s">
        <v>32</v>
      </c>
      <c r="C594" t="s">
        <v>33</v>
      </c>
      <c r="D594" t="s">
        <v>34</v>
      </c>
      <c r="E594" t="s">
        <v>35</v>
      </c>
      <c r="F594" t="s">
        <v>36</v>
      </c>
      <c r="G594">
        <v>1141685</v>
      </c>
      <c r="H594" t="s">
        <v>80</v>
      </c>
      <c r="I594" t="s">
        <v>96</v>
      </c>
      <c r="J594" t="s">
        <v>80</v>
      </c>
      <c r="K594" t="s">
        <v>122</v>
      </c>
      <c r="L594" s="1">
        <v>46143</v>
      </c>
      <c r="M594" s="1">
        <v>46173</v>
      </c>
      <c r="N594">
        <v>3.6462614300000001E-2</v>
      </c>
      <c r="O594" t="s">
        <v>56</v>
      </c>
      <c r="P594" t="s">
        <v>63</v>
      </c>
      <c r="Q594" t="s">
        <v>3972</v>
      </c>
      <c r="R594" t="s">
        <v>4047</v>
      </c>
      <c r="S594" t="s">
        <v>67</v>
      </c>
      <c r="T594" t="s">
        <v>4270</v>
      </c>
      <c r="U594" t="s">
        <v>4271</v>
      </c>
      <c r="V594">
        <v>7</v>
      </c>
      <c r="W594" s="2">
        <v>6.3579155684000002</v>
      </c>
    </row>
    <row r="595" spans="1:23" x14ac:dyDescent="0.25">
      <c r="A595" t="s">
        <v>31</v>
      </c>
      <c r="B595" t="s">
        <v>32</v>
      </c>
      <c r="C595" t="s">
        <v>33</v>
      </c>
      <c r="D595" t="s">
        <v>34</v>
      </c>
      <c r="E595" t="s">
        <v>35</v>
      </c>
      <c r="F595" t="s">
        <v>36</v>
      </c>
      <c r="G595">
        <v>1141685</v>
      </c>
      <c r="H595" t="s">
        <v>80</v>
      </c>
      <c r="I595" t="s">
        <v>96</v>
      </c>
      <c r="J595" t="s">
        <v>80</v>
      </c>
      <c r="K595" t="s">
        <v>122</v>
      </c>
      <c r="L595" s="1">
        <v>46143</v>
      </c>
      <c r="M595" s="1">
        <v>46173</v>
      </c>
      <c r="N595">
        <v>0.1131424466</v>
      </c>
      <c r="O595" t="s">
        <v>56</v>
      </c>
      <c r="P595" t="s">
        <v>63</v>
      </c>
      <c r="Q595" t="s">
        <v>3972</v>
      </c>
      <c r="R595" t="s">
        <v>4047</v>
      </c>
      <c r="S595" t="s">
        <v>67</v>
      </c>
      <c r="T595" t="s">
        <v>4272</v>
      </c>
      <c r="U595" t="s">
        <v>4273</v>
      </c>
      <c r="V595">
        <v>7</v>
      </c>
      <c r="W595" s="2">
        <v>19.740171485600001</v>
      </c>
    </row>
    <row r="596" spans="1:23" x14ac:dyDescent="0.25">
      <c r="A596" t="s">
        <v>31</v>
      </c>
      <c r="B596" t="s">
        <v>32</v>
      </c>
      <c r="C596" t="s">
        <v>33</v>
      </c>
      <c r="D596" t="s">
        <v>34</v>
      </c>
      <c r="E596" t="s">
        <v>35</v>
      </c>
      <c r="F596" t="s">
        <v>36</v>
      </c>
      <c r="G596">
        <v>1141685</v>
      </c>
      <c r="H596" t="s">
        <v>79</v>
      </c>
      <c r="I596" t="s">
        <v>94</v>
      </c>
      <c r="J596" t="s">
        <v>101</v>
      </c>
      <c r="K596" t="s">
        <v>114</v>
      </c>
      <c r="L596" s="1">
        <v>46143</v>
      </c>
      <c r="M596" s="1">
        <v>46173</v>
      </c>
      <c r="N596">
        <v>2.2439817000000002E-3</v>
      </c>
      <c r="O596" t="s">
        <v>56</v>
      </c>
      <c r="P596" t="s">
        <v>63</v>
      </c>
      <c r="Q596" t="s">
        <v>3908</v>
      </c>
      <c r="R596" t="s">
        <v>3909</v>
      </c>
      <c r="S596" t="s">
        <v>67</v>
      </c>
      <c r="T596" t="s">
        <v>4274</v>
      </c>
      <c r="U596" t="s">
        <v>4275</v>
      </c>
      <c r="V596">
        <v>16</v>
      </c>
      <c r="W596" s="2">
        <v>3.1360547277999999</v>
      </c>
    </row>
    <row r="597" spans="1:23" x14ac:dyDescent="0.25">
      <c r="A597" t="s">
        <v>31</v>
      </c>
      <c r="B597" t="s">
        <v>32</v>
      </c>
      <c r="C597" t="s">
        <v>33</v>
      </c>
      <c r="D597" t="s">
        <v>34</v>
      </c>
      <c r="E597" t="s">
        <v>35</v>
      </c>
      <c r="F597" t="s">
        <v>36</v>
      </c>
      <c r="G597">
        <v>1141685</v>
      </c>
      <c r="H597" t="s">
        <v>3912</v>
      </c>
      <c r="I597" t="s">
        <v>3913</v>
      </c>
      <c r="J597" t="s">
        <v>3914</v>
      </c>
      <c r="K597" t="s">
        <v>3915</v>
      </c>
      <c r="L597" s="1">
        <v>46143</v>
      </c>
      <c r="M597" s="1">
        <v>46173</v>
      </c>
      <c r="N597">
        <v>0.36822833329999999</v>
      </c>
      <c r="O597" t="s">
        <v>58</v>
      </c>
      <c r="P597" t="s">
        <v>63</v>
      </c>
      <c r="Q597" t="s">
        <v>3916</v>
      </c>
      <c r="R597" t="s">
        <v>3917</v>
      </c>
      <c r="S597" t="s">
        <v>67</v>
      </c>
      <c r="T597" t="s">
        <v>4276</v>
      </c>
      <c r="U597" t="s">
        <v>4277</v>
      </c>
      <c r="V597">
        <v>14</v>
      </c>
      <c r="W597" s="2">
        <v>3212.0590614665998</v>
      </c>
    </row>
    <row r="598" spans="1:23" x14ac:dyDescent="0.25">
      <c r="A598" t="s">
        <v>31</v>
      </c>
      <c r="B598" t="s">
        <v>32</v>
      </c>
      <c r="C598" t="s">
        <v>33</v>
      </c>
      <c r="D598" t="s">
        <v>34</v>
      </c>
      <c r="E598" t="s">
        <v>35</v>
      </c>
      <c r="F598" t="s">
        <v>36</v>
      </c>
      <c r="G598">
        <v>1141685</v>
      </c>
      <c r="H598" t="s">
        <v>3912</v>
      </c>
      <c r="I598" t="s">
        <v>3913</v>
      </c>
      <c r="J598" t="s">
        <v>3914</v>
      </c>
      <c r="K598" t="s">
        <v>3915</v>
      </c>
      <c r="L598" s="1">
        <v>46143</v>
      </c>
      <c r="M598" s="1">
        <v>46173</v>
      </c>
      <c r="N598">
        <v>6.4238174999999995E-2</v>
      </c>
      <c r="O598" t="s">
        <v>58</v>
      </c>
      <c r="P598" t="s">
        <v>63</v>
      </c>
      <c r="Q598" t="s">
        <v>3916</v>
      </c>
      <c r="R598" t="s">
        <v>3917</v>
      </c>
      <c r="S598" t="s">
        <v>67</v>
      </c>
      <c r="T598" t="s">
        <v>4278</v>
      </c>
      <c r="U598" t="s">
        <v>4279</v>
      </c>
      <c r="V598">
        <v>15</v>
      </c>
      <c r="W598" s="2">
        <v>560.34764846199994</v>
      </c>
    </row>
    <row r="599" spans="1:23" x14ac:dyDescent="0.25">
      <c r="A599" t="s">
        <v>31</v>
      </c>
      <c r="B599" t="s">
        <v>32</v>
      </c>
      <c r="C599" t="s">
        <v>33</v>
      </c>
      <c r="D599" t="s">
        <v>34</v>
      </c>
      <c r="E599" t="s">
        <v>35</v>
      </c>
      <c r="F599" t="s">
        <v>36</v>
      </c>
      <c r="G599">
        <v>1141685</v>
      </c>
      <c r="H599" t="s">
        <v>3912</v>
      </c>
      <c r="I599" t="s">
        <v>3913</v>
      </c>
      <c r="J599" t="s">
        <v>3914</v>
      </c>
      <c r="K599" t="s">
        <v>3915</v>
      </c>
      <c r="L599" s="1">
        <v>46143</v>
      </c>
      <c r="M599" s="1">
        <v>46173</v>
      </c>
      <c r="N599">
        <v>6.3554399999999997E-2</v>
      </c>
      <c r="O599" t="s">
        <v>58</v>
      </c>
      <c r="P599" t="s">
        <v>63</v>
      </c>
      <c r="Q599" t="s">
        <v>3916</v>
      </c>
      <c r="R599" t="s">
        <v>3917</v>
      </c>
      <c r="S599" t="s">
        <v>67</v>
      </c>
      <c r="T599" t="s">
        <v>4280</v>
      </c>
      <c r="U599" t="s">
        <v>4281</v>
      </c>
      <c r="V599">
        <v>15</v>
      </c>
      <c r="W599" s="2">
        <v>554.38882745599994</v>
      </c>
    </row>
    <row r="600" spans="1:23" x14ac:dyDescent="0.25">
      <c r="A600" t="s">
        <v>31</v>
      </c>
      <c r="B600" t="s">
        <v>32</v>
      </c>
      <c r="C600" t="s">
        <v>33</v>
      </c>
      <c r="D600" t="s">
        <v>34</v>
      </c>
      <c r="E600" t="s">
        <v>35</v>
      </c>
      <c r="F600" t="s">
        <v>36</v>
      </c>
      <c r="G600">
        <v>1141685</v>
      </c>
      <c r="H600" t="s">
        <v>77</v>
      </c>
      <c r="I600" t="s">
        <v>96</v>
      </c>
      <c r="J600" t="s">
        <v>77</v>
      </c>
      <c r="K600" t="s">
        <v>111</v>
      </c>
      <c r="L600" s="1">
        <v>46143</v>
      </c>
      <c r="M600" s="1">
        <v>46173</v>
      </c>
      <c r="N600">
        <v>6.4124088699999998E-2</v>
      </c>
      <c r="O600" t="s">
        <v>56</v>
      </c>
      <c r="P600" t="s">
        <v>63</v>
      </c>
      <c r="Q600" t="s">
        <v>3908</v>
      </c>
      <c r="R600" t="s">
        <v>3954</v>
      </c>
      <c r="S600" t="s">
        <v>67</v>
      </c>
      <c r="T600" t="s">
        <v>4282</v>
      </c>
      <c r="U600" t="s">
        <v>4283</v>
      </c>
      <c r="V600">
        <v>16</v>
      </c>
      <c r="W600" s="2">
        <v>11.184637897</v>
      </c>
    </row>
    <row r="601" spans="1:23" x14ac:dyDescent="0.25">
      <c r="A601" t="s">
        <v>31</v>
      </c>
      <c r="B601" t="s">
        <v>32</v>
      </c>
      <c r="C601" t="s">
        <v>33</v>
      </c>
      <c r="D601" t="s">
        <v>34</v>
      </c>
      <c r="E601" t="s">
        <v>35</v>
      </c>
      <c r="F601" t="s">
        <v>36</v>
      </c>
      <c r="G601">
        <v>1141685</v>
      </c>
      <c r="H601" t="s">
        <v>77</v>
      </c>
      <c r="I601" t="s">
        <v>96</v>
      </c>
      <c r="J601" t="s">
        <v>77</v>
      </c>
      <c r="K601" t="s">
        <v>111</v>
      </c>
      <c r="L601" s="1">
        <v>46143</v>
      </c>
      <c r="M601" s="1">
        <v>46173</v>
      </c>
      <c r="N601">
        <v>3.1920650638999999</v>
      </c>
      <c r="O601" t="s">
        <v>56</v>
      </c>
      <c r="P601" t="s">
        <v>63</v>
      </c>
      <c r="Q601" t="s">
        <v>3900</v>
      </c>
      <c r="R601" t="s">
        <v>3958</v>
      </c>
      <c r="S601" t="s">
        <v>67</v>
      </c>
      <c r="T601" t="s">
        <v>4284</v>
      </c>
      <c r="U601" t="s">
        <v>4285</v>
      </c>
      <c r="V601">
        <v>16</v>
      </c>
      <c r="W601" s="2">
        <v>556.89115051609997</v>
      </c>
    </row>
    <row r="602" spans="1:23" x14ac:dyDescent="0.25">
      <c r="A602" t="s">
        <v>31</v>
      </c>
      <c r="B602" t="s">
        <v>32</v>
      </c>
      <c r="C602" t="s">
        <v>33</v>
      </c>
      <c r="D602" t="s">
        <v>34</v>
      </c>
      <c r="E602" t="s">
        <v>35</v>
      </c>
      <c r="F602" t="s">
        <v>36</v>
      </c>
      <c r="G602">
        <v>1141685</v>
      </c>
      <c r="H602" t="s">
        <v>3912</v>
      </c>
      <c r="I602" t="s">
        <v>3913</v>
      </c>
      <c r="J602" t="s">
        <v>3914</v>
      </c>
      <c r="K602" t="s">
        <v>3915</v>
      </c>
      <c r="L602" s="1">
        <v>46143</v>
      </c>
      <c r="M602" s="1">
        <v>46173</v>
      </c>
      <c r="N602">
        <v>6.9923924999999998E-2</v>
      </c>
      <c r="O602" t="s">
        <v>58</v>
      </c>
      <c r="P602" t="s">
        <v>63</v>
      </c>
      <c r="Q602" t="s">
        <v>3916</v>
      </c>
      <c r="R602" t="s">
        <v>3917</v>
      </c>
      <c r="S602" t="s">
        <v>67</v>
      </c>
      <c r="T602" t="s">
        <v>4286</v>
      </c>
      <c r="U602" t="s">
        <v>4287</v>
      </c>
      <c r="V602">
        <v>15</v>
      </c>
      <c r="W602" s="2">
        <v>609.94283004199997</v>
      </c>
    </row>
    <row r="603" spans="1:23" x14ac:dyDescent="0.25">
      <c r="A603" t="s">
        <v>31</v>
      </c>
      <c r="B603" t="s">
        <v>32</v>
      </c>
      <c r="C603" t="s">
        <v>33</v>
      </c>
      <c r="D603" t="s">
        <v>34</v>
      </c>
      <c r="E603" t="s">
        <v>35</v>
      </c>
      <c r="F603" t="s">
        <v>36</v>
      </c>
      <c r="G603">
        <v>1141685</v>
      </c>
      <c r="H603" t="s">
        <v>3912</v>
      </c>
      <c r="I603" t="s">
        <v>3913</v>
      </c>
      <c r="J603" t="s">
        <v>3914</v>
      </c>
      <c r="K603" t="s">
        <v>3915</v>
      </c>
      <c r="L603" s="1">
        <v>46143</v>
      </c>
      <c r="M603" s="1">
        <v>46173</v>
      </c>
      <c r="N603">
        <v>6.2087499999999997E-2</v>
      </c>
      <c r="O603" t="s">
        <v>58</v>
      </c>
      <c r="P603" t="s">
        <v>63</v>
      </c>
      <c r="Q603" t="s">
        <v>3916</v>
      </c>
      <c r="R603" t="s">
        <v>3917</v>
      </c>
      <c r="S603" t="s">
        <v>67</v>
      </c>
      <c r="T603" t="s">
        <v>4288</v>
      </c>
      <c r="U603" t="s">
        <v>4289</v>
      </c>
      <c r="V603">
        <v>15</v>
      </c>
      <c r="W603" s="2">
        <v>541.58855099999994</v>
      </c>
    </row>
    <row r="604" spans="1:23" x14ac:dyDescent="0.25">
      <c r="A604" t="s">
        <v>31</v>
      </c>
      <c r="B604" t="s">
        <v>32</v>
      </c>
      <c r="C604" t="s">
        <v>33</v>
      </c>
      <c r="D604" t="s">
        <v>34</v>
      </c>
      <c r="E604" t="s">
        <v>35</v>
      </c>
      <c r="F604" t="s">
        <v>36</v>
      </c>
      <c r="G604">
        <v>1141685</v>
      </c>
      <c r="H604" t="s">
        <v>77</v>
      </c>
      <c r="I604" t="s">
        <v>96</v>
      </c>
      <c r="J604" t="s">
        <v>77</v>
      </c>
      <c r="K604" t="s">
        <v>111</v>
      </c>
      <c r="L604" s="1">
        <v>46143</v>
      </c>
      <c r="M604" s="1">
        <v>46173</v>
      </c>
      <c r="N604">
        <v>11.1042863177</v>
      </c>
      <c r="O604" t="s">
        <v>56</v>
      </c>
      <c r="P604" t="s">
        <v>63</v>
      </c>
      <c r="Q604" t="s">
        <v>3908</v>
      </c>
      <c r="R604" t="s">
        <v>3909</v>
      </c>
      <c r="S604" t="s">
        <v>67</v>
      </c>
      <c r="T604" t="s">
        <v>4290</v>
      </c>
      <c r="U604" t="s">
        <v>4291</v>
      </c>
      <c r="V604">
        <v>16</v>
      </c>
      <c r="W604" s="2">
        <v>1937.2533360697</v>
      </c>
    </row>
    <row r="605" spans="1:23" x14ac:dyDescent="0.25">
      <c r="A605" t="s">
        <v>31</v>
      </c>
      <c r="B605" t="s">
        <v>32</v>
      </c>
      <c r="C605" t="s">
        <v>33</v>
      </c>
      <c r="D605" t="s">
        <v>34</v>
      </c>
      <c r="E605" t="s">
        <v>35</v>
      </c>
      <c r="F605" t="s">
        <v>36</v>
      </c>
      <c r="G605">
        <v>1141685</v>
      </c>
      <c r="H605" t="s">
        <v>3912</v>
      </c>
      <c r="I605" t="s">
        <v>3913</v>
      </c>
      <c r="J605" t="s">
        <v>3914</v>
      </c>
      <c r="K605" t="s">
        <v>3915</v>
      </c>
      <c r="L605" s="1">
        <v>46143</v>
      </c>
      <c r="M605" s="1">
        <v>46173</v>
      </c>
      <c r="N605">
        <v>0.22100349380000001</v>
      </c>
      <c r="O605" t="s">
        <v>58</v>
      </c>
      <c r="P605" t="s">
        <v>63</v>
      </c>
      <c r="Q605" t="s">
        <v>3916</v>
      </c>
      <c r="R605" t="s">
        <v>3917</v>
      </c>
      <c r="S605" t="s">
        <v>67</v>
      </c>
      <c r="T605" t="s">
        <v>4292</v>
      </c>
      <c r="U605" t="s">
        <v>4293</v>
      </c>
      <c r="V605">
        <v>12</v>
      </c>
      <c r="W605" s="2">
        <v>1927.8158588634999</v>
      </c>
    </row>
    <row r="606" spans="1:23" x14ac:dyDescent="0.25">
      <c r="A606" t="s">
        <v>31</v>
      </c>
      <c r="B606" t="s">
        <v>32</v>
      </c>
      <c r="C606" t="s">
        <v>33</v>
      </c>
      <c r="D606" t="s">
        <v>34</v>
      </c>
      <c r="E606" t="s">
        <v>35</v>
      </c>
      <c r="F606" t="s">
        <v>36</v>
      </c>
      <c r="G606">
        <v>1141685</v>
      </c>
      <c r="H606" t="s">
        <v>3912</v>
      </c>
      <c r="I606" t="s">
        <v>3913</v>
      </c>
      <c r="J606" t="s">
        <v>3914</v>
      </c>
      <c r="K606" t="s">
        <v>3915</v>
      </c>
      <c r="L606" s="1">
        <v>46143</v>
      </c>
      <c r="M606" s="1">
        <v>46173</v>
      </c>
      <c r="N606">
        <v>0.21857586109999999</v>
      </c>
      <c r="O606" t="s">
        <v>58</v>
      </c>
      <c r="P606" t="s">
        <v>63</v>
      </c>
      <c r="Q606" t="s">
        <v>3916</v>
      </c>
      <c r="R606" t="s">
        <v>3917</v>
      </c>
      <c r="S606" t="s">
        <v>67</v>
      </c>
      <c r="T606" t="s">
        <v>4294</v>
      </c>
      <c r="U606" t="s">
        <v>4295</v>
      </c>
      <c r="V606">
        <v>12</v>
      </c>
      <c r="W606" s="2">
        <v>1906.6407680955001</v>
      </c>
    </row>
    <row r="607" spans="1:23" x14ac:dyDescent="0.25">
      <c r="A607" t="s">
        <v>31</v>
      </c>
      <c r="B607" t="s">
        <v>32</v>
      </c>
      <c r="C607" t="s">
        <v>33</v>
      </c>
      <c r="D607" t="s">
        <v>34</v>
      </c>
      <c r="E607" t="s">
        <v>35</v>
      </c>
      <c r="F607" t="s">
        <v>36</v>
      </c>
      <c r="G607">
        <v>1141685</v>
      </c>
      <c r="H607" t="s">
        <v>3912</v>
      </c>
      <c r="I607" t="s">
        <v>3913</v>
      </c>
      <c r="J607" t="s">
        <v>3914</v>
      </c>
      <c r="K607" t="s">
        <v>3915</v>
      </c>
      <c r="L607" s="1">
        <v>46143</v>
      </c>
      <c r="M607" s="1">
        <v>46173</v>
      </c>
      <c r="N607">
        <v>0.1123544861</v>
      </c>
      <c r="O607" t="s">
        <v>58</v>
      </c>
      <c r="P607" t="s">
        <v>63</v>
      </c>
      <c r="Q607" t="s">
        <v>3916</v>
      </c>
      <c r="R607" t="s">
        <v>3917</v>
      </c>
      <c r="S607" t="s">
        <v>67</v>
      </c>
      <c r="T607" t="s">
        <v>4296</v>
      </c>
      <c r="U607" t="s">
        <v>4297</v>
      </c>
      <c r="V607">
        <v>12</v>
      </c>
      <c r="W607" s="2">
        <v>980.07000046550002</v>
      </c>
    </row>
    <row r="608" spans="1:23" x14ac:dyDescent="0.25">
      <c r="A608" t="s">
        <v>31</v>
      </c>
      <c r="B608" t="s">
        <v>32</v>
      </c>
      <c r="C608" t="s">
        <v>33</v>
      </c>
      <c r="D608" t="s">
        <v>34</v>
      </c>
      <c r="E608" t="s">
        <v>35</v>
      </c>
      <c r="F608" t="s">
        <v>36</v>
      </c>
      <c r="G608">
        <v>1141685</v>
      </c>
      <c r="H608" t="s">
        <v>77</v>
      </c>
      <c r="I608" t="s">
        <v>96</v>
      </c>
      <c r="J608" t="s">
        <v>77</v>
      </c>
      <c r="K608" t="s">
        <v>111</v>
      </c>
      <c r="L608" s="1">
        <v>46143</v>
      </c>
      <c r="M608" s="1">
        <v>46173</v>
      </c>
      <c r="N608">
        <v>0.19741163589999999</v>
      </c>
      <c r="O608" t="s">
        <v>56</v>
      </c>
      <c r="P608" t="s">
        <v>63</v>
      </c>
      <c r="Q608" t="s">
        <v>3908</v>
      </c>
      <c r="R608" t="s">
        <v>3909</v>
      </c>
      <c r="S608" t="s">
        <v>67</v>
      </c>
      <c r="T608" t="s">
        <v>4298</v>
      </c>
      <c r="U608" t="s">
        <v>4299</v>
      </c>
      <c r="V608">
        <v>16</v>
      </c>
      <c r="W608" s="2">
        <v>34.437581917800003</v>
      </c>
    </row>
    <row r="609" spans="1:23" x14ac:dyDescent="0.25">
      <c r="A609" t="s">
        <v>31</v>
      </c>
      <c r="B609" t="s">
        <v>32</v>
      </c>
      <c r="C609" t="s">
        <v>33</v>
      </c>
      <c r="D609" t="s">
        <v>34</v>
      </c>
      <c r="E609" t="s">
        <v>35</v>
      </c>
      <c r="F609" t="s">
        <v>36</v>
      </c>
      <c r="G609">
        <v>1141685</v>
      </c>
      <c r="H609" t="s">
        <v>79</v>
      </c>
      <c r="I609" t="s">
        <v>94</v>
      </c>
      <c r="J609" t="s">
        <v>101</v>
      </c>
      <c r="K609" t="s">
        <v>114</v>
      </c>
      <c r="L609" s="1">
        <v>46143</v>
      </c>
      <c r="M609" s="1">
        <v>46173</v>
      </c>
      <c r="N609">
        <v>1.21621E-5</v>
      </c>
      <c r="O609" t="s">
        <v>56</v>
      </c>
      <c r="P609" t="s">
        <v>63</v>
      </c>
      <c r="Q609" t="s">
        <v>3908</v>
      </c>
      <c r="R609" t="s">
        <v>3909</v>
      </c>
      <c r="S609" t="s">
        <v>67</v>
      </c>
      <c r="T609" t="s">
        <v>4300</v>
      </c>
      <c r="U609" t="s">
        <v>4301</v>
      </c>
      <c r="V609">
        <v>16</v>
      </c>
      <c r="W609" s="2">
        <v>1.4937522700000001E-2</v>
      </c>
    </row>
    <row r="610" spans="1:23" x14ac:dyDescent="0.25">
      <c r="A610" t="s">
        <v>31</v>
      </c>
      <c r="B610" t="s">
        <v>32</v>
      </c>
      <c r="C610" t="s">
        <v>33</v>
      </c>
      <c r="D610" t="s">
        <v>34</v>
      </c>
      <c r="E610" t="s">
        <v>35</v>
      </c>
      <c r="F610" t="s">
        <v>36</v>
      </c>
      <c r="G610">
        <v>1141685</v>
      </c>
      <c r="H610" t="s">
        <v>79</v>
      </c>
      <c r="I610" t="s">
        <v>94</v>
      </c>
      <c r="J610" t="s">
        <v>101</v>
      </c>
      <c r="K610" t="s">
        <v>114</v>
      </c>
      <c r="L610" s="1">
        <v>46143</v>
      </c>
      <c r="M610" s="1">
        <v>46173</v>
      </c>
      <c r="N610">
        <v>3.3098999999999999E-6</v>
      </c>
      <c r="O610" t="s">
        <v>56</v>
      </c>
      <c r="P610" t="s">
        <v>63</v>
      </c>
      <c r="Q610" t="s">
        <v>3908</v>
      </c>
      <c r="R610" t="s">
        <v>3909</v>
      </c>
      <c r="S610" t="s">
        <v>67</v>
      </c>
      <c r="T610" t="s">
        <v>4302</v>
      </c>
      <c r="U610" t="s">
        <v>4303</v>
      </c>
      <c r="V610">
        <v>16</v>
      </c>
      <c r="W610" s="2">
        <v>4.0652387999999999E-3</v>
      </c>
    </row>
    <row r="611" spans="1:23" x14ac:dyDescent="0.25">
      <c r="A611" t="s">
        <v>31</v>
      </c>
      <c r="B611" t="s">
        <v>32</v>
      </c>
      <c r="C611" t="s">
        <v>33</v>
      </c>
      <c r="D611" t="s">
        <v>34</v>
      </c>
      <c r="E611" t="s">
        <v>35</v>
      </c>
      <c r="F611" t="s">
        <v>36</v>
      </c>
      <c r="G611">
        <v>1141685</v>
      </c>
      <c r="H611" t="s">
        <v>3912</v>
      </c>
      <c r="I611" t="s">
        <v>3913</v>
      </c>
      <c r="J611" t="s">
        <v>3914</v>
      </c>
      <c r="K611" t="s">
        <v>3915</v>
      </c>
      <c r="L611" s="1">
        <v>46143</v>
      </c>
      <c r="M611" s="1">
        <v>46173</v>
      </c>
      <c r="N611">
        <v>9.9130416700000001E-2</v>
      </c>
      <c r="O611" t="s">
        <v>58</v>
      </c>
      <c r="P611" t="s">
        <v>63</v>
      </c>
      <c r="Q611" t="s">
        <v>3916</v>
      </c>
      <c r="R611" t="s">
        <v>3917</v>
      </c>
      <c r="S611" t="s">
        <v>67</v>
      </c>
      <c r="T611" t="s">
        <v>4304</v>
      </c>
      <c r="U611" t="s">
        <v>4305</v>
      </c>
      <c r="V611">
        <v>12</v>
      </c>
      <c r="W611" s="2">
        <v>864.71886963329996</v>
      </c>
    </row>
    <row r="612" spans="1:23" x14ac:dyDescent="0.25">
      <c r="A612" t="s">
        <v>31</v>
      </c>
      <c r="B612" t="s">
        <v>32</v>
      </c>
      <c r="C612" t="s">
        <v>33</v>
      </c>
      <c r="D612" t="s">
        <v>34</v>
      </c>
      <c r="E612" t="s">
        <v>35</v>
      </c>
      <c r="F612" t="s">
        <v>36</v>
      </c>
      <c r="G612">
        <v>1141685</v>
      </c>
      <c r="H612" t="s">
        <v>3912</v>
      </c>
      <c r="I612" t="s">
        <v>3913</v>
      </c>
      <c r="J612" t="s">
        <v>3914</v>
      </c>
      <c r="K612" t="s">
        <v>3915</v>
      </c>
      <c r="L612" s="1">
        <v>46143</v>
      </c>
      <c r="M612" s="1">
        <v>46173</v>
      </c>
      <c r="N612">
        <v>0.29320451879999998</v>
      </c>
      <c r="O612" t="s">
        <v>58</v>
      </c>
      <c r="P612" t="s">
        <v>63</v>
      </c>
      <c r="Q612" t="s">
        <v>3916</v>
      </c>
      <c r="R612" t="s">
        <v>3917</v>
      </c>
      <c r="S612" t="s">
        <v>67</v>
      </c>
      <c r="T612" t="s">
        <v>4306</v>
      </c>
      <c r="U612" t="s">
        <v>4307</v>
      </c>
      <c r="V612">
        <v>12</v>
      </c>
      <c r="W612" s="2">
        <v>2557.6182550095</v>
      </c>
    </row>
    <row r="613" spans="1:23" x14ac:dyDescent="0.25">
      <c r="A613" t="s">
        <v>31</v>
      </c>
      <c r="B613" t="s">
        <v>32</v>
      </c>
      <c r="C613" t="s">
        <v>33</v>
      </c>
      <c r="D613" t="s">
        <v>34</v>
      </c>
      <c r="E613" t="s">
        <v>35</v>
      </c>
      <c r="F613" t="s">
        <v>36</v>
      </c>
      <c r="G613">
        <v>1141685</v>
      </c>
      <c r="H613" t="s">
        <v>3912</v>
      </c>
      <c r="I613" t="s">
        <v>3913</v>
      </c>
      <c r="J613" t="s">
        <v>3914</v>
      </c>
      <c r="K613" t="s">
        <v>3915</v>
      </c>
      <c r="L613" s="1">
        <v>46143</v>
      </c>
      <c r="M613" s="1">
        <v>46173</v>
      </c>
      <c r="N613">
        <v>9.42268889E-2</v>
      </c>
      <c r="O613" t="s">
        <v>58</v>
      </c>
      <c r="P613" t="s">
        <v>63</v>
      </c>
      <c r="Q613" t="s">
        <v>3916</v>
      </c>
      <c r="R613" t="s">
        <v>3917</v>
      </c>
      <c r="S613" t="s">
        <v>67</v>
      </c>
      <c r="T613" t="s">
        <v>4308</v>
      </c>
      <c r="U613" t="s">
        <v>4309</v>
      </c>
      <c r="V613">
        <v>12</v>
      </c>
      <c r="W613" s="2">
        <v>821.93821356429999</v>
      </c>
    </row>
    <row r="614" spans="1:23" x14ac:dyDescent="0.25">
      <c r="A614" t="s">
        <v>31</v>
      </c>
      <c r="B614" t="s">
        <v>32</v>
      </c>
      <c r="C614" t="s">
        <v>33</v>
      </c>
      <c r="D614" t="s">
        <v>34</v>
      </c>
      <c r="E614" t="s">
        <v>35</v>
      </c>
      <c r="F614" t="s">
        <v>36</v>
      </c>
      <c r="G614">
        <v>1141685</v>
      </c>
      <c r="H614" t="s">
        <v>3912</v>
      </c>
      <c r="I614" t="s">
        <v>3913</v>
      </c>
      <c r="J614" t="s">
        <v>3914</v>
      </c>
      <c r="K614" t="s">
        <v>3915</v>
      </c>
      <c r="L614" s="1">
        <v>46143</v>
      </c>
      <c r="M614" s="1">
        <v>46173</v>
      </c>
      <c r="N614">
        <v>0.30216694440000003</v>
      </c>
      <c r="O614" t="s">
        <v>58</v>
      </c>
      <c r="P614" t="s">
        <v>63</v>
      </c>
      <c r="Q614" t="s">
        <v>3916</v>
      </c>
      <c r="R614" t="s">
        <v>3917</v>
      </c>
      <c r="S614" t="s">
        <v>67</v>
      </c>
      <c r="T614" t="s">
        <v>4310</v>
      </c>
      <c r="U614" t="s">
        <v>4311</v>
      </c>
      <c r="V614">
        <v>12</v>
      </c>
      <c r="W614" s="2">
        <v>2635.8059856220998</v>
      </c>
    </row>
    <row r="615" spans="1:23" x14ac:dyDescent="0.25">
      <c r="A615" t="s">
        <v>31</v>
      </c>
      <c r="B615" t="s">
        <v>32</v>
      </c>
      <c r="C615" t="s">
        <v>33</v>
      </c>
      <c r="D615" t="s">
        <v>34</v>
      </c>
      <c r="E615" t="s">
        <v>35</v>
      </c>
      <c r="F615" t="s">
        <v>36</v>
      </c>
      <c r="G615">
        <v>1141685</v>
      </c>
      <c r="H615" t="s">
        <v>75</v>
      </c>
      <c r="I615" t="s">
        <v>94</v>
      </c>
      <c r="J615" t="s">
        <v>98</v>
      </c>
      <c r="K615" t="s">
        <v>108</v>
      </c>
      <c r="L615" s="1">
        <v>46143</v>
      </c>
      <c r="M615" s="1">
        <v>46173</v>
      </c>
      <c r="N615">
        <v>1.5116856E-3</v>
      </c>
      <c r="O615" t="s">
        <v>56</v>
      </c>
      <c r="P615" t="s">
        <v>63</v>
      </c>
      <c r="Q615" t="s">
        <v>3900</v>
      </c>
      <c r="R615" t="s">
        <v>3958</v>
      </c>
      <c r="S615" t="s">
        <v>67</v>
      </c>
      <c r="T615" t="s">
        <v>4312</v>
      </c>
      <c r="U615" t="s">
        <v>4313</v>
      </c>
      <c r="V615">
        <v>16</v>
      </c>
      <c r="W615" s="2">
        <v>3.1649746611</v>
      </c>
    </row>
    <row r="616" spans="1:23" x14ac:dyDescent="0.25">
      <c r="A616" t="s">
        <v>31</v>
      </c>
      <c r="B616" t="s">
        <v>32</v>
      </c>
      <c r="C616" t="s">
        <v>33</v>
      </c>
      <c r="D616" t="s">
        <v>34</v>
      </c>
      <c r="E616" t="s">
        <v>35</v>
      </c>
      <c r="F616" t="s">
        <v>36</v>
      </c>
      <c r="G616">
        <v>1141685</v>
      </c>
      <c r="H616" t="s">
        <v>75</v>
      </c>
      <c r="I616" t="s">
        <v>94</v>
      </c>
      <c r="J616" t="s">
        <v>98</v>
      </c>
      <c r="K616" t="s">
        <v>108</v>
      </c>
      <c r="L616" s="1">
        <v>46143</v>
      </c>
      <c r="M616" s="1">
        <v>46173</v>
      </c>
      <c r="N616">
        <v>1.641503E-4</v>
      </c>
      <c r="O616" t="s">
        <v>56</v>
      </c>
      <c r="P616" t="s">
        <v>63</v>
      </c>
      <c r="Q616" t="s">
        <v>3900</v>
      </c>
      <c r="R616" t="s">
        <v>3958</v>
      </c>
      <c r="S616" t="s">
        <v>67</v>
      </c>
      <c r="T616" t="s">
        <v>4314</v>
      </c>
      <c r="U616" t="s">
        <v>4315</v>
      </c>
      <c r="V616">
        <v>16</v>
      </c>
      <c r="W616" s="2">
        <v>0.34241363060000002</v>
      </c>
    </row>
    <row r="617" spans="1:23" x14ac:dyDescent="0.25">
      <c r="A617" t="s">
        <v>31</v>
      </c>
      <c r="B617" t="s">
        <v>32</v>
      </c>
      <c r="C617" t="s">
        <v>33</v>
      </c>
      <c r="D617" t="s">
        <v>34</v>
      </c>
      <c r="E617" t="s">
        <v>35</v>
      </c>
      <c r="F617" t="s">
        <v>36</v>
      </c>
      <c r="G617">
        <v>1141685</v>
      </c>
      <c r="H617" t="s">
        <v>75</v>
      </c>
      <c r="I617" t="s">
        <v>94</v>
      </c>
      <c r="J617" t="s">
        <v>98</v>
      </c>
      <c r="K617" t="s">
        <v>108</v>
      </c>
      <c r="L617" s="1">
        <v>46143</v>
      </c>
      <c r="M617" s="1">
        <v>46173</v>
      </c>
      <c r="N617">
        <v>1.15084564E-2</v>
      </c>
      <c r="O617" t="s">
        <v>56</v>
      </c>
      <c r="P617" t="s">
        <v>63</v>
      </c>
      <c r="Q617" t="s">
        <v>3900</v>
      </c>
      <c r="R617" t="s">
        <v>3958</v>
      </c>
      <c r="S617" t="s">
        <v>67</v>
      </c>
      <c r="T617" t="s">
        <v>4316</v>
      </c>
      <c r="U617" t="s">
        <v>4317</v>
      </c>
      <c r="V617">
        <v>16</v>
      </c>
      <c r="W617" s="2">
        <v>24.0920016629</v>
      </c>
    </row>
    <row r="618" spans="1:23" x14ac:dyDescent="0.25">
      <c r="A618" t="s">
        <v>31</v>
      </c>
      <c r="B618" t="s">
        <v>32</v>
      </c>
      <c r="C618" t="s">
        <v>33</v>
      </c>
      <c r="D618" t="s">
        <v>34</v>
      </c>
      <c r="E618" t="s">
        <v>35</v>
      </c>
      <c r="F618" t="s">
        <v>36</v>
      </c>
      <c r="G618">
        <v>1141685</v>
      </c>
      <c r="H618" t="s">
        <v>75</v>
      </c>
      <c r="I618" t="s">
        <v>94</v>
      </c>
      <c r="J618" t="s">
        <v>98</v>
      </c>
      <c r="K618" t="s">
        <v>108</v>
      </c>
      <c r="L618" s="1">
        <v>46143</v>
      </c>
      <c r="M618" s="1">
        <v>46173</v>
      </c>
      <c r="N618">
        <v>1.4034942700000001E-2</v>
      </c>
      <c r="O618" t="s">
        <v>56</v>
      </c>
      <c r="P618" t="s">
        <v>63</v>
      </c>
      <c r="Q618" t="s">
        <v>3900</v>
      </c>
      <c r="R618" t="s">
        <v>3958</v>
      </c>
      <c r="S618" t="s">
        <v>67</v>
      </c>
      <c r="T618" t="s">
        <v>4318</v>
      </c>
      <c r="U618" t="s">
        <v>4319</v>
      </c>
      <c r="V618">
        <v>16</v>
      </c>
      <c r="W618" s="2">
        <v>29.386541295899999</v>
      </c>
    </row>
    <row r="619" spans="1:23" x14ac:dyDescent="0.25">
      <c r="A619" t="s">
        <v>31</v>
      </c>
      <c r="B619" t="s">
        <v>32</v>
      </c>
      <c r="C619" t="s">
        <v>33</v>
      </c>
      <c r="D619" t="s">
        <v>34</v>
      </c>
      <c r="E619" t="s">
        <v>35</v>
      </c>
      <c r="F619" t="s">
        <v>36</v>
      </c>
      <c r="G619">
        <v>1141685</v>
      </c>
      <c r="H619" t="s">
        <v>75</v>
      </c>
      <c r="I619" t="s">
        <v>94</v>
      </c>
      <c r="J619" t="s">
        <v>98</v>
      </c>
      <c r="K619" t="s">
        <v>108</v>
      </c>
      <c r="L619" s="1">
        <v>46143</v>
      </c>
      <c r="M619" s="1">
        <v>46173</v>
      </c>
      <c r="N619">
        <v>1.0283699999999999E-5</v>
      </c>
      <c r="O619" t="s">
        <v>56</v>
      </c>
      <c r="P619" t="s">
        <v>63</v>
      </c>
      <c r="Q619" t="s">
        <v>3904</v>
      </c>
      <c r="R619" t="s">
        <v>3905</v>
      </c>
      <c r="S619" t="s">
        <v>67</v>
      </c>
      <c r="T619" t="s">
        <v>4320</v>
      </c>
      <c r="U619" t="s">
        <v>4321</v>
      </c>
      <c r="V619">
        <v>16</v>
      </c>
      <c r="W619" s="2">
        <v>1.8945569200000002E-2</v>
      </c>
    </row>
    <row r="620" spans="1:23" x14ac:dyDescent="0.25">
      <c r="A620" t="s">
        <v>31</v>
      </c>
      <c r="B620" t="s">
        <v>32</v>
      </c>
      <c r="C620" t="s">
        <v>33</v>
      </c>
      <c r="D620" t="s">
        <v>34</v>
      </c>
      <c r="E620" t="s">
        <v>35</v>
      </c>
      <c r="F620" t="s">
        <v>36</v>
      </c>
      <c r="G620">
        <v>1141685</v>
      </c>
      <c r="H620" t="s">
        <v>81</v>
      </c>
      <c r="I620" t="s">
        <v>97</v>
      </c>
      <c r="J620" t="s">
        <v>102</v>
      </c>
      <c r="K620" t="s">
        <v>117</v>
      </c>
      <c r="L620" s="1">
        <v>46143</v>
      </c>
      <c r="M620" s="1">
        <v>46173</v>
      </c>
      <c r="N620">
        <v>7</v>
      </c>
      <c r="O620" t="s">
        <v>58</v>
      </c>
      <c r="P620" t="s">
        <v>63</v>
      </c>
      <c r="Q620" t="s">
        <v>3936</v>
      </c>
      <c r="R620" t="s">
        <v>4322</v>
      </c>
      <c r="S620" t="s">
        <v>67</v>
      </c>
      <c r="T620" t="s">
        <v>70</v>
      </c>
      <c r="U620" t="s">
        <v>73</v>
      </c>
      <c r="V620">
        <v>6</v>
      </c>
      <c r="W620" s="2">
        <v>0</v>
      </c>
    </row>
    <row r="621" spans="1:23" x14ac:dyDescent="0.25">
      <c r="A621" t="s">
        <v>31</v>
      </c>
      <c r="B621" t="s">
        <v>32</v>
      </c>
      <c r="C621" t="s">
        <v>33</v>
      </c>
      <c r="D621" t="s">
        <v>34</v>
      </c>
      <c r="E621" t="s">
        <v>35</v>
      </c>
      <c r="F621" t="s">
        <v>36</v>
      </c>
      <c r="G621">
        <v>1141685</v>
      </c>
      <c r="H621" t="s">
        <v>81</v>
      </c>
      <c r="I621" t="s">
        <v>97</v>
      </c>
      <c r="J621" t="s">
        <v>102</v>
      </c>
      <c r="K621" t="s">
        <v>117</v>
      </c>
      <c r="L621" s="1">
        <v>46143</v>
      </c>
      <c r="M621" s="1">
        <v>46173</v>
      </c>
      <c r="N621">
        <v>740</v>
      </c>
      <c r="O621" t="s">
        <v>58</v>
      </c>
      <c r="P621" t="s">
        <v>63</v>
      </c>
      <c r="Q621" t="s">
        <v>3936</v>
      </c>
      <c r="R621" t="s">
        <v>4097</v>
      </c>
      <c r="S621" t="s">
        <v>67</v>
      </c>
      <c r="T621" t="s">
        <v>70</v>
      </c>
      <c r="U621" t="s">
        <v>73</v>
      </c>
      <c r="V621">
        <v>6</v>
      </c>
      <c r="W621" s="2">
        <v>0</v>
      </c>
    </row>
    <row r="622" spans="1:23" x14ac:dyDescent="0.25">
      <c r="A622" t="s">
        <v>31</v>
      </c>
      <c r="B622" t="s">
        <v>32</v>
      </c>
      <c r="C622" t="s">
        <v>33</v>
      </c>
      <c r="D622" t="s">
        <v>34</v>
      </c>
      <c r="E622" t="s">
        <v>35</v>
      </c>
      <c r="F622" t="s">
        <v>36</v>
      </c>
      <c r="G622">
        <v>1141685</v>
      </c>
      <c r="H622" t="s">
        <v>76</v>
      </c>
      <c r="I622" t="s">
        <v>95</v>
      </c>
      <c r="J622" t="s">
        <v>99</v>
      </c>
      <c r="K622" t="s">
        <v>109</v>
      </c>
      <c r="L622" s="1">
        <v>46143</v>
      </c>
      <c r="M622" s="1">
        <v>46173</v>
      </c>
      <c r="N622">
        <v>49</v>
      </c>
      <c r="O622" t="s">
        <v>58</v>
      </c>
      <c r="P622" t="s">
        <v>63</v>
      </c>
      <c r="Q622" t="s">
        <v>3949</v>
      </c>
      <c r="R622" t="s">
        <v>3905</v>
      </c>
      <c r="S622" t="s">
        <v>67</v>
      </c>
      <c r="T622" t="s">
        <v>4323</v>
      </c>
      <c r="U622" t="s">
        <v>4324</v>
      </c>
      <c r="V622">
        <v>16</v>
      </c>
      <c r="W622" s="2">
        <v>0</v>
      </c>
    </row>
    <row r="623" spans="1:23" x14ac:dyDescent="0.25">
      <c r="A623" t="s">
        <v>31</v>
      </c>
      <c r="B623" t="s">
        <v>32</v>
      </c>
      <c r="C623" t="s">
        <v>33</v>
      </c>
      <c r="D623" t="s">
        <v>34</v>
      </c>
      <c r="E623" t="s">
        <v>35</v>
      </c>
      <c r="F623" t="s">
        <v>36</v>
      </c>
      <c r="G623">
        <v>1141685</v>
      </c>
      <c r="H623" t="s">
        <v>38</v>
      </c>
      <c r="I623" t="s">
        <v>38</v>
      </c>
      <c r="J623" t="s">
        <v>38</v>
      </c>
      <c r="K623" t="s">
        <v>51</v>
      </c>
      <c r="L623" s="1">
        <v>46143</v>
      </c>
      <c r="M623" s="1">
        <v>46173</v>
      </c>
      <c r="N623">
        <v>0.25090099999999999</v>
      </c>
      <c r="O623" t="s">
        <v>62</v>
      </c>
      <c r="P623" t="s">
        <v>63</v>
      </c>
      <c r="Q623" t="s">
        <v>3993</v>
      </c>
      <c r="R623" t="s">
        <v>4325</v>
      </c>
      <c r="S623" t="s">
        <v>67</v>
      </c>
      <c r="T623" t="s">
        <v>4326</v>
      </c>
      <c r="U623" t="s">
        <v>4327</v>
      </c>
      <c r="V623">
        <v>8</v>
      </c>
      <c r="W623" s="2">
        <v>63.473312475</v>
      </c>
    </row>
    <row r="624" spans="1:23" x14ac:dyDescent="0.25">
      <c r="A624" t="s">
        <v>31</v>
      </c>
      <c r="B624" t="s">
        <v>32</v>
      </c>
      <c r="C624" t="s">
        <v>33</v>
      </c>
      <c r="D624" t="s">
        <v>34</v>
      </c>
      <c r="E624" t="s">
        <v>35</v>
      </c>
      <c r="F624" t="s">
        <v>36</v>
      </c>
      <c r="G624">
        <v>1141685</v>
      </c>
      <c r="H624" t="s">
        <v>76</v>
      </c>
      <c r="I624" t="s">
        <v>95</v>
      </c>
      <c r="J624" t="s">
        <v>99</v>
      </c>
      <c r="K624" t="s">
        <v>109</v>
      </c>
      <c r="L624" s="1">
        <v>46143</v>
      </c>
      <c r="M624" s="1">
        <v>46173</v>
      </c>
      <c r="N624">
        <v>53</v>
      </c>
      <c r="O624" t="s">
        <v>58</v>
      </c>
      <c r="P624" t="s">
        <v>63</v>
      </c>
      <c r="Q624" t="s">
        <v>3957</v>
      </c>
      <c r="R624" t="s">
        <v>3963</v>
      </c>
      <c r="S624" t="s">
        <v>67</v>
      </c>
      <c r="T624" t="s">
        <v>4328</v>
      </c>
      <c r="U624" t="s">
        <v>4329</v>
      </c>
      <c r="V624">
        <v>16</v>
      </c>
      <c r="W624" s="2">
        <v>0</v>
      </c>
    </row>
    <row r="625" spans="1:23" x14ac:dyDescent="0.25">
      <c r="A625" t="s">
        <v>31</v>
      </c>
      <c r="B625" t="s">
        <v>32</v>
      </c>
      <c r="C625" t="s">
        <v>33</v>
      </c>
      <c r="D625" t="s">
        <v>34</v>
      </c>
      <c r="E625" t="s">
        <v>35</v>
      </c>
      <c r="F625" t="s">
        <v>36</v>
      </c>
      <c r="G625">
        <v>1141685</v>
      </c>
      <c r="H625" t="s">
        <v>76</v>
      </c>
      <c r="I625" t="s">
        <v>95</v>
      </c>
      <c r="J625" t="s">
        <v>99</v>
      </c>
      <c r="K625" t="s">
        <v>109</v>
      </c>
      <c r="L625" s="1">
        <v>46143</v>
      </c>
      <c r="M625" s="1">
        <v>46173</v>
      </c>
      <c r="N625">
        <v>0.98335300000000003</v>
      </c>
      <c r="O625" t="s">
        <v>58</v>
      </c>
      <c r="P625" t="s">
        <v>63</v>
      </c>
      <c r="Q625" t="s">
        <v>3957</v>
      </c>
      <c r="R625" t="s">
        <v>3901</v>
      </c>
      <c r="S625" t="s">
        <v>67</v>
      </c>
      <c r="T625" t="s">
        <v>4330</v>
      </c>
      <c r="U625" t="s">
        <v>4331</v>
      </c>
      <c r="V625">
        <v>16</v>
      </c>
      <c r="W625" s="2">
        <v>0</v>
      </c>
    </row>
    <row r="626" spans="1:23" x14ac:dyDescent="0.25">
      <c r="A626" t="s">
        <v>31</v>
      </c>
      <c r="B626" t="s">
        <v>32</v>
      </c>
      <c r="C626" t="s">
        <v>33</v>
      </c>
      <c r="D626" t="s">
        <v>34</v>
      </c>
      <c r="E626" t="s">
        <v>35</v>
      </c>
      <c r="F626" t="s">
        <v>36</v>
      </c>
      <c r="G626">
        <v>1141685</v>
      </c>
      <c r="H626" t="s">
        <v>76</v>
      </c>
      <c r="I626" t="s">
        <v>95</v>
      </c>
      <c r="J626" t="s">
        <v>99</v>
      </c>
      <c r="K626" t="s">
        <v>109</v>
      </c>
      <c r="L626" s="1">
        <v>46143</v>
      </c>
      <c r="M626" s="1">
        <v>46173</v>
      </c>
      <c r="N626">
        <v>0.20000399999999999</v>
      </c>
      <c r="O626" t="s">
        <v>58</v>
      </c>
      <c r="P626" t="s">
        <v>63</v>
      </c>
      <c r="Q626" t="s">
        <v>3953</v>
      </c>
      <c r="R626" t="s">
        <v>3909</v>
      </c>
      <c r="S626" t="s">
        <v>67</v>
      </c>
      <c r="T626" t="s">
        <v>4119</v>
      </c>
      <c r="U626" t="s">
        <v>4120</v>
      </c>
      <c r="V626">
        <v>16</v>
      </c>
      <c r="W626" s="2">
        <v>0</v>
      </c>
    </row>
    <row r="627" spans="1:23" x14ac:dyDescent="0.25">
      <c r="A627" t="s">
        <v>31</v>
      </c>
      <c r="B627" t="s">
        <v>32</v>
      </c>
      <c r="C627" t="s">
        <v>33</v>
      </c>
      <c r="D627" t="s">
        <v>34</v>
      </c>
      <c r="E627" t="s">
        <v>35</v>
      </c>
      <c r="F627" t="s">
        <v>36</v>
      </c>
      <c r="G627">
        <v>1141685</v>
      </c>
      <c r="H627" t="s">
        <v>76</v>
      </c>
      <c r="I627" t="s">
        <v>95</v>
      </c>
      <c r="J627" t="s">
        <v>99</v>
      </c>
      <c r="K627" t="s">
        <v>109</v>
      </c>
      <c r="L627" s="1">
        <v>46143</v>
      </c>
      <c r="M627" s="1">
        <v>46173</v>
      </c>
      <c r="N627">
        <v>1.966704</v>
      </c>
      <c r="O627" t="s">
        <v>58</v>
      </c>
      <c r="P627" t="s">
        <v>63</v>
      </c>
      <c r="Q627" t="s">
        <v>3953</v>
      </c>
      <c r="R627" t="s">
        <v>3909</v>
      </c>
      <c r="S627" t="s">
        <v>67</v>
      </c>
      <c r="T627" t="s">
        <v>3966</v>
      </c>
      <c r="U627" t="s">
        <v>3967</v>
      </c>
      <c r="V627">
        <v>16</v>
      </c>
      <c r="W627" s="2">
        <v>0</v>
      </c>
    </row>
    <row r="628" spans="1:23" x14ac:dyDescent="0.25">
      <c r="A628" t="s">
        <v>31</v>
      </c>
      <c r="B628" t="s">
        <v>32</v>
      </c>
      <c r="C628" t="s">
        <v>33</v>
      </c>
      <c r="D628" t="s">
        <v>34</v>
      </c>
      <c r="E628" t="s">
        <v>35</v>
      </c>
      <c r="F628" t="s">
        <v>36</v>
      </c>
      <c r="G628">
        <v>1141685</v>
      </c>
      <c r="H628" t="s">
        <v>76</v>
      </c>
      <c r="I628" t="s">
        <v>95</v>
      </c>
      <c r="J628" t="s">
        <v>99</v>
      </c>
      <c r="K628" t="s">
        <v>109</v>
      </c>
      <c r="L628" s="1">
        <v>46143</v>
      </c>
      <c r="M628" s="1">
        <v>46173</v>
      </c>
      <c r="N628">
        <v>23.449770000000001</v>
      </c>
      <c r="O628" t="s">
        <v>58</v>
      </c>
      <c r="P628" t="s">
        <v>63</v>
      </c>
      <c r="Q628" t="s">
        <v>3953</v>
      </c>
      <c r="R628" t="s">
        <v>3909</v>
      </c>
      <c r="S628" t="s">
        <v>67</v>
      </c>
      <c r="T628" t="s">
        <v>3966</v>
      </c>
      <c r="U628" t="s">
        <v>3967</v>
      </c>
      <c r="V628">
        <v>16</v>
      </c>
      <c r="W628" s="2">
        <v>0</v>
      </c>
    </row>
    <row r="629" spans="1:23" x14ac:dyDescent="0.25">
      <c r="A629" t="s">
        <v>31</v>
      </c>
      <c r="B629" t="s">
        <v>32</v>
      </c>
      <c r="C629" t="s">
        <v>33</v>
      </c>
      <c r="D629" t="s">
        <v>34</v>
      </c>
      <c r="E629" t="s">
        <v>35</v>
      </c>
      <c r="F629" t="s">
        <v>36</v>
      </c>
      <c r="G629">
        <v>1141685</v>
      </c>
      <c r="H629" t="s">
        <v>80</v>
      </c>
      <c r="I629" t="s">
        <v>96</v>
      </c>
      <c r="J629" t="s">
        <v>80</v>
      </c>
      <c r="K629" t="s">
        <v>115</v>
      </c>
      <c r="L629" s="1">
        <v>46143</v>
      </c>
      <c r="M629" s="1">
        <v>46173</v>
      </c>
      <c r="N629">
        <v>1.8962155099999999E-2</v>
      </c>
      <c r="O629" t="s">
        <v>56</v>
      </c>
      <c r="P629" t="s">
        <v>63</v>
      </c>
      <c r="Q629" t="s">
        <v>3908</v>
      </c>
      <c r="R629" t="s">
        <v>4058</v>
      </c>
      <c r="S629" t="s">
        <v>67</v>
      </c>
      <c r="T629" t="s">
        <v>4332</v>
      </c>
      <c r="U629" t="s">
        <v>4333</v>
      </c>
      <c r="V629">
        <v>16</v>
      </c>
      <c r="W629" s="2">
        <v>3.3111610679000001</v>
      </c>
    </row>
    <row r="630" spans="1:23" x14ac:dyDescent="0.25">
      <c r="A630" t="s">
        <v>31</v>
      </c>
      <c r="B630" t="s">
        <v>32</v>
      </c>
      <c r="C630" t="s">
        <v>33</v>
      </c>
      <c r="D630" t="s">
        <v>34</v>
      </c>
      <c r="E630" t="s">
        <v>35</v>
      </c>
      <c r="F630" t="s">
        <v>36</v>
      </c>
      <c r="G630">
        <v>1141685</v>
      </c>
      <c r="H630" t="s">
        <v>80</v>
      </c>
      <c r="I630" t="s">
        <v>96</v>
      </c>
      <c r="J630" t="s">
        <v>80</v>
      </c>
      <c r="K630" t="s">
        <v>115</v>
      </c>
      <c r="L630" s="1">
        <v>46143</v>
      </c>
      <c r="M630" s="1">
        <v>46173</v>
      </c>
      <c r="N630">
        <v>1.9485137400000001E-2</v>
      </c>
      <c r="O630" t="s">
        <v>56</v>
      </c>
      <c r="P630" t="s">
        <v>63</v>
      </c>
      <c r="Q630" t="s">
        <v>3908</v>
      </c>
      <c r="R630" t="s">
        <v>3909</v>
      </c>
      <c r="S630" t="s">
        <v>67</v>
      </c>
      <c r="T630" t="s">
        <v>4334</v>
      </c>
      <c r="U630" t="s">
        <v>4335</v>
      </c>
      <c r="V630">
        <v>16</v>
      </c>
      <c r="W630" s="2">
        <v>3.4014518257000002</v>
      </c>
    </row>
    <row r="631" spans="1:23" x14ac:dyDescent="0.25">
      <c r="A631" t="s">
        <v>31</v>
      </c>
      <c r="B631" t="s">
        <v>32</v>
      </c>
      <c r="C631" t="s">
        <v>33</v>
      </c>
      <c r="D631" t="s">
        <v>34</v>
      </c>
      <c r="E631" t="s">
        <v>35</v>
      </c>
      <c r="F631" t="s">
        <v>36</v>
      </c>
      <c r="G631">
        <v>1141685</v>
      </c>
      <c r="H631" t="s">
        <v>3912</v>
      </c>
      <c r="I631" t="s">
        <v>3913</v>
      </c>
      <c r="J631" t="s">
        <v>3914</v>
      </c>
      <c r="K631" t="s">
        <v>3915</v>
      </c>
      <c r="L631" s="1">
        <v>46143</v>
      </c>
      <c r="M631" s="1">
        <v>46173</v>
      </c>
      <c r="N631">
        <v>5.5789166699999997E-2</v>
      </c>
      <c r="O631" t="s">
        <v>58</v>
      </c>
      <c r="P631" t="s">
        <v>63</v>
      </c>
      <c r="Q631" t="s">
        <v>3916</v>
      </c>
      <c r="R631" t="s">
        <v>3917</v>
      </c>
      <c r="S631" t="s">
        <v>67</v>
      </c>
      <c r="T631" t="s">
        <v>4336</v>
      </c>
      <c r="U631" t="s">
        <v>4337</v>
      </c>
      <c r="V631">
        <v>15</v>
      </c>
      <c r="W631" s="2">
        <v>486.65103273329999</v>
      </c>
    </row>
    <row r="632" spans="1:23" x14ac:dyDescent="0.25">
      <c r="A632" t="s">
        <v>31</v>
      </c>
      <c r="B632" t="s">
        <v>32</v>
      </c>
      <c r="C632" t="s">
        <v>33</v>
      </c>
      <c r="D632" t="s">
        <v>34</v>
      </c>
      <c r="E632" t="s">
        <v>35</v>
      </c>
      <c r="F632" t="s">
        <v>36</v>
      </c>
      <c r="G632">
        <v>1141685</v>
      </c>
      <c r="H632" t="s">
        <v>3912</v>
      </c>
      <c r="I632" t="s">
        <v>3913</v>
      </c>
      <c r="J632" t="s">
        <v>3914</v>
      </c>
      <c r="K632" t="s">
        <v>3915</v>
      </c>
      <c r="L632" s="1">
        <v>46143</v>
      </c>
      <c r="M632" s="1">
        <v>46173</v>
      </c>
      <c r="N632">
        <v>5.6591250000000003E-2</v>
      </c>
      <c r="O632" t="s">
        <v>58</v>
      </c>
      <c r="P632" t="s">
        <v>63</v>
      </c>
      <c r="Q632" t="s">
        <v>3916</v>
      </c>
      <c r="R632" t="s">
        <v>3917</v>
      </c>
      <c r="S632" t="s">
        <v>67</v>
      </c>
      <c r="T632" t="s">
        <v>4338</v>
      </c>
      <c r="U632" t="s">
        <v>4339</v>
      </c>
      <c r="V632">
        <v>15</v>
      </c>
      <c r="W632" s="2">
        <v>493.64801689979998</v>
      </c>
    </row>
    <row r="633" spans="1:23" x14ac:dyDescent="0.25">
      <c r="A633" t="s">
        <v>31</v>
      </c>
      <c r="B633" t="s">
        <v>32</v>
      </c>
      <c r="C633" t="s">
        <v>33</v>
      </c>
      <c r="D633" t="s">
        <v>34</v>
      </c>
      <c r="E633" t="s">
        <v>35</v>
      </c>
      <c r="F633" t="s">
        <v>36</v>
      </c>
      <c r="G633">
        <v>1141685</v>
      </c>
      <c r="H633" t="s">
        <v>3912</v>
      </c>
      <c r="I633" t="s">
        <v>3913</v>
      </c>
      <c r="J633" t="s">
        <v>3914</v>
      </c>
      <c r="K633" t="s">
        <v>3915</v>
      </c>
      <c r="L633" s="1">
        <v>46143</v>
      </c>
      <c r="M633" s="1">
        <v>46173</v>
      </c>
      <c r="N633">
        <v>0.10260315</v>
      </c>
      <c r="O633" t="s">
        <v>58</v>
      </c>
      <c r="P633" t="s">
        <v>63</v>
      </c>
      <c r="Q633" t="s">
        <v>3916</v>
      </c>
      <c r="R633" t="s">
        <v>3917</v>
      </c>
      <c r="S633" t="s">
        <v>67</v>
      </c>
      <c r="T633" t="s">
        <v>4340</v>
      </c>
      <c r="U633" t="s">
        <v>4341</v>
      </c>
      <c r="V633">
        <v>15</v>
      </c>
      <c r="W633" s="2">
        <v>895.00640415600003</v>
      </c>
    </row>
    <row r="634" spans="1:23" x14ac:dyDescent="0.25">
      <c r="A634" t="s">
        <v>31</v>
      </c>
      <c r="B634" t="s">
        <v>32</v>
      </c>
      <c r="C634" t="s">
        <v>33</v>
      </c>
      <c r="D634" t="s">
        <v>34</v>
      </c>
      <c r="E634" t="s">
        <v>35</v>
      </c>
      <c r="F634" t="s">
        <v>36</v>
      </c>
      <c r="G634">
        <v>1141685</v>
      </c>
      <c r="H634" t="s">
        <v>3912</v>
      </c>
      <c r="I634" t="s">
        <v>3913</v>
      </c>
      <c r="J634" t="s">
        <v>3914</v>
      </c>
      <c r="K634" t="s">
        <v>3915</v>
      </c>
      <c r="L634" s="1">
        <v>46143</v>
      </c>
      <c r="M634" s="1">
        <v>46173</v>
      </c>
      <c r="N634">
        <v>5.7931875000000001E-2</v>
      </c>
      <c r="O634" t="s">
        <v>58</v>
      </c>
      <c r="P634" t="s">
        <v>63</v>
      </c>
      <c r="Q634" t="s">
        <v>3916</v>
      </c>
      <c r="R634" t="s">
        <v>3917</v>
      </c>
      <c r="S634" t="s">
        <v>67</v>
      </c>
      <c r="T634" t="s">
        <v>4342</v>
      </c>
      <c r="U634" t="s">
        <v>4343</v>
      </c>
      <c r="V634">
        <v>15</v>
      </c>
      <c r="W634" s="2">
        <v>505.33897615000001</v>
      </c>
    </row>
    <row r="635" spans="1:23" x14ac:dyDescent="0.25">
      <c r="A635" t="s">
        <v>31</v>
      </c>
      <c r="B635" t="s">
        <v>32</v>
      </c>
      <c r="C635" t="s">
        <v>33</v>
      </c>
      <c r="D635" t="s">
        <v>34</v>
      </c>
      <c r="E635" t="s">
        <v>35</v>
      </c>
      <c r="F635" t="s">
        <v>36</v>
      </c>
      <c r="G635">
        <v>1141685</v>
      </c>
      <c r="H635" t="s">
        <v>3912</v>
      </c>
      <c r="I635" t="s">
        <v>3913</v>
      </c>
      <c r="J635" t="s">
        <v>3914</v>
      </c>
      <c r="K635" t="s">
        <v>3915</v>
      </c>
      <c r="L635" s="1">
        <v>46143</v>
      </c>
      <c r="M635" s="1">
        <v>46173</v>
      </c>
      <c r="N635">
        <v>0.18787569130000001</v>
      </c>
      <c r="O635" t="s">
        <v>58</v>
      </c>
      <c r="P635" t="s">
        <v>63</v>
      </c>
      <c r="Q635" t="s">
        <v>3916</v>
      </c>
      <c r="R635" t="s">
        <v>3917</v>
      </c>
      <c r="S635" t="s">
        <v>67</v>
      </c>
      <c r="T635" t="s">
        <v>4344</v>
      </c>
      <c r="U635" t="s">
        <v>4345</v>
      </c>
      <c r="V635">
        <v>12</v>
      </c>
      <c r="W635" s="2">
        <v>1638.8388962009001</v>
      </c>
    </row>
    <row r="636" spans="1:23" x14ac:dyDescent="0.25">
      <c r="A636" t="s">
        <v>31</v>
      </c>
      <c r="B636" t="s">
        <v>32</v>
      </c>
      <c r="C636" t="s">
        <v>33</v>
      </c>
      <c r="D636" t="s">
        <v>34</v>
      </c>
      <c r="E636" t="s">
        <v>35</v>
      </c>
      <c r="F636" t="s">
        <v>36</v>
      </c>
      <c r="G636">
        <v>1141685</v>
      </c>
      <c r="H636" t="s">
        <v>3912</v>
      </c>
      <c r="I636" t="s">
        <v>3913</v>
      </c>
      <c r="J636" t="s">
        <v>3914</v>
      </c>
      <c r="K636" t="s">
        <v>3915</v>
      </c>
      <c r="L636" s="1">
        <v>46143</v>
      </c>
      <c r="M636" s="1">
        <v>46173</v>
      </c>
      <c r="N636">
        <v>9.6041925400000006E-2</v>
      </c>
      <c r="O636" t="s">
        <v>58</v>
      </c>
      <c r="P636" t="s">
        <v>63</v>
      </c>
      <c r="Q636" t="s">
        <v>3916</v>
      </c>
      <c r="R636" t="s">
        <v>3917</v>
      </c>
      <c r="S636" t="s">
        <v>67</v>
      </c>
      <c r="T636" t="s">
        <v>4346</v>
      </c>
      <c r="U636" t="s">
        <v>4347</v>
      </c>
      <c r="V636">
        <v>12</v>
      </c>
      <c r="W636" s="2">
        <v>837.7708695604</v>
      </c>
    </row>
    <row r="637" spans="1:23" x14ac:dyDescent="0.25">
      <c r="A637" t="s">
        <v>31</v>
      </c>
      <c r="B637" t="s">
        <v>32</v>
      </c>
      <c r="C637" t="s">
        <v>33</v>
      </c>
      <c r="D637" t="s">
        <v>34</v>
      </c>
      <c r="E637" t="s">
        <v>35</v>
      </c>
      <c r="F637" t="s">
        <v>36</v>
      </c>
      <c r="G637">
        <v>1141685</v>
      </c>
      <c r="H637" t="s">
        <v>3912</v>
      </c>
      <c r="I637" t="s">
        <v>3913</v>
      </c>
      <c r="J637" t="s">
        <v>3914</v>
      </c>
      <c r="K637" t="s">
        <v>3915</v>
      </c>
      <c r="L637" s="1">
        <v>46143</v>
      </c>
      <c r="M637" s="1">
        <v>46173</v>
      </c>
      <c r="N637">
        <v>0.23191602780000001</v>
      </c>
      <c r="O637" t="s">
        <v>58</v>
      </c>
      <c r="P637" t="s">
        <v>63</v>
      </c>
      <c r="Q637" t="s">
        <v>3916</v>
      </c>
      <c r="R637" t="s">
        <v>3917</v>
      </c>
      <c r="S637" t="s">
        <v>67</v>
      </c>
      <c r="T637" t="s">
        <v>4348</v>
      </c>
      <c r="U637" t="s">
        <v>4349</v>
      </c>
      <c r="V637">
        <v>12</v>
      </c>
      <c r="W637" s="2">
        <v>2023.0030890687999</v>
      </c>
    </row>
    <row r="638" spans="1:23" x14ac:dyDescent="0.25">
      <c r="A638" t="s">
        <v>31</v>
      </c>
      <c r="B638" t="s">
        <v>32</v>
      </c>
      <c r="C638" t="s">
        <v>33</v>
      </c>
      <c r="D638" t="s">
        <v>34</v>
      </c>
      <c r="E638" t="s">
        <v>35</v>
      </c>
      <c r="F638" t="s">
        <v>36</v>
      </c>
      <c r="G638">
        <v>1141685</v>
      </c>
      <c r="H638" t="s">
        <v>3912</v>
      </c>
      <c r="I638" t="s">
        <v>3913</v>
      </c>
      <c r="J638" t="s">
        <v>3914</v>
      </c>
      <c r="K638" t="s">
        <v>3915</v>
      </c>
      <c r="L638" s="1">
        <v>46143</v>
      </c>
      <c r="M638" s="1">
        <v>46173</v>
      </c>
      <c r="N638">
        <v>0.1090008472</v>
      </c>
      <c r="O638" t="s">
        <v>58</v>
      </c>
      <c r="P638" t="s">
        <v>63</v>
      </c>
      <c r="Q638" t="s">
        <v>3916</v>
      </c>
      <c r="R638" t="s">
        <v>3917</v>
      </c>
      <c r="S638" t="s">
        <v>67</v>
      </c>
      <c r="T638" t="s">
        <v>4350</v>
      </c>
      <c r="U638" t="s">
        <v>4351</v>
      </c>
      <c r="V638">
        <v>12</v>
      </c>
      <c r="W638" s="2">
        <v>950.81666348099998</v>
      </c>
    </row>
    <row r="639" spans="1:23" x14ac:dyDescent="0.25">
      <c r="A639" t="s">
        <v>31</v>
      </c>
      <c r="B639" t="s">
        <v>32</v>
      </c>
      <c r="C639" t="s">
        <v>33</v>
      </c>
      <c r="D639" t="s">
        <v>34</v>
      </c>
      <c r="E639" t="s">
        <v>35</v>
      </c>
      <c r="F639" t="s">
        <v>36</v>
      </c>
      <c r="G639">
        <v>1141685</v>
      </c>
      <c r="H639" t="s">
        <v>3912</v>
      </c>
      <c r="I639" t="s">
        <v>3913</v>
      </c>
      <c r="J639" t="s">
        <v>3914</v>
      </c>
      <c r="K639" t="s">
        <v>3915</v>
      </c>
      <c r="L639" s="1">
        <v>46143</v>
      </c>
      <c r="M639" s="1">
        <v>46173</v>
      </c>
      <c r="N639">
        <v>0.2276962639</v>
      </c>
      <c r="O639" t="s">
        <v>58</v>
      </c>
      <c r="P639" t="s">
        <v>63</v>
      </c>
      <c r="Q639" t="s">
        <v>3916</v>
      </c>
      <c r="R639" t="s">
        <v>3917</v>
      </c>
      <c r="S639" t="s">
        <v>67</v>
      </c>
      <c r="T639" t="s">
        <v>4352</v>
      </c>
      <c r="U639" t="s">
        <v>4353</v>
      </c>
      <c r="V639">
        <v>12</v>
      </c>
      <c r="W639" s="2">
        <v>1986.1911687142999</v>
      </c>
    </row>
    <row r="640" spans="1:23" x14ac:dyDescent="0.25">
      <c r="A640" t="s">
        <v>31</v>
      </c>
      <c r="B640" t="s">
        <v>32</v>
      </c>
      <c r="C640" t="s">
        <v>33</v>
      </c>
      <c r="D640" t="s">
        <v>34</v>
      </c>
      <c r="E640" t="s">
        <v>35</v>
      </c>
      <c r="F640" t="s">
        <v>36</v>
      </c>
      <c r="G640">
        <v>1141685</v>
      </c>
      <c r="H640" t="s">
        <v>3912</v>
      </c>
      <c r="I640" t="s">
        <v>3913</v>
      </c>
      <c r="J640" t="s">
        <v>3914</v>
      </c>
      <c r="K640" t="s">
        <v>3915</v>
      </c>
      <c r="L640" s="1">
        <v>46143</v>
      </c>
      <c r="M640" s="1">
        <v>46173</v>
      </c>
      <c r="N640">
        <v>0.24417739669999999</v>
      </c>
      <c r="O640" t="s">
        <v>58</v>
      </c>
      <c r="P640" t="s">
        <v>63</v>
      </c>
      <c r="Q640" t="s">
        <v>3916</v>
      </c>
      <c r="R640" t="s">
        <v>3917</v>
      </c>
      <c r="S640" t="s">
        <v>67</v>
      </c>
      <c r="T640" t="s">
        <v>4354</v>
      </c>
      <c r="U640" t="s">
        <v>4355</v>
      </c>
      <c r="V640">
        <v>12</v>
      </c>
      <c r="W640" s="2">
        <v>2129.9642993885</v>
      </c>
    </row>
    <row r="641" spans="1:23" x14ac:dyDescent="0.25">
      <c r="A641" t="s">
        <v>31</v>
      </c>
      <c r="B641" t="s">
        <v>32</v>
      </c>
      <c r="C641" t="s">
        <v>33</v>
      </c>
      <c r="D641" t="s">
        <v>34</v>
      </c>
      <c r="E641" t="s">
        <v>35</v>
      </c>
      <c r="F641" t="s">
        <v>36</v>
      </c>
      <c r="G641">
        <v>1141685</v>
      </c>
      <c r="H641" t="s">
        <v>3912</v>
      </c>
      <c r="I641" t="s">
        <v>3913</v>
      </c>
      <c r="J641" t="s">
        <v>3914</v>
      </c>
      <c r="K641" t="s">
        <v>3915</v>
      </c>
      <c r="L641" s="1">
        <v>46143</v>
      </c>
      <c r="M641" s="1">
        <v>46173</v>
      </c>
      <c r="N641">
        <v>0.20577828919999999</v>
      </c>
      <c r="O641" t="s">
        <v>58</v>
      </c>
      <c r="P641" t="s">
        <v>63</v>
      </c>
      <c r="Q641" t="s">
        <v>3916</v>
      </c>
      <c r="R641" t="s">
        <v>3917</v>
      </c>
      <c r="S641" t="s">
        <v>67</v>
      </c>
      <c r="T641" t="s">
        <v>4356</v>
      </c>
      <c r="U641" t="s">
        <v>4357</v>
      </c>
      <c r="V641">
        <v>12</v>
      </c>
      <c r="W641" s="2">
        <v>1795.0035344327</v>
      </c>
    </row>
    <row r="642" spans="1:23" x14ac:dyDescent="0.25">
      <c r="A642" t="s">
        <v>31</v>
      </c>
      <c r="B642" t="s">
        <v>32</v>
      </c>
      <c r="C642" t="s">
        <v>33</v>
      </c>
      <c r="D642" t="s">
        <v>34</v>
      </c>
      <c r="E642" t="s">
        <v>35</v>
      </c>
      <c r="F642" t="s">
        <v>36</v>
      </c>
      <c r="G642">
        <v>1141685</v>
      </c>
      <c r="H642" t="s">
        <v>3912</v>
      </c>
      <c r="I642" t="s">
        <v>3913</v>
      </c>
      <c r="J642" t="s">
        <v>3914</v>
      </c>
      <c r="K642" t="s">
        <v>3915</v>
      </c>
      <c r="L642" s="1">
        <v>46143</v>
      </c>
      <c r="M642" s="1">
        <v>46173</v>
      </c>
      <c r="N642">
        <v>6.5561174999999999E-2</v>
      </c>
      <c r="O642" t="s">
        <v>58</v>
      </c>
      <c r="P642" t="s">
        <v>63</v>
      </c>
      <c r="Q642" t="s">
        <v>3916</v>
      </c>
      <c r="R642" t="s">
        <v>3917</v>
      </c>
      <c r="S642" t="s">
        <v>67</v>
      </c>
      <c r="T642" t="s">
        <v>4358</v>
      </c>
      <c r="U642" t="s">
        <v>4359</v>
      </c>
      <c r="V642">
        <v>15</v>
      </c>
      <c r="W642" s="2">
        <v>571.893313982</v>
      </c>
    </row>
    <row r="643" spans="1:23" x14ac:dyDescent="0.25">
      <c r="A643" t="s">
        <v>31</v>
      </c>
      <c r="B643" t="s">
        <v>32</v>
      </c>
      <c r="C643" t="s">
        <v>33</v>
      </c>
      <c r="D643" t="s">
        <v>34</v>
      </c>
      <c r="E643" t="s">
        <v>35</v>
      </c>
      <c r="F643" t="s">
        <v>36</v>
      </c>
      <c r="G643">
        <v>1141685</v>
      </c>
      <c r="H643" t="s">
        <v>3912</v>
      </c>
      <c r="I643" t="s">
        <v>3913</v>
      </c>
      <c r="J643" t="s">
        <v>3914</v>
      </c>
      <c r="K643" t="s">
        <v>3915</v>
      </c>
      <c r="L643" s="1">
        <v>46143</v>
      </c>
      <c r="M643" s="1">
        <v>46173</v>
      </c>
      <c r="N643">
        <v>5.3742375000000002E-2</v>
      </c>
      <c r="O643" t="s">
        <v>58</v>
      </c>
      <c r="P643" t="s">
        <v>63</v>
      </c>
      <c r="Q643" t="s">
        <v>3916</v>
      </c>
      <c r="R643" t="s">
        <v>3917</v>
      </c>
      <c r="S643" t="s">
        <v>67</v>
      </c>
      <c r="T643" t="s">
        <v>4360</v>
      </c>
      <c r="U643" t="s">
        <v>4361</v>
      </c>
      <c r="V643">
        <v>15</v>
      </c>
      <c r="W643" s="2">
        <v>468.79936866999998</v>
      </c>
    </row>
    <row r="644" spans="1:23" x14ac:dyDescent="0.25">
      <c r="A644" t="s">
        <v>31</v>
      </c>
      <c r="B644" t="s">
        <v>32</v>
      </c>
      <c r="C644" t="s">
        <v>33</v>
      </c>
      <c r="D644" t="s">
        <v>34</v>
      </c>
      <c r="E644" t="s">
        <v>35</v>
      </c>
      <c r="F644" t="s">
        <v>36</v>
      </c>
      <c r="G644">
        <v>1141685</v>
      </c>
      <c r="H644" t="s">
        <v>3912</v>
      </c>
      <c r="I644" t="s">
        <v>3913</v>
      </c>
      <c r="J644" t="s">
        <v>3914</v>
      </c>
      <c r="K644" t="s">
        <v>3915</v>
      </c>
      <c r="L644" s="1">
        <v>46143</v>
      </c>
      <c r="M644" s="1">
        <v>46173</v>
      </c>
      <c r="N644">
        <v>0.51061927579999999</v>
      </c>
      <c r="O644" t="s">
        <v>58</v>
      </c>
      <c r="P644" t="s">
        <v>63</v>
      </c>
      <c r="Q644" t="s">
        <v>3916</v>
      </c>
      <c r="R644" t="s">
        <v>3917</v>
      </c>
      <c r="S644" t="s">
        <v>67</v>
      </c>
      <c r="T644" t="s">
        <v>4362</v>
      </c>
      <c r="U644" t="s">
        <v>4363</v>
      </c>
      <c r="V644">
        <v>12</v>
      </c>
      <c r="W644" s="2">
        <v>4454.1361099227997</v>
      </c>
    </row>
    <row r="645" spans="1:23" x14ac:dyDescent="0.25">
      <c r="A645" t="s">
        <v>31</v>
      </c>
      <c r="B645" t="s">
        <v>32</v>
      </c>
      <c r="C645" t="s">
        <v>33</v>
      </c>
      <c r="D645" t="s">
        <v>34</v>
      </c>
      <c r="E645" t="s">
        <v>35</v>
      </c>
      <c r="F645" t="s">
        <v>36</v>
      </c>
      <c r="G645">
        <v>1141685</v>
      </c>
      <c r="H645" t="s">
        <v>3912</v>
      </c>
      <c r="I645" t="s">
        <v>3913</v>
      </c>
      <c r="J645" t="s">
        <v>3914</v>
      </c>
      <c r="K645" t="s">
        <v>3915</v>
      </c>
      <c r="L645" s="1">
        <v>46143</v>
      </c>
      <c r="M645" s="1">
        <v>46173</v>
      </c>
      <c r="N645">
        <v>0.25920150749999998</v>
      </c>
      <c r="O645" t="s">
        <v>58</v>
      </c>
      <c r="P645" t="s">
        <v>63</v>
      </c>
      <c r="Q645" t="s">
        <v>3916</v>
      </c>
      <c r="R645" t="s">
        <v>3917</v>
      </c>
      <c r="S645" t="s">
        <v>67</v>
      </c>
      <c r="T645" t="s">
        <v>4364</v>
      </c>
      <c r="U645" t="s">
        <v>4365</v>
      </c>
      <c r="V645">
        <v>12</v>
      </c>
      <c r="W645" s="2">
        <v>2261.0129799318001</v>
      </c>
    </row>
    <row r="646" spans="1:23" x14ac:dyDescent="0.25">
      <c r="A646" t="s">
        <v>31</v>
      </c>
      <c r="B646" t="s">
        <v>32</v>
      </c>
      <c r="C646" t="s">
        <v>33</v>
      </c>
      <c r="D646" t="s">
        <v>34</v>
      </c>
      <c r="E646" t="s">
        <v>35</v>
      </c>
      <c r="F646" t="s">
        <v>36</v>
      </c>
      <c r="G646">
        <v>1141685</v>
      </c>
      <c r="H646" t="s">
        <v>3912</v>
      </c>
      <c r="I646" t="s">
        <v>3913</v>
      </c>
      <c r="J646" t="s">
        <v>3914</v>
      </c>
      <c r="K646" t="s">
        <v>3915</v>
      </c>
      <c r="L646" s="1">
        <v>46143</v>
      </c>
      <c r="M646" s="1">
        <v>46173</v>
      </c>
      <c r="N646">
        <v>0.1056962671</v>
      </c>
      <c r="O646" t="s">
        <v>58</v>
      </c>
      <c r="P646" t="s">
        <v>63</v>
      </c>
      <c r="Q646" t="s">
        <v>3916</v>
      </c>
      <c r="R646" t="s">
        <v>3917</v>
      </c>
      <c r="S646" t="s">
        <v>67</v>
      </c>
      <c r="T646" t="s">
        <v>4366</v>
      </c>
      <c r="U646" t="s">
        <v>4367</v>
      </c>
      <c r="V646">
        <v>12</v>
      </c>
      <c r="W646" s="2">
        <v>921.98991323569999</v>
      </c>
    </row>
    <row r="647" spans="1:23" x14ac:dyDescent="0.25">
      <c r="A647" t="s">
        <v>31</v>
      </c>
      <c r="B647" t="s">
        <v>32</v>
      </c>
      <c r="C647" t="s">
        <v>33</v>
      </c>
      <c r="D647" t="s">
        <v>34</v>
      </c>
      <c r="E647" t="s">
        <v>35</v>
      </c>
      <c r="F647" t="s">
        <v>36</v>
      </c>
      <c r="G647">
        <v>1141685</v>
      </c>
      <c r="H647" t="s">
        <v>3912</v>
      </c>
      <c r="I647" t="s">
        <v>3913</v>
      </c>
      <c r="J647" t="s">
        <v>3914</v>
      </c>
      <c r="K647" t="s">
        <v>3915</v>
      </c>
      <c r="L647" s="1">
        <v>46143</v>
      </c>
      <c r="M647" s="1">
        <v>46173</v>
      </c>
      <c r="N647">
        <v>0.24352069439999999</v>
      </c>
      <c r="O647" t="s">
        <v>58</v>
      </c>
      <c r="P647" t="s">
        <v>63</v>
      </c>
      <c r="Q647" t="s">
        <v>3916</v>
      </c>
      <c r="R647" t="s">
        <v>3917</v>
      </c>
      <c r="S647" t="s">
        <v>67</v>
      </c>
      <c r="T647" t="s">
        <v>4368</v>
      </c>
      <c r="U647" t="s">
        <v>4369</v>
      </c>
      <c r="V647">
        <v>12</v>
      </c>
      <c r="W647" s="2">
        <v>2124.2332955221</v>
      </c>
    </row>
    <row r="648" spans="1:23" x14ac:dyDescent="0.25">
      <c r="A648" t="s">
        <v>31</v>
      </c>
      <c r="B648" t="s">
        <v>32</v>
      </c>
      <c r="C648" t="s">
        <v>33</v>
      </c>
      <c r="D648" t="s">
        <v>34</v>
      </c>
      <c r="E648" t="s">
        <v>35</v>
      </c>
      <c r="F648" t="s">
        <v>36</v>
      </c>
      <c r="G648">
        <v>1141685</v>
      </c>
      <c r="H648" t="s">
        <v>3912</v>
      </c>
      <c r="I648" t="s">
        <v>3913</v>
      </c>
      <c r="J648" t="s">
        <v>3914</v>
      </c>
      <c r="K648" t="s">
        <v>3915</v>
      </c>
      <c r="L648" s="1">
        <v>46143</v>
      </c>
      <c r="M648" s="1">
        <v>46173</v>
      </c>
      <c r="N648">
        <v>0.1007627292</v>
      </c>
      <c r="O648" t="s">
        <v>58</v>
      </c>
      <c r="P648" t="s">
        <v>63</v>
      </c>
      <c r="Q648" t="s">
        <v>3916</v>
      </c>
      <c r="R648" t="s">
        <v>3917</v>
      </c>
      <c r="S648" t="s">
        <v>67</v>
      </c>
      <c r="T648" t="s">
        <v>4370</v>
      </c>
      <c r="U648" t="s">
        <v>4371</v>
      </c>
      <c r="V648">
        <v>12</v>
      </c>
      <c r="W648" s="2">
        <v>878.94889213830004</v>
      </c>
    </row>
    <row r="649" spans="1:23" x14ac:dyDescent="0.25">
      <c r="A649" t="s">
        <v>31</v>
      </c>
      <c r="B649" t="s">
        <v>32</v>
      </c>
      <c r="C649" t="s">
        <v>33</v>
      </c>
      <c r="D649" t="s">
        <v>34</v>
      </c>
      <c r="E649" t="s">
        <v>35</v>
      </c>
      <c r="F649" t="s">
        <v>36</v>
      </c>
      <c r="G649">
        <v>1141685</v>
      </c>
      <c r="H649" t="s">
        <v>3912</v>
      </c>
      <c r="I649" t="s">
        <v>3913</v>
      </c>
      <c r="J649" t="s">
        <v>3914</v>
      </c>
      <c r="K649" t="s">
        <v>3915</v>
      </c>
      <c r="L649" s="1">
        <v>46143</v>
      </c>
      <c r="M649" s="1">
        <v>46173</v>
      </c>
      <c r="N649">
        <v>0.26596744960000002</v>
      </c>
      <c r="O649" t="s">
        <v>58</v>
      </c>
      <c r="P649" t="s">
        <v>63</v>
      </c>
      <c r="Q649" t="s">
        <v>3916</v>
      </c>
      <c r="R649" t="s">
        <v>3917</v>
      </c>
      <c r="S649" t="s">
        <v>67</v>
      </c>
      <c r="T649" t="s">
        <v>4372</v>
      </c>
      <c r="U649" t="s">
        <v>4373</v>
      </c>
      <c r="V649">
        <v>12</v>
      </c>
      <c r="W649" s="2">
        <v>2320.0299751893999</v>
      </c>
    </row>
    <row r="650" spans="1:23" x14ac:dyDescent="0.25">
      <c r="A650" t="s">
        <v>31</v>
      </c>
      <c r="B650" t="s">
        <v>32</v>
      </c>
      <c r="C650" t="s">
        <v>33</v>
      </c>
      <c r="D650" t="s">
        <v>34</v>
      </c>
      <c r="E650" t="s">
        <v>35</v>
      </c>
      <c r="F650" t="s">
        <v>36</v>
      </c>
      <c r="G650">
        <v>1141685</v>
      </c>
      <c r="H650" t="s">
        <v>3912</v>
      </c>
      <c r="I650" t="s">
        <v>3913</v>
      </c>
      <c r="J650" t="s">
        <v>3914</v>
      </c>
      <c r="K650" t="s">
        <v>3915</v>
      </c>
      <c r="L650" s="1">
        <v>46143</v>
      </c>
      <c r="M650" s="1">
        <v>46173</v>
      </c>
      <c r="N650">
        <v>0.222541605</v>
      </c>
      <c r="O650" t="s">
        <v>58</v>
      </c>
      <c r="P650" t="s">
        <v>63</v>
      </c>
      <c r="Q650" t="s">
        <v>3916</v>
      </c>
      <c r="R650" t="s">
        <v>3917</v>
      </c>
      <c r="S650" t="s">
        <v>67</v>
      </c>
      <c r="T650" t="s">
        <v>4374</v>
      </c>
      <c r="U650" t="s">
        <v>4375</v>
      </c>
      <c r="V650">
        <v>12</v>
      </c>
      <c r="W650" s="2">
        <v>1941.2327699652001</v>
      </c>
    </row>
    <row r="651" spans="1:23" x14ac:dyDescent="0.25">
      <c r="A651" t="s">
        <v>31</v>
      </c>
      <c r="B651" t="s">
        <v>32</v>
      </c>
      <c r="C651" t="s">
        <v>33</v>
      </c>
      <c r="D651" t="s">
        <v>34</v>
      </c>
      <c r="E651" t="s">
        <v>35</v>
      </c>
      <c r="F651" t="s">
        <v>36</v>
      </c>
      <c r="G651">
        <v>1141685</v>
      </c>
      <c r="H651" t="s">
        <v>3912</v>
      </c>
      <c r="I651" t="s">
        <v>3913</v>
      </c>
      <c r="J651" t="s">
        <v>3914</v>
      </c>
      <c r="K651" t="s">
        <v>3915</v>
      </c>
      <c r="L651" s="1">
        <v>46143</v>
      </c>
      <c r="M651" s="1">
        <v>46173</v>
      </c>
      <c r="N651">
        <v>0.25406411330000001</v>
      </c>
      <c r="O651" t="s">
        <v>58</v>
      </c>
      <c r="P651" t="s">
        <v>63</v>
      </c>
      <c r="Q651" t="s">
        <v>3916</v>
      </c>
      <c r="R651" t="s">
        <v>3917</v>
      </c>
      <c r="S651" t="s">
        <v>67</v>
      </c>
      <c r="T651" t="s">
        <v>4376</v>
      </c>
      <c r="U651" t="s">
        <v>4377</v>
      </c>
      <c r="V651">
        <v>12</v>
      </c>
      <c r="W651" s="2">
        <v>2216.1971093337002</v>
      </c>
    </row>
    <row r="652" spans="1:23" x14ac:dyDescent="0.25">
      <c r="A652" t="s">
        <v>31</v>
      </c>
      <c r="B652" t="s">
        <v>32</v>
      </c>
      <c r="C652" t="s">
        <v>33</v>
      </c>
      <c r="D652" t="s">
        <v>34</v>
      </c>
      <c r="E652" t="s">
        <v>35</v>
      </c>
      <c r="F652" t="s">
        <v>36</v>
      </c>
      <c r="G652">
        <v>1141685</v>
      </c>
      <c r="H652" t="s">
        <v>77</v>
      </c>
      <c r="I652" t="s">
        <v>96</v>
      </c>
      <c r="J652" t="s">
        <v>77</v>
      </c>
      <c r="K652" t="s">
        <v>111</v>
      </c>
      <c r="L652" s="1">
        <v>46143</v>
      </c>
      <c r="M652" s="1">
        <v>46173</v>
      </c>
      <c r="N652">
        <v>6.1750000000000002E-7</v>
      </c>
      <c r="O652" t="s">
        <v>56</v>
      </c>
      <c r="P652" t="s">
        <v>63</v>
      </c>
      <c r="Q652" t="s">
        <v>3993</v>
      </c>
      <c r="R652" t="s">
        <v>4378</v>
      </c>
      <c r="S652" t="s">
        <v>67</v>
      </c>
      <c r="T652" t="s">
        <v>4379</v>
      </c>
      <c r="U652" t="s">
        <v>4380</v>
      </c>
      <c r="V652">
        <v>6</v>
      </c>
      <c r="W652" s="2">
        <v>9.4796299999999999E-5</v>
      </c>
    </row>
    <row r="653" spans="1:23" x14ac:dyDescent="0.25">
      <c r="A653" t="s">
        <v>31</v>
      </c>
      <c r="B653" t="s">
        <v>32</v>
      </c>
      <c r="C653" t="s">
        <v>33</v>
      </c>
      <c r="D653" t="s">
        <v>34</v>
      </c>
      <c r="E653" t="s">
        <v>35</v>
      </c>
      <c r="F653" t="s">
        <v>36</v>
      </c>
      <c r="G653">
        <v>1141685</v>
      </c>
      <c r="H653" t="s">
        <v>77</v>
      </c>
      <c r="I653" t="s">
        <v>96</v>
      </c>
      <c r="J653" t="s">
        <v>77</v>
      </c>
      <c r="K653" t="s">
        <v>111</v>
      </c>
      <c r="L653" s="1">
        <v>46143</v>
      </c>
      <c r="M653" s="1">
        <v>46173</v>
      </c>
      <c r="N653">
        <v>5.077987E-3</v>
      </c>
      <c r="O653" t="s">
        <v>56</v>
      </c>
      <c r="P653" t="s">
        <v>63</v>
      </c>
      <c r="Q653" t="s">
        <v>3972</v>
      </c>
      <c r="R653" t="s">
        <v>4381</v>
      </c>
      <c r="S653" t="s">
        <v>67</v>
      </c>
      <c r="T653" t="s">
        <v>4382</v>
      </c>
      <c r="U653" t="s">
        <v>4383</v>
      </c>
      <c r="V653">
        <v>7</v>
      </c>
      <c r="W653" s="2">
        <v>0.88959693480000002</v>
      </c>
    </row>
    <row r="654" spans="1:23" x14ac:dyDescent="0.25">
      <c r="A654" t="s">
        <v>31</v>
      </c>
      <c r="B654" t="s">
        <v>32</v>
      </c>
      <c r="C654" t="s">
        <v>33</v>
      </c>
      <c r="D654" t="s">
        <v>34</v>
      </c>
      <c r="E654" t="s">
        <v>35</v>
      </c>
      <c r="F654" t="s">
        <v>36</v>
      </c>
      <c r="G654">
        <v>1141685</v>
      </c>
      <c r="H654" t="s">
        <v>77</v>
      </c>
      <c r="I654" t="s">
        <v>96</v>
      </c>
      <c r="J654" t="s">
        <v>77</v>
      </c>
      <c r="K654" t="s">
        <v>111</v>
      </c>
      <c r="L654" s="1">
        <v>46143</v>
      </c>
      <c r="M654" s="1">
        <v>46173</v>
      </c>
      <c r="N654">
        <v>0.51656680369999997</v>
      </c>
      <c r="O654" t="s">
        <v>56</v>
      </c>
      <c r="P654" t="s">
        <v>63</v>
      </c>
      <c r="Q654" t="s">
        <v>3993</v>
      </c>
      <c r="R654" t="s">
        <v>4384</v>
      </c>
      <c r="S654" t="s">
        <v>67</v>
      </c>
      <c r="T654" t="s">
        <v>4385</v>
      </c>
      <c r="U654" t="s">
        <v>4386</v>
      </c>
      <c r="V654">
        <v>6</v>
      </c>
      <c r="W654" s="2">
        <v>90.115815219799998</v>
      </c>
    </row>
    <row r="655" spans="1:23" x14ac:dyDescent="0.25">
      <c r="A655" t="s">
        <v>31</v>
      </c>
      <c r="B655" t="s">
        <v>32</v>
      </c>
      <c r="C655" t="s">
        <v>33</v>
      </c>
      <c r="D655" t="s">
        <v>34</v>
      </c>
      <c r="E655" t="s">
        <v>35</v>
      </c>
      <c r="F655" t="s">
        <v>36</v>
      </c>
      <c r="G655">
        <v>1141685</v>
      </c>
      <c r="H655" t="s">
        <v>77</v>
      </c>
      <c r="I655" t="s">
        <v>96</v>
      </c>
      <c r="J655" t="s">
        <v>77</v>
      </c>
      <c r="K655" t="s">
        <v>111</v>
      </c>
      <c r="L655" s="1">
        <v>46143</v>
      </c>
      <c r="M655" s="1">
        <v>46173</v>
      </c>
      <c r="N655">
        <v>1.9519849700000001E-2</v>
      </c>
      <c r="O655" t="s">
        <v>56</v>
      </c>
      <c r="P655" t="s">
        <v>63</v>
      </c>
      <c r="Q655" t="s">
        <v>3972</v>
      </c>
      <c r="R655" t="s">
        <v>4387</v>
      </c>
      <c r="S655" t="s">
        <v>67</v>
      </c>
      <c r="T655" t="s">
        <v>4388</v>
      </c>
      <c r="U655" t="s">
        <v>4389</v>
      </c>
      <c r="V655">
        <v>7</v>
      </c>
      <c r="W655" s="2">
        <v>3.4067810178000002</v>
      </c>
    </row>
    <row r="656" spans="1:23" x14ac:dyDescent="0.25">
      <c r="A656" t="s">
        <v>31</v>
      </c>
      <c r="B656" t="s">
        <v>32</v>
      </c>
      <c r="C656" t="s">
        <v>33</v>
      </c>
      <c r="D656" t="s">
        <v>34</v>
      </c>
      <c r="E656" t="s">
        <v>35</v>
      </c>
      <c r="F656" t="s">
        <v>36</v>
      </c>
      <c r="G656">
        <v>1141685</v>
      </c>
      <c r="H656" t="s">
        <v>79</v>
      </c>
      <c r="I656" t="s">
        <v>94</v>
      </c>
      <c r="J656" t="s">
        <v>101</v>
      </c>
      <c r="K656" t="s">
        <v>114</v>
      </c>
      <c r="L656" s="1">
        <v>46143</v>
      </c>
      <c r="M656" s="1">
        <v>46173</v>
      </c>
      <c r="N656">
        <v>8.8146419999999995E-4</v>
      </c>
      <c r="O656" t="s">
        <v>56</v>
      </c>
      <c r="P656" t="s">
        <v>63</v>
      </c>
      <c r="Q656" t="s">
        <v>3904</v>
      </c>
      <c r="R656" t="s">
        <v>3905</v>
      </c>
      <c r="S656" t="s">
        <v>67</v>
      </c>
      <c r="T656" t="s">
        <v>4390</v>
      </c>
      <c r="U656" t="s">
        <v>4391</v>
      </c>
      <c r="V656">
        <v>16</v>
      </c>
      <c r="W656" s="2">
        <v>1.2326129443</v>
      </c>
    </row>
    <row r="657" spans="1:23" x14ac:dyDescent="0.25">
      <c r="A657" t="s">
        <v>31</v>
      </c>
      <c r="B657" t="s">
        <v>32</v>
      </c>
      <c r="C657" t="s">
        <v>33</v>
      </c>
      <c r="D657" t="s">
        <v>34</v>
      </c>
      <c r="E657" t="s">
        <v>35</v>
      </c>
      <c r="F657" t="s">
        <v>36</v>
      </c>
      <c r="G657">
        <v>1141685</v>
      </c>
      <c r="H657" t="s">
        <v>79</v>
      </c>
      <c r="I657" t="s">
        <v>94</v>
      </c>
      <c r="J657" t="s">
        <v>101</v>
      </c>
      <c r="K657" t="s">
        <v>114</v>
      </c>
      <c r="L657" s="1">
        <v>46143</v>
      </c>
      <c r="M657" s="1">
        <v>46173</v>
      </c>
      <c r="N657">
        <v>8.3516169999999998E-4</v>
      </c>
      <c r="O657" t="s">
        <v>56</v>
      </c>
      <c r="P657" t="s">
        <v>63</v>
      </c>
      <c r="Q657" t="s">
        <v>3904</v>
      </c>
      <c r="R657" t="s">
        <v>3905</v>
      </c>
      <c r="S657" t="s">
        <v>67</v>
      </c>
      <c r="T657" t="s">
        <v>4392</v>
      </c>
      <c r="U657" t="s">
        <v>4393</v>
      </c>
      <c r="V657">
        <v>16</v>
      </c>
      <c r="W657" s="2">
        <v>1.1657442090000001</v>
      </c>
    </row>
    <row r="658" spans="1:23" x14ac:dyDescent="0.25">
      <c r="A658" t="s">
        <v>31</v>
      </c>
      <c r="B658" t="s">
        <v>32</v>
      </c>
      <c r="C658" t="s">
        <v>33</v>
      </c>
      <c r="D658" t="s">
        <v>34</v>
      </c>
      <c r="E658" t="s">
        <v>35</v>
      </c>
      <c r="F658" t="s">
        <v>36</v>
      </c>
      <c r="G658">
        <v>1141685</v>
      </c>
      <c r="H658" t="s">
        <v>1351</v>
      </c>
      <c r="I658" t="s">
        <v>1353</v>
      </c>
      <c r="J658" t="s">
        <v>1351</v>
      </c>
      <c r="K658" t="s">
        <v>1357</v>
      </c>
      <c r="L658" s="1">
        <v>46143</v>
      </c>
      <c r="M658" s="1">
        <v>46173</v>
      </c>
      <c r="N658">
        <v>4.6724790000000002E-3</v>
      </c>
      <c r="O658" t="s">
        <v>56</v>
      </c>
      <c r="P658" t="s">
        <v>63</v>
      </c>
      <c r="Q658" t="s">
        <v>3972</v>
      </c>
      <c r="R658" t="s">
        <v>4218</v>
      </c>
      <c r="S658" t="s">
        <v>68</v>
      </c>
      <c r="T658" t="s">
        <v>4394</v>
      </c>
      <c r="U658" t="s">
        <v>4395</v>
      </c>
      <c r="V658">
        <v>7</v>
      </c>
      <c r="W658" s="2">
        <v>8.8890213033999999</v>
      </c>
    </row>
    <row r="659" spans="1:23" x14ac:dyDescent="0.25">
      <c r="A659" t="s">
        <v>31</v>
      </c>
      <c r="B659" t="s">
        <v>32</v>
      </c>
      <c r="C659" t="s">
        <v>33</v>
      </c>
      <c r="D659" t="s">
        <v>34</v>
      </c>
      <c r="E659" t="s">
        <v>35</v>
      </c>
      <c r="F659" t="s">
        <v>36</v>
      </c>
      <c r="G659">
        <v>1141685</v>
      </c>
      <c r="H659" t="s">
        <v>79</v>
      </c>
      <c r="I659" t="s">
        <v>94</v>
      </c>
      <c r="J659" t="s">
        <v>101</v>
      </c>
      <c r="K659" t="s">
        <v>116</v>
      </c>
      <c r="L659" s="1">
        <v>46143</v>
      </c>
      <c r="M659" s="1">
        <v>46173</v>
      </c>
      <c r="N659">
        <v>1.482368E-4</v>
      </c>
      <c r="O659" t="s">
        <v>56</v>
      </c>
      <c r="P659" t="s">
        <v>63</v>
      </c>
      <c r="Q659" t="s">
        <v>3900</v>
      </c>
      <c r="R659" t="s">
        <v>3901</v>
      </c>
      <c r="S659" t="s">
        <v>67</v>
      </c>
      <c r="T659" t="s">
        <v>4396</v>
      </c>
      <c r="U659" t="s">
        <v>4397</v>
      </c>
      <c r="V659">
        <v>16</v>
      </c>
      <c r="W659" s="2">
        <v>0.202064141</v>
      </c>
    </row>
    <row r="660" spans="1:23" x14ac:dyDescent="0.25">
      <c r="A660" t="s">
        <v>31</v>
      </c>
      <c r="B660" t="s">
        <v>32</v>
      </c>
      <c r="C660" t="s">
        <v>33</v>
      </c>
      <c r="D660" t="s">
        <v>34</v>
      </c>
      <c r="E660" t="s">
        <v>35</v>
      </c>
      <c r="F660" t="s">
        <v>36</v>
      </c>
      <c r="G660">
        <v>1141685</v>
      </c>
      <c r="H660" t="s">
        <v>79</v>
      </c>
      <c r="I660" t="s">
        <v>94</v>
      </c>
      <c r="J660" t="s">
        <v>101</v>
      </c>
      <c r="K660" t="s">
        <v>114</v>
      </c>
      <c r="L660" s="1">
        <v>46143</v>
      </c>
      <c r="M660" s="1">
        <v>46173</v>
      </c>
      <c r="N660">
        <v>2.2061160000000002E-3</v>
      </c>
      <c r="O660" t="s">
        <v>56</v>
      </c>
      <c r="P660" t="s">
        <v>63</v>
      </c>
      <c r="Q660" t="s">
        <v>3904</v>
      </c>
      <c r="R660" t="s">
        <v>3950</v>
      </c>
      <c r="S660" t="s">
        <v>67</v>
      </c>
      <c r="T660" t="s">
        <v>4398</v>
      </c>
      <c r="U660" t="s">
        <v>4399</v>
      </c>
      <c r="V660">
        <v>16</v>
      </c>
      <c r="W660" s="2">
        <v>3.079548119</v>
      </c>
    </row>
    <row r="661" spans="1:23" x14ac:dyDescent="0.25">
      <c r="A661" t="s">
        <v>31</v>
      </c>
      <c r="B661" t="s">
        <v>32</v>
      </c>
      <c r="C661" t="s">
        <v>33</v>
      </c>
      <c r="D661" t="s">
        <v>34</v>
      </c>
      <c r="E661" t="s">
        <v>35</v>
      </c>
      <c r="F661" t="s">
        <v>36</v>
      </c>
      <c r="G661">
        <v>1141685</v>
      </c>
      <c r="H661" t="s">
        <v>79</v>
      </c>
      <c r="I661" t="s">
        <v>94</v>
      </c>
      <c r="J661" t="s">
        <v>101</v>
      </c>
      <c r="K661" t="s">
        <v>114</v>
      </c>
      <c r="L661" s="1">
        <v>46143</v>
      </c>
      <c r="M661" s="1">
        <v>46173</v>
      </c>
      <c r="N661">
        <v>9.4182599999999999E-4</v>
      </c>
      <c r="O661" t="s">
        <v>56</v>
      </c>
      <c r="P661" t="s">
        <v>63</v>
      </c>
      <c r="Q661" t="s">
        <v>3904</v>
      </c>
      <c r="R661" t="s">
        <v>4400</v>
      </c>
      <c r="S661" t="s">
        <v>67</v>
      </c>
      <c r="T661" t="s">
        <v>4401</v>
      </c>
      <c r="U661" t="s">
        <v>4402</v>
      </c>
      <c r="V661">
        <v>16</v>
      </c>
      <c r="W661" s="2">
        <v>1.3167492231</v>
      </c>
    </row>
    <row r="662" spans="1:23" x14ac:dyDescent="0.25">
      <c r="A662" t="s">
        <v>31</v>
      </c>
      <c r="B662" t="s">
        <v>32</v>
      </c>
      <c r="C662" t="s">
        <v>33</v>
      </c>
      <c r="D662" t="s">
        <v>34</v>
      </c>
      <c r="E662" t="s">
        <v>35</v>
      </c>
      <c r="F662" t="s">
        <v>36</v>
      </c>
      <c r="G662">
        <v>1141685</v>
      </c>
      <c r="H662" t="s">
        <v>77</v>
      </c>
      <c r="I662" t="s">
        <v>96</v>
      </c>
      <c r="J662" t="s">
        <v>77</v>
      </c>
      <c r="K662" t="s">
        <v>111</v>
      </c>
      <c r="L662" s="1">
        <v>46143</v>
      </c>
      <c r="M662" s="1">
        <v>46173</v>
      </c>
      <c r="N662">
        <v>31.683783244299999</v>
      </c>
      <c r="O662" t="s">
        <v>56</v>
      </c>
      <c r="P662" t="s">
        <v>63</v>
      </c>
      <c r="Q662" t="s">
        <v>3908</v>
      </c>
      <c r="R662" t="s">
        <v>3909</v>
      </c>
      <c r="S662" t="s">
        <v>67</v>
      </c>
      <c r="T662" t="s">
        <v>4403</v>
      </c>
      <c r="U662" t="s">
        <v>4404</v>
      </c>
      <c r="V662">
        <v>16</v>
      </c>
      <c r="W662" s="2">
        <v>5527.5564858309008</v>
      </c>
    </row>
    <row r="663" spans="1:23" x14ac:dyDescent="0.25">
      <c r="A663" t="s">
        <v>31</v>
      </c>
      <c r="B663" t="s">
        <v>32</v>
      </c>
      <c r="C663" t="s">
        <v>33</v>
      </c>
      <c r="D663" t="s">
        <v>34</v>
      </c>
      <c r="E663" t="s">
        <v>35</v>
      </c>
      <c r="F663" t="s">
        <v>36</v>
      </c>
      <c r="G663">
        <v>1141685</v>
      </c>
      <c r="H663" t="s">
        <v>75</v>
      </c>
      <c r="I663" t="s">
        <v>94</v>
      </c>
      <c r="J663" t="s">
        <v>98</v>
      </c>
      <c r="K663" t="s">
        <v>108</v>
      </c>
      <c r="L663" s="1">
        <v>46143</v>
      </c>
      <c r="M663" s="1">
        <v>46173</v>
      </c>
      <c r="N663">
        <v>2.9257999999999999E-2</v>
      </c>
      <c r="O663" t="s">
        <v>56</v>
      </c>
      <c r="P663" t="s">
        <v>63</v>
      </c>
      <c r="Q663" t="s">
        <v>3993</v>
      </c>
      <c r="R663" t="s">
        <v>65</v>
      </c>
      <c r="S663" t="s">
        <v>67</v>
      </c>
      <c r="T663" t="s">
        <v>4405</v>
      </c>
      <c r="U663" t="s">
        <v>4406</v>
      </c>
      <c r="V663">
        <v>6</v>
      </c>
      <c r="W663" s="2">
        <v>61.251943180799998</v>
      </c>
    </row>
    <row r="664" spans="1:23" x14ac:dyDescent="0.25">
      <c r="A664" t="s">
        <v>31</v>
      </c>
      <c r="B664" t="s">
        <v>32</v>
      </c>
      <c r="C664" t="s">
        <v>33</v>
      </c>
      <c r="D664" t="s">
        <v>34</v>
      </c>
      <c r="E664" t="s">
        <v>35</v>
      </c>
      <c r="F664" t="s">
        <v>36</v>
      </c>
      <c r="G664">
        <v>1141685</v>
      </c>
      <c r="H664" t="s">
        <v>77</v>
      </c>
      <c r="I664" t="s">
        <v>96</v>
      </c>
      <c r="J664" t="s">
        <v>77</v>
      </c>
      <c r="K664" t="s">
        <v>113</v>
      </c>
      <c r="L664" s="1">
        <v>46143</v>
      </c>
      <c r="M664" s="1">
        <v>46173</v>
      </c>
      <c r="N664">
        <v>4.0670305899999999</v>
      </c>
      <c r="O664" t="s">
        <v>56</v>
      </c>
      <c r="P664" t="s">
        <v>63</v>
      </c>
      <c r="Q664" t="s">
        <v>3900</v>
      </c>
      <c r="R664" t="s">
        <v>3958</v>
      </c>
      <c r="S664" t="s">
        <v>67</v>
      </c>
      <c r="T664" t="s">
        <v>4407</v>
      </c>
      <c r="U664" t="s">
        <v>4408</v>
      </c>
      <c r="V664">
        <v>16</v>
      </c>
      <c r="W664" s="2">
        <v>709.53005792750002</v>
      </c>
    </row>
    <row r="665" spans="1:23" x14ac:dyDescent="0.25">
      <c r="A665" t="s">
        <v>31</v>
      </c>
      <c r="B665" t="s">
        <v>32</v>
      </c>
      <c r="C665" t="s">
        <v>33</v>
      </c>
      <c r="D665" t="s">
        <v>34</v>
      </c>
      <c r="E665" t="s">
        <v>35</v>
      </c>
      <c r="F665" t="s">
        <v>36</v>
      </c>
      <c r="G665">
        <v>1141685</v>
      </c>
      <c r="H665" t="s">
        <v>77</v>
      </c>
      <c r="I665" t="s">
        <v>96</v>
      </c>
      <c r="J665" t="s">
        <v>77</v>
      </c>
      <c r="K665" t="s">
        <v>113</v>
      </c>
      <c r="L665" s="1">
        <v>46143</v>
      </c>
      <c r="M665" s="1">
        <v>46173</v>
      </c>
      <c r="N665">
        <v>1.9082015874</v>
      </c>
      <c r="O665" t="s">
        <v>56</v>
      </c>
      <c r="P665" t="s">
        <v>63</v>
      </c>
      <c r="Q665" t="s">
        <v>3900</v>
      </c>
      <c r="R665" t="s">
        <v>3963</v>
      </c>
      <c r="S665" t="s">
        <v>67</v>
      </c>
      <c r="T665" t="s">
        <v>4409</v>
      </c>
      <c r="U665" t="s">
        <v>4410</v>
      </c>
      <c r="V665">
        <v>16</v>
      </c>
      <c r="W665" s="2">
        <v>332.90626706299997</v>
      </c>
    </row>
    <row r="666" spans="1:23" x14ac:dyDescent="0.25">
      <c r="A666" t="s">
        <v>31</v>
      </c>
      <c r="B666" t="s">
        <v>32</v>
      </c>
      <c r="C666" t="s">
        <v>33</v>
      </c>
      <c r="D666" t="s">
        <v>34</v>
      </c>
      <c r="E666" t="s">
        <v>35</v>
      </c>
      <c r="F666" t="s">
        <v>36</v>
      </c>
      <c r="G666">
        <v>1141685</v>
      </c>
      <c r="H666" t="s">
        <v>77</v>
      </c>
      <c r="I666" t="s">
        <v>96</v>
      </c>
      <c r="J666" t="s">
        <v>77</v>
      </c>
      <c r="K666" t="s">
        <v>113</v>
      </c>
      <c r="L666" s="1">
        <v>46143</v>
      </c>
      <c r="M666" s="1">
        <v>46173</v>
      </c>
      <c r="N666">
        <v>30.6674532304</v>
      </c>
      <c r="O666" t="s">
        <v>56</v>
      </c>
      <c r="P666" t="s">
        <v>63</v>
      </c>
      <c r="Q666" t="s">
        <v>3904</v>
      </c>
      <c r="R666" t="s">
        <v>3905</v>
      </c>
      <c r="S666" t="s">
        <v>67</v>
      </c>
      <c r="T666" t="s">
        <v>4411</v>
      </c>
      <c r="U666" t="s">
        <v>4412</v>
      </c>
      <c r="V666">
        <v>16</v>
      </c>
      <c r="W666" s="2">
        <v>5350.2446237001996</v>
      </c>
    </row>
    <row r="667" spans="1:23" x14ac:dyDescent="0.25">
      <c r="A667" t="s">
        <v>31</v>
      </c>
      <c r="B667" t="s">
        <v>32</v>
      </c>
      <c r="C667" t="s">
        <v>33</v>
      </c>
      <c r="D667" t="s">
        <v>34</v>
      </c>
      <c r="E667" t="s">
        <v>35</v>
      </c>
      <c r="F667" t="s">
        <v>36</v>
      </c>
      <c r="G667">
        <v>1141685</v>
      </c>
      <c r="H667" t="s">
        <v>76</v>
      </c>
      <c r="I667" t="s">
        <v>95</v>
      </c>
      <c r="J667" t="s">
        <v>99</v>
      </c>
      <c r="K667" t="s">
        <v>109</v>
      </c>
      <c r="L667" s="1">
        <v>46143</v>
      </c>
      <c r="M667" s="1">
        <v>46173</v>
      </c>
      <c r="N667">
        <v>0.733348</v>
      </c>
      <c r="O667" t="s">
        <v>58</v>
      </c>
      <c r="P667" t="s">
        <v>63</v>
      </c>
      <c r="Q667" t="s">
        <v>3953</v>
      </c>
      <c r="R667" t="s">
        <v>3909</v>
      </c>
      <c r="S667" t="s">
        <v>67</v>
      </c>
      <c r="T667" t="s">
        <v>4119</v>
      </c>
      <c r="U667" t="s">
        <v>4120</v>
      </c>
      <c r="V667">
        <v>16</v>
      </c>
      <c r="W667" s="2">
        <v>0</v>
      </c>
    </row>
    <row r="668" spans="1:23" x14ac:dyDescent="0.25">
      <c r="A668" t="s">
        <v>31</v>
      </c>
      <c r="B668" t="s">
        <v>32</v>
      </c>
      <c r="C668" t="s">
        <v>33</v>
      </c>
      <c r="D668" t="s">
        <v>34</v>
      </c>
      <c r="E668" t="s">
        <v>35</v>
      </c>
      <c r="F668" t="s">
        <v>36</v>
      </c>
      <c r="G668">
        <v>1141685</v>
      </c>
      <c r="H668" t="s">
        <v>76</v>
      </c>
      <c r="I668" t="s">
        <v>95</v>
      </c>
      <c r="J668" t="s">
        <v>99</v>
      </c>
      <c r="K668" t="s">
        <v>109</v>
      </c>
      <c r="L668" s="1">
        <v>46143</v>
      </c>
      <c r="M668" s="1">
        <v>46173</v>
      </c>
      <c r="N668">
        <v>63.599952000000002</v>
      </c>
      <c r="O668" t="s">
        <v>58</v>
      </c>
      <c r="P668" t="s">
        <v>63</v>
      </c>
      <c r="Q668" t="s">
        <v>3949</v>
      </c>
      <c r="R668" t="s">
        <v>3950</v>
      </c>
      <c r="S668" t="s">
        <v>67</v>
      </c>
      <c r="T668" t="s">
        <v>4413</v>
      </c>
      <c r="U668" t="s">
        <v>4414</v>
      </c>
      <c r="V668">
        <v>16</v>
      </c>
      <c r="W668" s="2">
        <v>0</v>
      </c>
    </row>
    <row r="669" spans="1:23" x14ac:dyDescent="0.25">
      <c r="A669" t="s">
        <v>31</v>
      </c>
      <c r="B669" t="s">
        <v>32</v>
      </c>
      <c r="C669" t="s">
        <v>33</v>
      </c>
      <c r="D669" t="s">
        <v>34</v>
      </c>
      <c r="E669" t="s">
        <v>35</v>
      </c>
      <c r="F669" t="s">
        <v>36</v>
      </c>
      <c r="G669">
        <v>1141685</v>
      </c>
      <c r="H669" t="s">
        <v>76</v>
      </c>
      <c r="I669" t="s">
        <v>95</v>
      </c>
      <c r="J669" t="s">
        <v>99</v>
      </c>
      <c r="K669" t="s">
        <v>109</v>
      </c>
      <c r="L669" s="1">
        <v>46143</v>
      </c>
      <c r="M669" s="1">
        <v>46173</v>
      </c>
      <c r="N669">
        <v>303.09987799999999</v>
      </c>
      <c r="O669" t="s">
        <v>58</v>
      </c>
      <c r="P669" t="s">
        <v>63</v>
      </c>
      <c r="Q669" t="s">
        <v>3949</v>
      </c>
      <c r="R669" t="s">
        <v>3950</v>
      </c>
      <c r="S669" t="s">
        <v>67</v>
      </c>
      <c r="T669" t="s">
        <v>4413</v>
      </c>
      <c r="U669" t="s">
        <v>4414</v>
      </c>
      <c r="V669">
        <v>16</v>
      </c>
      <c r="W669" s="2">
        <v>0</v>
      </c>
    </row>
    <row r="670" spans="1:23" x14ac:dyDescent="0.25">
      <c r="A670" t="s">
        <v>31</v>
      </c>
      <c r="B670" t="s">
        <v>32</v>
      </c>
      <c r="C670" t="s">
        <v>33</v>
      </c>
      <c r="D670" t="s">
        <v>34</v>
      </c>
      <c r="E670" t="s">
        <v>35</v>
      </c>
      <c r="F670" t="s">
        <v>36</v>
      </c>
      <c r="G670">
        <v>1141685</v>
      </c>
      <c r="H670" t="s">
        <v>76</v>
      </c>
      <c r="I670" t="s">
        <v>95</v>
      </c>
      <c r="J670" t="s">
        <v>99</v>
      </c>
      <c r="K670" t="s">
        <v>109</v>
      </c>
      <c r="L670" s="1">
        <v>46143</v>
      </c>
      <c r="M670" s="1">
        <v>46173</v>
      </c>
      <c r="N670">
        <v>1</v>
      </c>
      <c r="O670" t="s">
        <v>58</v>
      </c>
      <c r="P670" t="s">
        <v>63</v>
      </c>
      <c r="Q670" t="s">
        <v>3949</v>
      </c>
      <c r="R670" t="s">
        <v>4019</v>
      </c>
      <c r="S670" t="s">
        <v>67</v>
      </c>
      <c r="T670" t="s">
        <v>4415</v>
      </c>
      <c r="U670" t="s">
        <v>4416</v>
      </c>
      <c r="V670">
        <v>16</v>
      </c>
      <c r="W670" s="2">
        <v>0</v>
      </c>
    </row>
    <row r="671" spans="1:23" x14ac:dyDescent="0.25">
      <c r="A671" t="s">
        <v>31</v>
      </c>
      <c r="B671" t="s">
        <v>32</v>
      </c>
      <c r="C671" t="s">
        <v>33</v>
      </c>
      <c r="D671" t="s">
        <v>34</v>
      </c>
      <c r="E671" t="s">
        <v>35</v>
      </c>
      <c r="F671" t="s">
        <v>36</v>
      </c>
      <c r="G671">
        <v>1141685</v>
      </c>
      <c r="H671" t="s">
        <v>3928</v>
      </c>
      <c r="I671" t="s">
        <v>42</v>
      </c>
      <c r="J671" t="s">
        <v>3928</v>
      </c>
      <c r="K671" t="s">
        <v>4417</v>
      </c>
      <c r="L671" s="1">
        <v>46143</v>
      </c>
      <c r="M671" s="1">
        <v>46173</v>
      </c>
      <c r="N671">
        <v>292.18</v>
      </c>
      <c r="O671" t="s">
        <v>59</v>
      </c>
      <c r="P671" t="s">
        <v>63</v>
      </c>
      <c r="Q671" t="s">
        <v>3930</v>
      </c>
      <c r="R671" t="s">
        <v>3931</v>
      </c>
      <c r="S671" t="s">
        <v>67</v>
      </c>
      <c r="T671" t="s">
        <v>4418</v>
      </c>
      <c r="U671" t="s">
        <v>4419</v>
      </c>
      <c r="V671">
        <v>7</v>
      </c>
      <c r="W671" s="2">
        <v>10194.7452128</v>
      </c>
    </row>
    <row r="672" spans="1:23" x14ac:dyDescent="0.25">
      <c r="A672" t="s">
        <v>31</v>
      </c>
      <c r="B672" t="s">
        <v>32</v>
      </c>
      <c r="C672" t="s">
        <v>33</v>
      </c>
      <c r="D672" t="s">
        <v>34</v>
      </c>
      <c r="E672" t="s">
        <v>35</v>
      </c>
      <c r="F672" t="s">
        <v>36</v>
      </c>
      <c r="G672">
        <v>1141685</v>
      </c>
      <c r="H672" t="s">
        <v>3946</v>
      </c>
      <c r="I672" t="s">
        <v>95</v>
      </c>
      <c r="J672" t="s">
        <v>3947</v>
      </c>
      <c r="K672" t="s">
        <v>3948</v>
      </c>
      <c r="L672" s="1">
        <v>46143</v>
      </c>
      <c r="M672" s="1">
        <v>46173</v>
      </c>
      <c r="N672">
        <v>54.90005</v>
      </c>
      <c r="O672" t="s">
        <v>58</v>
      </c>
      <c r="P672" t="s">
        <v>63</v>
      </c>
      <c r="Q672" t="s">
        <v>3949</v>
      </c>
      <c r="R672" t="s">
        <v>3950</v>
      </c>
      <c r="S672" t="s">
        <v>67</v>
      </c>
      <c r="T672" t="s">
        <v>4420</v>
      </c>
      <c r="U672" t="s">
        <v>4421</v>
      </c>
      <c r="V672">
        <v>16</v>
      </c>
      <c r="W672" s="2">
        <v>151330.23330059199</v>
      </c>
    </row>
    <row r="673" spans="1:23" x14ac:dyDescent="0.25">
      <c r="A673" t="s">
        <v>31</v>
      </c>
      <c r="B673" t="s">
        <v>32</v>
      </c>
      <c r="C673" t="s">
        <v>33</v>
      </c>
      <c r="D673" t="s">
        <v>34</v>
      </c>
      <c r="E673" t="s">
        <v>35</v>
      </c>
      <c r="F673" t="s">
        <v>36</v>
      </c>
      <c r="G673">
        <v>1141685</v>
      </c>
      <c r="H673" t="s">
        <v>80</v>
      </c>
      <c r="I673" t="s">
        <v>96</v>
      </c>
      <c r="J673" t="s">
        <v>80</v>
      </c>
      <c r="K673" t="s">
        <v>115</v>
      </c>
      <c r="L673" s="1">
        <v>46143</v>
      </c>
      <c r="M673" s="1">
        <v>46173</v>
      </c>
      <c r="N673">
        <v>5.2852600000000003E-5</v>
      </c>
      <c r="O673" t="s">
        <v>56</v>
      </c>
      <c r="P673" t="s">
        <v>63</v>
      </c>
      <c r="Q673" t="s">
        <v>3908</v>
      </c>
      <c r="R673" t="s">
        <v>3909</v>
      </c>
      <c r="S673" t="s">
        <v>67</v>
      </c>
      <c r="T673" t="s">
        <v>4422</v>
      </c>
      <c r="U673" t="s">
        <v>4423</v>
      </c>
      <c r="V673">
        <v>16</v>
      </c>
      <c r="W673" s="2">
        <v>8.1141779999999997E-3</v>
      </c>
    </row>
    <row r="674" spans="1:23" x14ac:dyDescent="0.25">
      <c r="A674" t="s">
        <v>31</v>
      </c>
      <c r="B674" t="s">
        <v>32</v>
      </c>
      <c r="C674" t="s">
        <v>33</v>
      </c>
      <c r="D674" t="s">
        <v>34</v>
      </c>
      <c r="E674" t="s">
        <v>35</v>
      </c>
      <c r="F674" t="s">
        <v>36</v>
      </c>
      <c r="G674">
        <v>1141685</v>
      </c>
      <c r="H674" t="s">
        <v>76</v>
      </c>
      <c r="I674" t="s">
        <v>95</v>
      </c>
      <c r="J674" t="s">
        <v>99</v>
      </c>
      <c r="K674" t="s">
        <v>109</v>
      </c>
      <c r="L674" s="1">
        <v>46143</v>
      </c>
      <c r="M674" s="1">
        <v>46173</v>
      </c>
      <c r="N674">
        <v>268.95005600000002</v>
      </c>
      <c r="O674" t="s">
        <v>58</v>
      </c>
      <c r="P674" t="s">
        <v>63</v>
      </c>
      <c r="Q674" t="s">
        <v>3957</v>
      </c>
      <c r="R674" t="s">
        <v>3963</v>
      </c>
      <c r="S674" t="s">
        <v>67</v>
      </c>
      <c r="T674" t="s">
        <v>4056</v>
      </c>
      <c r="U674" t="s">
        <v>4057</v>
      </c>
      <c r="V674">
        <v>16</v>
      </c>
      <c r="W674" s="2">
        <v>0</v>
      </c>
    </row>
    <row r="675" spans="1:23" x14ac:dyDescent="0.25">
      <c r="A675" t="s">
        <v>31</v>
      </c>
      <c r="B675" t="s">
        <v>32</v>
      </c>
      <c r="C675" t="s">
        <v>33</v>
      </c>
      <c r="D675" t="s">
        <v>34</v>
      </c>
      <c r="E675" t="s">
        <v>35</v>
      </c>
      <c r="F675" t="s">
        <v>36</v>
      </c>
      <c r="G675">
        <v>1141685</v>
      </c>
      <c r="H675" t="s">
        <v>76</v>
      </c>
      <c r="I675" t="s">
        <v>95</v>
      </c>
      <c r="J675" t="s">
        <v>99</v>
      </c>
      <c r="K675" t="s">
        <v>109</v>
      </c>
      <c r="L675" s="1">
        <v>46143</v>
      </c>
      <c r="M675" s="1">
        <v>46173</v>
      </c>
      <c r="N675">
        <v>1</v>
      </c>
      <c r="O675" t="s">
        <v>58</v>
      </c>
      <c r="P675" t="s">
        <v>63</v>
      </c>
      <c r="Q675" t="s">
        <v>3953</v>
      </c>
      <c r="R675" t="s">
        <v>3909</v>
      </c>
      <c r="S675" t="s">
        <v>67</v>
      </c>
      <c r="T675" t="s">
        <v>3966</v>
      </c>
      <c r="U675" t="s">
        <v>3967</v>
      </c>
      <c r="V675">
        <v>16</v>
      </c>
      <c r="W675" s="2">
        <v>0</v>
      </c>
    </row>
    <row r="676" spans="1:23" x14ac:dyDescent="0.25">
      <c r="A676" t="s">
        <v>31</v>
      </c>
      <c r="B676" t="s">
        <v>32</v>
      </c>
      <c r="C676" t="s">
        <v>33</v>
      </c>
      <c r="D676" t="s">
        <v>34</v>
      </c>
      <c r="E676" t="s">
        <v>35</v>
      </c>
      <c r="F676" t="s">
        <v>36</v>
      </c>
      <c r="G676">
        <v>1141685</v>
      </c>
      <c r="H676" t="s">
        <v>76</v>
      </c>
      <c r="I676" t="s">
        <v>95</v>
      </c>
      <c r="J676" t="s">
        <v>99</v>
      </c>
      <c r="K676" t="s">
        <v>109</v>
      </c>
      <c r="L676" s="1">
        <v>46143</v>
      </c>
      <c r="M676" s="1">
        <v>46173</v>
      </c>
      <c r="N676">
        <v>4.9940999999999999E-2</v>
      </c>
      <c r="O676" t="s">
        <v>58</v>
      </c>
      <c r="P676" t="s">
        <v>63</v>
      </c>
      <c r="Q676" t="s">
        <v>3949</v>
      </c>
      <c r="R676" t="s">
        <v>3905</v>
      </c>
      <c r="S676" t="s">
        <v>67</v>
      </c>
      <c r="T676" t="s">
        <v>4424</v>
      </c>
      <c r="U676" t="s">
        <v>4425</v>
      </c>
      <c r="V676">
        <v>16</v>
      </c>
      <c r="W676" s="2">
        <v>0</v>
      </c>
    </row>
    <row r="677" spans="1:23" x14ac:dyDescent="0.25">
      <c r="A677" t="s">
        <v>31</v>
      </c>
      <c r="B677" t="s">
        <v>32</v>
      </c>
      <c r="C677" t="s">
        <v>33</v>
      </c>
      <c r="D677" t="s">
        <v>34</v>
      </c>
      <c r="E677" t="s">
        <v>35</v>
      </c>
      <c r="F677" t="s">
        <v>36</v>
      </c>
      <c r="G677">
        <v>1141685</v>
      </c>
      <c r="H677" t="s">
        <v>76</v>
      </c>
      <c r="I677" t="s">
        <v>95</v>
      </c>
      <c r="J677" t="s">
        <v>99</v>
      </c>
      <c r="K677" t="s">
        <v>109</v>
      </c>
      <c r="L677" s="1">
        <v>46143</v>
      </c>
      <c r="M677" s="1">
        <v>46173</v>
      </c>
      <c r="N677">
        <v>8.3335000000000006E-2</v>
      </c>
      <c r="O677" t="s">
        <v>58</v>
      </c>
      <c r="P677" t="s">
        <v>63</v>
      </c>
      <c r="Q677" t="s">
        <v>3949</v>
      </c>
      <c r="R677" t="s">
        <v>4019</v>
      </c>
      <c r="S677" t="s">
        <v>67</v>
      </c>
      <c r="T677" t="s">
        <v>4415</v>
      </c>
      <c r="U677" t="s">
        <v>4416</v>
      </c>
      <c r="V677">
        <v>16</v>
      </c>
      <c r="W677" s="2">
        <v>0</v>
      </c>
    </row>
    <row r="678" spans="1:23" x14ac:dyDescent="0.25">
      <c r="A678" t="s">
        <v>31</v>
      </c>
      <c r="B678" t="s">
        <v>32</v>
      </c>
      <c r="C678" t="s">
        <v>33</v>
      </c>
      <c r="D678" t="s">
        <v>34</v>
      </c>
      <c r="E678" t="s">
        <v>35</v>
      </c>
      <c r="F678" t="s">
        <v>36</v>
      </c>
      <c r="G678">
        <v>1141685</v>
      </c>
      <c r="H678" t="s">
        <v>77</v>
      </c>
      <c r="I678" t="s">
        <v>96</v>
      </c>
      <c r="J678" t="s">
        <v>77</v>
      </c>
      <c r="K678" t="s">
        <v>111</v>
      </c>
      <c r="L678" s="1">
        <v>46143</v>
      </c>
      <c r="M678" s="1">
        <v>46173</v>
      </c>
      <c r="N678">
        <v>52.8857959025</v>
      </c>
      <c r="O678" t="s">
        <v>56</v>
      </c>
      <c r="P678" t="s">
        <v>63</v>
      </c>
      <c r="Q678" t="s">
        <v>3904</v>
      </c>
      <c r="R678" t="s">
        <v>3905</v>
      </c>
      <c r="S678" t="s">
        <v>67</v>
      </c>
      <c r="T678" t="s">
        <v>4426</v>
      </c>
      <c r="U678" t="s">
        <v>4427</v>
      </c>
      <c r="V678">
        <v>16</v>
      </c>
      <c r="W678" s="2">
        <v>9226.4512387660998</v>
      </c>
    </row>
    <row r="679" spans="1:23" x14ac:dyDescent="0.25">
      <c r="A679" t="s">
        <v>31</v>
      </c>
      <c r="B679" t="s">
        <v>32</v>
      </c>
      <c r="C679" t="s">
        <v>33</v>
      </c>
      <c r="D679" t="s">
        <v>34</v>
      </c>
      <c r="E679" t="s">
        <v>35</v>
      </c>
      <c r="F679" t="s">
        <v>36</v>
      </c>
      <c r="G679">
        <v>1141685</v>
      </c>
      <c r="H679" t="s">
        <v>86</v>
      </c>
      <c r="I679" t="s">
        <v>42</v>
      </c>
      <c r="J679" t="s">
        <v>86</v>
      </c>
      <c r="K679" t="s">
        <v>124</v>
      </c>
      <c r="L679" s="1">
        <v>46143</v>
      </c>
      <c r="M679" s="1">
        <v>46173</v>
      </c>
      <c r="N679">
        <v>2.0799999999999999E-4</v>
      </c>
      <c r="O679" t="s">
        <v>135</v>
      </c>
      <c r="P679" t="s">
        <v>63</v>
      </c>
      <c r="Q679" t="s">
        <v>3949</v>
      </c>
      <c r="R679" t="s">
        <v>4428</v>
      </c>
      <c r="S679" t="s">
        <v>67</v>
      </c>
      <c r="T679" t="s">
        <v>4429</v>
      </c>
      <c r="U679" t="s">
        <v>4430</v>
      </c>
      <c r="V679">
        <v>16</v>
      </c>
      <c r="W679" s="2">
        <v>71.520255206400009</v>
      </c>
    </row>
    <row r="680" spans="1:23" x14ac:dyDescent="0.25">
      <c r="A680" t="s">
        <v>31</v>
      </c>
      <c r="B680" t="s">
        <v>32</v>
      </c>
      <c r="C680" t="s">
        <v>33</v>
      </c>
      <c r="D680" t="s">
        <v>34</v>
      </c>
      <c r="E680" t="s">
        <v>35</v>
      </c>
      <c r="F680" t="s">
        <v>36</v>
      </c>
      <c r="G680">
        <v>1141685</v>
      </c>
      <c r="H680" t="s">
        <v>86</v>
      </c>
      <c r="I680" t="s">
        <v>42</v>
      </c>
      <c r="J680" t="s">
        <v>86</v>
      </c>
      <c r="K680" t="s">
        <v>124</v>
      </c>
      <c r="L680" s="1">
        <v>46143</v>
      </c>
      <c r="M680" s="1">
        <v>46173</v>
      </c>
      <c r="N680">
        <v>1.2799999999999999E-4</v>
      </c>
      <c r="O680" t="s">
        <v>135</v>
      </c>
      <c r="P680" t="s">
        <v>63</v>
      </c>
      <c r="Q680" t="s">
        <v>3949</v>
      </c>
      <c r="R680" t="s">
        <v>4431</v>
      </c>
      <c r="S680" t="s">
        <v>67</v>
      </c>
      <c r="T680" t="s">
        <v>4432</v>
      </c>
      <c r="U680" t="s">
        <v>4433</v>
      </c>
      <c r="V680">
        <v>16</v>
      </c>
      <c r="W680" s="2">
        <v>44.012464742399999</v>
      </c>
    </row>
    <row r="681" spans="1:23" x14ac:dyDescent="0.25">
      <c r="A681" t="s">
        <v>31</v>
      </c>
      <c r="B681" t="s">
        <v>32</v>
      </c>
      <c r="C681" t="s">
        <v>33</v>
      </c>
      <c r="D681" t="s">
        <v>34</v>
      </c>
      <c r="E681" t="s">
        <v>35</v>
      </c>
      <c r="F681" t="s">
        <v>36</v>
      </c>
      <c r="G681">
        <v>1141685</v>
      </c>
      <c r="H681" t="s">
        <v>79</v>
      </c>
      <c r="I681" t="s">
        <v>94</v>
      </c>
      <c r="J681" t="s">
        <v>101</v>
      </c>
      <c r="K681" t="s">
        <v>114</v>
      </c>
      <c r="L681" s="1">
        <v>46143</v>
      </c>
      <c r="M681" s="1">
        <v>46173</v>
      </c>
      <c r="N681">
        <v>1.118E-7</v>
      </c>
      <c r="O681" t="s">
        <v>56</v>
      </c>
      <c r="P681" t="s">
        <v>63</v>
      </c>
      <c r="Q681" t="s">
        <v>3900</v>
      </c>
      <c r="R681" t="s">
        <v>3901</v>
      </c>
      <c r="S681" t="s">
        <v>67</v>
      </c>
      <c r="T681" t="s">
        <v>4434</v>
      </c>
      <c r="U681" t="s">
        <v>4435</v>
      </c>
      <c r="V681">
        <v>16</v>
      </c>
      <c r="W681" s="2">
        <v>1.3726179999999999E-4</v>
      </c>
    </row>
    <row r="682" spans="1:23" x14ac:dyDescent="0.25">
      <c r="A682" t="s">
        <v>31</v>
      </c>
      <c r="B682" t="s">
        <v>32</v>
      </c>
      <c r="C682" t="s">
        <v>33</v>
      </c>
      <c r="D682" t="s">
        <v>34</v>
      </c>
      <c r="E682" t="s">
        <v>35</v>
      </c>
      <c r="F682" t="s">
        <v>36</v>
      </c>
      <c r="G682">
        <v>1141685</v>
      </c>
      <c r="H682" t="s">
        <v>80</v>
      </c>
      <c r="I682" t="s">
        <v>96</v>
      </c>
      <c r="J682" t="s">
        <v>80</v>
      </c>
      <c r="K682" t="s">
        <v>115</v>
      </c>
      <c r="L682" s="1">
        <v>46143</v>
      </c>
      <c r="M682" s="1">
        <v>46173</v>
      </c>
      <c r="N682">
        <v>1.9660619099999999E-2</v>
      </c>
      <c r="O682" t="s">
        <v>56</v>
      </c>
      <c r="P682" t="s">
        <v>63</v>
      </c>
      <c r="Q682" t="s">
        <v>3900</v>
      </c>
      <c r="R682" t="s">
        <v>3958</v>
      </c>
      <c r="S682" t="s">
        <v>67</v>
      </c>
      <c r="T682" t="s">
        <v>4436</v>
      </c>
      <c r="U682" t="s">
        <v>4437</v>
      </c>
      <c r="V682">
        <v>16</v>
      </c>
      <c r="W682" s="2">
        <v>3.4283926125000002</v>
      </c>
    </row>
    <row r="683" spans="1:23" x14ac:dyDescent="0.25">
      <c r="A683" t="s">
        <v>31</v>
      </c>
      <c r="B683" t="s">
        <v>32</v>
      </c>
      <c r="C683" t="s">
        <v>33</v>
      </c>
      <c r="D683" t="s">
        <v>34</v>
      </c>
      <c r="E683" t="s">
        <v>35</v>
      </c>
      <c r="F683" t="s">
        <v>36</v>
      </c>
      <c r="G683">
        <v>1141685</v>
      </c>
      <c r="H683" t="s">
        <v>79</v>
      </c>
      <c r="I683" t="s">
        <v>94</v>
      </c>
      <c r="J683" t="s">
        <v>101</v>
      </c>
      <c r="K683" t="s">
        <v>116</v>
      </c>
      <c r="L683" s="1">
        <v>46143</v>
      </c>
      <c r="M683" s="1">
        <v>46173</v>
      </c>
      <c r="N683">
        <v>2.0726769999999999E-4</v>
      </c>
      <c r="O683" t="s">
        <v>56</v>
      </c>
      <c r="P683" t="s">
        <v>63</v>
      </c>
      <c r="Q683" t="s">
        <v>3908</v>
      </c>
      <c r="R683" t="s">
        <v>3909</v>
      </c>
      <c r="S683" t="s">
        <v>67</v>
      </c>
      <c r="T683" t="s">
        <v>4438</v>
      </c>
      <c r="U683" t="s">
        <v>4439</v>
      </c>
      <c r="V683">
        <v>16</v>
      </c>
      <c r="W683" s="2">
        <v>0.28456585950000002</v>
      </c>
    </row>
    <row r="684" spans="1:23" x14ac:dyDescent="0.25">
      <c r="A684" t="s">
        <v>31</v>
      </c>
      <c r="B684" t="s">
        <v>32</v>
      </c>
      <c r="C684" t="s">
        <v>33</v>
      </c>
      <c r="D684" t="s">
        <v>34</v>
      </c>
      <c r="E684" t="s">
        <v>35</v>
      </c>
      <c r="F684" t="s">
        <v>36</v>
      </c>
      <c r="G684">
        <v>1141685</v>
      </c>
      <c r="H684" t="s">
        <v>75</v>
      </c>
      <c r="I684" t="s">
        <v>94</v>
      </c>
      <c r="J684" t="s">
        <v>98</v>
      </c>
      <c r="K684" t="s">
        <v>108</v>
      </c>
      <c r="L684" s="1">
        <v>46143</v>
      </c>
      <c r="M684" s="1">
        <v>46173</v>
      </c>
      <c r="N684">
        <v>3.8027800000000002E-5</v>
      </c>
      <c r="O684" t="s">
        <v>56</v>
      </c>
      <c r="P684" t="s">
        <v>63</v>
      </c>
      <c r="Q684" t="s">
        <v>3908</v>
      </c>
      <c r="R684" t="s">
        <v>3909</v>
      </c>
      <c r="S684" t="s">
        <v>67</v>
      </c>
      <c r="T684" t="s">
        <v>4440</v>
      </c>
      <c r="U684" t="s">
        <v>4441</v>
      </c>
      <c r="V684">
        <v>16</v>
      </c>
      <c r="W684" s="2">
        <v>8.0058457099999994E-2</v>
      </c>
    </row>
    <row r="685" spans="1:23" x14ac:dyDescent="0.25">
      <c r="A685" t="s">
        <v>31</v>
      </c>
      <c r="B685" t="s">
        <v>32</v>
      </c>
      <c r="C685" t="s">
        <v>33</v>
      </c>
      <c r="D685" t="s">
        <v>34</v>
      </c>
      <c r="E685" t="s">
        <v>35</v>
      </c>
      <c r="F685" t="s">
        <v>36</v>
      </c>
      <c r="G685">
        <v>1141685</v>
      </c>
      <c r="H685" t="s">
        <v>77</v>
      </c>
      <c r="I685" t="s">
        <v>96</v>
      </c>
      <c r="J685" t="s">
        <v>77</v>
      </c>
      <c r="K685" t="s">
        <v>113</v>
      </c>
      <c r="L685" s="1">
        <v>46143</v>
      </c>
      <c r="M685" s="1">
        <v>46173</v>
      </c>
      <c r="N685">
        <v>174.9355264166</v>
      </c>
      <c r="O685" t="s">
        <v>56</v>
      </c>
      <c r="P685" t="s">
        <v>63</v>
      </c>
      <c r="Q685" t="s">
        <v>3904</v>
      </c>
      <c r="R685" t="s">
        <v>3905</v>
      </c>
      <c r="S685" t="s">
        <v>67</v>
      </c>
      <c r="T685" t="s">
        <v>4442</v>
      </c>
      <c r="U685" t="s">
        <v>4443</v>
      </c>
      <c r="V685">
        <v>16</v>
      </c>
      <c r="W685" s="2">
        <v>30519.251706008901</v>
      </c>
    </row>
    <row r="686" spans="1:23" x14ac:dyDescent="0.25">
      <c r="A686" t="s">
        <v>31</v>
      </c>
      <c r="B686" t="s">
        <v>32</v>
      </c>
      <c r="C686" t="s">
        <v>33</v>
      </c>
      <c r="D686" t="s">
        <v>34</v>
      </c>
      <c r="E686" t="s">
        <v>35</v>
      </c>
      <c r="F686" t="s">
        <v>36</v>
      </c>
      <c r="G686">
        <v>1141685</v>
      </c>
      <c r="H686" t="s">
        <v>3912</v>
      </c>
      <c r="I686" t="s">
        <v>3913</v>
      </c>
      <c r="J686" t="s">
        <v>3914</v>
      </c>
      <c r="K686" t="s">
        <v>4129</v>
      </c>
      <c r="L686" s="1">
        <v>46143</v>
      </c>
      <c r="M686" s="1">
        <v>46173</v>
      </c>
      <c r="N686">
        <v>1.8621666667000001</v>
      </c>
      <c r="O686" t="s">
        <v>58</v>
      </c>
      <c r="P686" t="s">
        <v>63</v>
      </c>
      <c r="Q686" t="s">
        <v>3916</v>
      </c>
      <c r="R686" t="s">
        <v>3917</v>
      </c>
      <c r="S686" t="s">
        <v>67</v>
      </c>
      <c r="T686" t="s">
        <v>4444</v>
      </c>
      <c r="U686" t="s">
        <v>4445</v>
      </c>
      <c r="V686">
        <v>14</v>
      </c>
      <c r="W686" s="2">
        <v>28588.8813258665</v>
      </c>
    </row>
    <row r="687" spans="1:23" x14ac:dyDescent="0.25">
      <c r="A687" t="s">
        <v>31</v>
      </c>
      <c r="B687" t="s">
        <v>32</v>
      </c>
      <c r="C687" t="s">
        <v>33</v>
      </c>
      <c r="D687" t="s">
        <v>34</v>
      </c>
      <c r="E687" t="s">
        <v>35</v>
      </c>
      <c r="F687" t="s">
        <v>36</v>
      </c>
      <c r="G687">
        <v>1141685</v>
      </c>
      <c r="H687" t="s">
        <v>3912</v>
      </c>
      <c r="I687" t="s">
        <v>3913</v>
      </c>
      <c r="J687" t="s">
        <v>3914</v>
      </c>
      <c r="K687" t="s">
        <v>4129</v>
      </c>
      <c r="L687" s="1">
        <v>46143</v>
      </c>
      <c r="M687" s="1">
        <v>46173</v>
      </c>
      <c r="N687">
        <v>3.3578366666999999</v>
      </c>
      <c r="O687" t="s">
        <v>58</v>
      </c>
      <c r="P687" t="s">
        <v>63</v>
      </c>
      <c r="Q687" t="s">
        <v>3916</v>
      </c>
      <c r="R687" t="s">
        <v>3917</v>
      </c>
      <c r="S687" t="s">
        <v>67</v>
      </c>
      <c r="T687" t="s">
        <v>4446</v>
      </c>
      <c r="U687" t="s">
        <v>4447</v>
      </c>
      <c r="V687">
        <v>14</v>
      </c>
      <c r="W687" s="2">
        <v>51551.115836074699</v>
      </c>
    </row>
    <row r="688" spans="1:23" x14ac:dyDescent="0.25">
      <c r="A688" t="s">
        <v>31</v>
      </c>
      <c r="B688" t="s">
        <v>32</v>
      </c>
      <c r="C688" t="s">
        <v>33</v>
      </c>
      <c r="D688" t="s">
        <v>34</v>
      </c>
      <c r="E688" t="s">
        <v>35</v>
      </c>
      <c r="F688" t="s">
        <v>36</v>
      </c>
      <c r="G688">
        <v>1141685</v>
      </c>
      <c r="H688" t="s">
        <v>3912</v>
      </c>
      <c r="I688" t="s">
        <v>3913</v>
      </c>
      <c r="J688" t="s">
        <v>3914</v>
      </c>
      <c r="K688" t="s">
        <v>4129</v>
      </c>
      <c r="L688" s="1">
        <v>46143</v>
      </c>
      <c r="M688" s="1">
        <v>46173</v>
      </c>
      <c r="N688">
        <v>3.6232266666999999</v>
      </c>
      <c r="O688" t="s">
        <v>58</v>
      </c>
      <c r="P688" t="s">
        <v>63</v>
      </c>
      <c r="Q688" t="s">
        <v>3916</v>
      </c>
      <c r="R688" t="s">
        <v>3917</v>
      </c>
      <c r="S688" t="s">
        <v>67</v>
      </c>
      <c r="T688" t="s">
        <v>4448</v>
      </c>
      <c r="U688" t="s">
        <v>4449</v>
      </c>
      <c r="V688">
        <v>14</v>
      </c>
      <c r="W688" s="2">
        <v>55625.513143210701</v>
      </c>
    </row>
    <row r="689" spans="1:23" x14ac:dyDescent="0.25">
      <c r="A689" t="s">
        <v>31</v>
      </c>
      <c r="B689" t="s">
        <v>32</v>
      </c>
      <c r="C689" t="s">
        <v>33</v>
      </c>
      <c r="D689" t="s">
        <v>34</v>
      </c>
      <c r="E689" t="s">
        <v>35</v>
      </c>
      <c r="F689" t="s">
        <v>36</v>
      </c>
      <c r="G689">
        <v>1141685</v>
      </c>
      <c r="H689" t="s">
        <v>4450</v>
      </c>
      <c r="I689" t="s">
        <v>1352</v>
      </c>
      <c r="J689" t="s">
        <v>4450</v>
      </c>
      <c r="K689" t="s">
        <v>4451</v>
      </c>
      <c r="L689" s="1">
        <v>46143</v>
      </c>
      <c r="M689" s="1">
        <v>46173</v>
      </c>
      <c r="N689">
        <v>741</v>
      </c>
      <c r="O689" t="s">
        <v>58</v>
      </c>
      <c r="P689" t="s">
        <v>63</v>
      </c>
      <c r="Q689" t="s">
        <v>3916</v>
      </c>
      <c r="R689" t="s">
        <v>4452</v>
      </c>
      <c r="S689" t="s">
        <v>67</v>
      </c>
      <c r="T689" t="s">
        <v>4453</v>
      </c>
      <c r="U689" t="s">
        <v>4454</v>
      </c>
      <c r="V689">
        <v>7</v>
      </c>
      <c r="W689" s="2">
        <v>711011.73239999998</v>
      </c>
    </row>
    <row r="690" spans="1:23" x14ac:dyDescent="0.25">
      <c r="A690" t="s">
        <v>31</v>
      </c>
      <c r="B690" t="s">
        <v>32</v>
      </c>
      <c r="C690" t="s">
        <v>33</v>
      </c>
      <c r="D690" t="s">
        <v>34</v>
      </c>
      <c r="E690" t="s">
        <v>35</v>
      </c>
      <c r="F690" t="s">
        <v>36</v>
      </c>
      <c r="G690">
        <v>1141685</v>
      </c>
      <c r="H690" t="s">
        <v>1351</v>
      </c>
      <c r="I690" t="s">
        <v>1353</v>
      </c>
      <c r="J690" t="s">
        <v>1351</v>
      </c>
      <c r="K690" t="s">
        <v>1357</v>
      </c>
      <c r="L690" s="1">
        <v>46143</v>
      </c>
      <c r="M690" s="1">
        <v>46173</v>
      </c>
      <c r="N690">
        <v>69.822475212000001</v>
      </c>
      <c r="O690" t="s">
        <v>56</v>
      </c>
      <c r="P690" t="s">
        <v>63</v>
      </c>
      <c r="Q690" t="s">
        <v>3972</v>
      </c>
      <c r="R690" t="s">
        <v>4218</v>
      </c>
      <c r="S690" t="s">
        <v>68</v>
      </c>
      <c r="T690" t="s">
        <v>4455</v>
      </c>
      <c r="U690" t="s">
        <v>4456</v>
      </c>
      <c r="V690">
        <v>7</v>
      </c>
      <c r="W690" s="2">
        <v>126194.44011378269</v>
      </c>
    </row>
    <row r="691" spans="1:23" x14ac:dyDescent="0.25">
      <c r="A691" t="s">
        <v>31</v>
      </c>
      <c r="B691" t="s">
        <v>32</v>
      </c>
      <c r="C691" t="s">
        <v>33</v>
      </c>
      <c r="D691" t="s">
        <v>34</v>
      </c>
      <c r="E691" t="s">
        <v>35</v>
      </c>
      <c r="F691" t="s">
        <v>36</v>
      </c>
      <c r="G691">
        <v>1141685</v>
      </c>
      <c r="H691" t="s">
        <v>38</v>
      </c>
      <c r="I691" t="s">
        <v>38</v>
      </c>
      <c r="J691" t="s">
        <v>38</v>
      </c>
      <c r="K691" t="s">
        <v>48</v>
      </c>
      <c r="L691" s="1">
        <v>46143</v>
      </c>
      <c r="M691" s="1">
        <v>46173</v>
      </c>
      <c r="N691">
        <v>7.1686E-2</v>
      </c>
      <c r="O691" t="s">
        <v>58</v>
      </c>
      <c r="P691" t="s">
        <v>63</v>
      </c>
      <c r="Q691" t="s">
        <v>3993</v>
      </c>
      <c r="R691" t="s">
        <v>4325</v>
      </c>
      <c r="S691" t="s">
        <v>67</v>
      </c>
      <c r="T691" t="s">
        <v>4457</v>
      </c>
      <c r="U691" t="s">
        <v>4458</v>
      </c>
      <c r="V691">
        <v>8</v>
      </c>
      <c r="W691" s="2">
        <v>253.25297095920001</v>
      </c>
    </row>
    <row r="692" spans="1:23" x14ac:dyDescent="0.25">
      <c r="A692" t="s">
        <v>31</v>
      </c>
      <c r="B692" t="s">
        <v>32</v>
      </c>
      <c r="C692" t="s">
        <v>33</v>
      </c>
      <c r="D692" t="s">
        <v>34</v>
      </c>
      <c r="E692" t="s">
        <v>35</v>
      </c>
      <c r="F692" t="s">
        <v>36</v>
      </c>
      <c r="G692">
        <v>1141685</v>
      </c>
      <c r="H692" t="s">
        <v>3912</v>
      </c>
      <c r="I692" t="s">
        <v>3913</v>
      </c>
      <c r="J692" t="s">
        <v>3914</v>
      </c>
      <c r="K692" t="s">
        <v>3915</v>
      </c>
      <c r="L692" s="1">
        <v>46143</v>
      </c>
      <c r="M692" s="1">
        <v>46173</v>
      </c>
      <c r="N692">
        <v>0.10829613890000001</v>
      </c>
      <c r="O692" t="s">
        <v>58</v>
      </c>
      <c r="P692" t="s">
        <v>63</v>
      </c>
      <c r="Q692" t="s">
        <v>3916</v>
      </c>
      <c r="R692" t="s">
        <v>3917</v>
      </c>
      <c r="S692" t="s">
        <v>67</v>
      </c>
      <c r="T692" t="s">
        <v>4459</v>
      </c>
      <c r="U692" t="s">
        <v>4460</v>
      </c>
      <c r="V692">
        <v>12</v>
      </c>
      <c r="W692" s="2">
        <v>944.66715318429999</v>
      </c>
    </row>
    <row r="693" spans="1:23" x14ac:dyDescent="0.25">
      <c r="A693" t="s">
        <v>31</v>
      </c>
      <c r="B693" t="s">
        <v>32</v>
      </c>
      <c r="C693" t="s">
        <v>33</v>
      </c>
      <c r="D693" t="s">
        <v>34</v>
      </c>
      <c r="E693" t="s">
        <v>35</v>
      </c>
      <c r="F693" t="s">
        <v>36</v>
      </c>
      <c r="G693">
        <v>1141685</v>
      </c>
      <c r="H693" t="s">
        <v>3912</v>
      </c>
      <c r="I693" t="s">
        <v>3913</v>
      </c>
      <c r="J693" t="s">
        <v>3914</v>
      </c>
      <c r="K693" t="s">
        <v>3915</v>
      </c>
      <c r="L693" s="1">
        <v>46143</v>
      </c>
      <c r="M693" s="1">
        <v>46173</v>
      </c>
      <c r="N693">
        <v>0.1720936263</v>
      </c>
      <c r="O693" t="s">
        <v>58</v>
      </c>
      <c r="P693" t="s">
        <v>63</v>
      </c>
      <c r="Q693" t="s">
        <v>3916</v>
      </c>
      <c r="R693" t="s">
        <v>3917</v>
      </c>
      <c r="S693" t="s">
        <v>67</v>
      </c>
      <c r="T693" t="s">
        <v>4461</v>
      </c>
      <c r="U693" t="s">
        <v>4462</v>
      </c>
      <c r="V693">
        <v>12</v>
      </c>
      <c r="W693" s="2">
        <v>1501.1719775653</v>
      </c>
    </row>
    <row r="694" spans="1:23" x14ac:dyDescent="0.25">
      <c r="A694" t="s">
        <v>31</v>
      </c>
      <c r="B694" t="s">
        <v>32</v>
      </c>
      <c r="C694" t="s">
        <v>33</v>
      </c>
      <c r="D694" t="s">
        <v>34</v>
      </c>
      <c r="E694" t="s">
        <v>35</v>
      </c>
      <c r="F694" t="s">
        <v>36</v>
      </c>
      <c r="G694">
        <v>1141685</v>
      </c>
      <c r="H694" t="s">
        <v>79</v>
      </c>
      <c r="I694" t="s">
        <v>94</v>
      </c>
      <c r="J694" t="s">
        <v>101</v>
      </c>
      <c r="K694" t="s">
        <v>114</v>
      </c>
      <c r="L694" s="1">
        <v>46143</v>
      </c>
      <c r="M694" s="1">
        <v>46173</v>
      </c>
      <c r="N694">
        <v>2.7939999999999997E-7</v>
      </c>
      <c r="O694" t="s">
        <v>56</v>
      </c>
      <c r="P694" t="s">
        <v>63</v>
      </c>
      <c r="Q694" t="s">
        <v>3908</v>
      </c>
      <c r="R694" t="s">
        <v>3909</v>
      </c>
      <c r="S694" t="s">
        <v>67</v>
      </c>
      <c r="T694" t="s">
        <v>4463</v>
      </c>
      <c r="U694" t="s">
        <v>4464</v>
      </c>
      <c r="V694">
        <v>16</v>
      </c>
      <c r="W694" s="2">
        <v>3.431547E-4</v>
      </c>
    </row>
    <row r="695" spans="1:23" x14ac:dyDescent="0.25">
      <c r="A695" t="s">
        <v>31</v>
      </c>
      <c r="B695" t="s">
        <v>32</v>
      </c>
      <c r="C695" t="s">
        <v>33</v>
      </c>
      <c r="D695" t="s">
        <v>34</v>
      </c>
      <c r="E695" t="s">
        <v>35</v>
      </c>
      <c r="F695" t="s">
        <v>36</v>
      </c>
      <c r="G695">
        <v>1141685</v>
      </c>
      <c r="H695" t="s">
        <v>77</v>
      </c>
      <c r="I695" t="s">
        <v>96</v>
      </c>
      <c r="J695" t="s">
        <v>77</v>
      </c>
      <c r="K695" t="s">
        <v>111</v>
      </c>
      <c r="L695" s="1">
        <v>46143</v>
      </c>
      <c r="M695" s="1">
        <v>46173</v>
      </c>
      <c r="N695">
        <v>3.8352095999999998E-3</v>
      </c>
      <c r="O695" t="s">
        <v>56</v>
      </c>
      <c r="P695" t="s">
        <v>63</v>
      </c>
      <c r="Q695" t="s">
        <v>3993</v>
      </c>
      <c r="R695" t="s">
        <v>3994</v>
      </c>
      <c r="S695" t="s">
        <v>67</v>
      </c>
      <c r="T695" t="s">
        <v>4465</v>
      </c>
      <c r="U695" t="s">
        <v>4466</v>
      </c>
      <c r="V695">
        <v>8</v>
      </c>
      <c r="W695" s="2">
        <v>0.66879979289999991</v>
      </c>
    </row>
    <row r="696" spans="1:23" x14ac:dyDescent="0.25">
      <c r="A696" t="s">
        <v>31</v>
      </c>
      <c r="B696" t="s">
        <v>32</v>
      </c>
      <c r="C696" t="s">
        <v>33</v>
      </c>
      <c r="D696" t="s">
        <v>34</v>
      </c>
      <c r="E696" t="s">
        <v>35</v>
      </c>
      <c r="F696" t="s">
        <v>36</v>
      </c>
      <c r="G696">
        <v>1141685</v>
      </c>
      <c r="H696" t="s">
        <v>77</v>
      </c>
      <c r="I696" t="s">
        <v>96</v>
      </c>
      <c r="J696" t="s">
        <v>77</v>
      </c>
      <c r="K696" t="s">
        <v>111</v>
      </c>
      <c r="L696" s="1">
        <v>46143</v>
      </c>
      <c r="M696" s="1">
        <v>46173</v>
      </c>
      <c r="N696">
        <v>2.2073071823000001</v>
      </c>
      <c r="O696" t="s">
        <v>56</v>
      </c>
      <c r="P696" t="s">
        <v>63</v>
      </c>
      <c r="Q696" t="s">
        <v>3900</v>
      </c>
      <c r="R696" t="s">
        <v>3958</v>
      </c>
      <c r="S696" t="s">
        <v>67</v>
      </c>
      <c r="T696" t="s">
        <v>4467</v>
      </c>
      <c r="U696" t="s">
        <v>4468</v>
      </c>
      <c r="V696">
        <v>16</v>
      </c>
      <c r="W696" s="2">
        <v>385.08639369359997</v>
      </c>
    </row>
    <row r="697" spans="1:23" x14ac:dyDescent="0.25">
      <c r="A697" t="s">
        <v>31</v>
      </c>
      <c r="B697" t="s">
        <v>32</v>
      </c>
      <c r="C697" t="s">
        <v>33</v>
      </c>
      <c r="D697" t="s">
        <v>34</v>
      </c>
      <c r="E697" t="s">
        <v>35</v>
      </c>
      <c r="F697" t="s">
        <v>36</v>
      </c>
      <c r="G697">
        <v>1141685</v>
      </c>
      <c r="H697" t="s">
        <v>77</v>
      </c>
      <c r="I697" t="s">
        <v>96</v>
      </c>
      <c r="J697" t="s">
        <v>77</v>
      </c>
      <c r="K697" t="s">
        <v>111</v>
      </c>
      <c r="L697" s="1">
        <v>46143</v>
      </c>
      <c r="M697" s="1">
        <v>46173</v>
      </c>
      <c r="N697">
        <v>82.646250090600006</v>
      </c>
      <c r="O697" t="s">
        <v>56</v>
      </c>
      <c r="P697" t="s">
        <v>63</v>
      </c>
      <c r="Q697" t="s">
        <v>3908</v>
      </c>
      <c r="R697" t="s">
        <v>3909</v>
      </c>
      <c r="S697" t="s">
        <v>67</v>
      </c>
      <c r="T697" t="s">
        <v>4469</v>
      </c>
      <c r="U697" t="s">
        <v>4470</v>
      </c>
      <c r="V697">
        <v>16</v>
      </c>
      <c r="W697" s="2">
        <v>14418.4690159035</v>
      </c>
    </row>
    <row r="698" spans="1:23" x14ac:dyDescent="0.25">
      <c r="A698" t="s">
        <v>31</v>
      </c>
      <c r="B698" t="s">
        <v>32</v>
      </c>
      <c r="C698" t="s">
        <v>33</v>
      </c>
      <c r="D698" t="s">
        <v>34</v>
      </c>
      <c r="E698" t="s">
        <v>35</v>
      </c>
      <c r="F698" t="s">
        <v>36</v>
      </c>
      <c r="G698">
        <v>1141685</v>
      </c>
      <c r="H698" t="s">
        <v>79</v>
      </c>
      <c r="I698" t="s">
        <v>94</v>
      </c>
      <c r="J698" t="s">
        <v>101</v>
      </c>
      <c r="K698" t="s">
        <v>114</v>
      </c>
      <c r="L698" s="1">
        <v>46143</v>
      </c>
      <c r="M698" s="1">
        <v>46173</v>
      </c>
      <c r="N698">
        <v>2.6952E-6</v>
      </c>
      <c r="O698" t="s">
        <v>56</v>
      </c>
      <c r="P698" t="s">
        <v>63</v>
      </c>
      <c r="Q698" t="s">
        <v>3908</v>
      </c>
      <c r="R698" t="s">
        <v>3909</v>
      </c>
      <c r="S698" t="s">
        <v>67</v>
      </c>
      <c r="T698" t="s">
        <v>4471</v>
      </c>
      <c r="U698" t="s">
        <v>4472</v>
      </c>
      <c r="V698">
        <v>16</v>
      </c>
      <c r="W698" s="2">
        <v>3.3102987E-3</v>
      </c>
    </row>
    <row r="699" spans="1:23" x14ac:dyDescent="0.25">
      <c r="A699" t="s">
        <v>31</v>
      </c>
      <c r="B699" t="s">
        <v>32</v>
      </c>
      <c r="C699" t="s">
        <v>33</v>
      </c>
      <c r="D699" t="s">
        <v>34</v>
      </c>
      <c r="E699" t="s">
        <v>35</v>
      </c>
      <c r="F699" t="s">
        <v>36</v>
      </c>
      <c r="G699">
        <v>1141685</v>
      </c>
      <c r="H699" t="s">
        <v>77</v>
      </c>
      <c r="I699" t="s">
        <v>96</v>
      </c>
      <c r="J699" t="s">
        <v>77</v>
      </c>
      <c r="K699" t="s">
        <v>111</v>
      </c>
      <c r="L699" s="1">
        <v>46143</v>
      </c>
      <c r="M699" s="1">
        <v>46173</v>
      </c>
      <c r="N699">
        <v>10.2219851976</v>
      </c>
      <c r="O699" t="s">
        <v>56</v>
      </c>
      <c r="P699" t="s">
        <v>63</v>
      </c>
      <c r="Q699" t="s">
        <v>3904</v>
      </c>
      <c r="R699" t="s">
        <v>3905</v>
      </c>
      <c r="S699" t="s">
        <v>67</v>
      </c>
      <c r="T699" t="s">
        <v>4473</v>
      </c>
      <c r="U699" t="s">
        <v>4474</v>
      </c>
      <c r="V699">
        <v>16</v>
      </c>
      <c r="W699" s="2">
        <v>1783.3282330674999</v>
      </c>
    </row>
    <row r="700" spans="1:23" x14ac:dyDescent="0.25">
      <c r="A700" t="s">
        <v>31</v>
      </c>
      <c r="B700" t="s">
        <v>32</v>
      </c>
      <c r="C700" t="s">
        <v>33</v>
      </c>
      <c r="D700" t="s">
        <v>34</v>
      </c>
      <c r="E700" t="s">
        <v>35</v>
      </c>
      <c r="F700" t="s">
        <v>36</v>
      </c>
      <c r="G700">
        <v>1141685</v>
      </c>
      <c r="H700" t="s">
        <v>77</v>
      </c>
      <c r="I700" t="s">
        <v>96</v>
      </c>
      <c r="J700" t="s">
        <v>77</v>
      </c>
      <c r="K700" t="s">
        <v>111</v>
      </c>
      <c r="L700" s="1">
        <v>46143</v>
      </c>
      <c r="M700" s="1">
        <v>46173</v>
      </c>
      <c r="N700">
        <v>0.15664209239999999</v>
      </c>
      <c r="O700" t="s">
        <v>56</v>
      </c>
      <c r="P700" t="s">
        <v>63</v>
      </c>
      <c r="Q700" t="s">
        <v>3908</v>
      </c>
      <c r="R700" t="s">
        <v>3909</v>
      </c>
      <c r="S700" t="s">
        <v>67</v>
      </c>
      <c r="T700" t="s">
        <v>4475</v>
      </c>
      <c r="U700" t="s">
        <v>4476</v>
      </c>
      <c r="V700">
        <v>16</v>
      </c>
      <c r="W700" s="2">
        <v>27.328445905999999</v>
      </c>
    </row>
    <row r="701" spans="1:23" x14ac:dyDescent="0.25">
      <c r="A701" t="s">
        <v>31</v>
      </c>
      <c r="B701" t="s">
        <v>32</v>
      </c>
      <c r="C701" t="s">
        <v>33</v>
      </c>
      <c r="D701" t="s">
        <v>34</v>
      </c>
      <c r="E701" t="s">
        <v>35</v>
      </c>
      <c r="F701" t="s">
        <v>36</v>
      </c>
      <c r="G701">
        <v>1141685</v>
      </c>
      <c r="H701" t="s">
        <v>77</v>
      </c>
      <c r="I701" t="s">
        <v>96</v>
      </c>
      <c r="J701" t="s">
        <v>77</v>
      </c>
      <c r="K701" t="s">
        <v>111</v>
      </c>
      <c r="L701" s="1">
        <v>46143</v>
      </c>
      <c r="M701" s="1">
        <v>46173</v>
      </c>
      <c r="N701">
        <v>20.276587771300001</v>
      </c>
      <c r="O701" t="s">
        <v>56</v>
      </c>
      <c r="P701" t="s">
        <v>63</v>
      </c>
      <c r="Q701" t="s">
        <v>3908</v>
      </c>
      <c r="R701" t="s">
        <v>3909</v>
      </c>
      <c r="S701" t="s">
        <v>67</v>
      </c>
      <c r="T701" t="s">
        <v>4477</v>
      </c>
      <c r="U701" t="s">
        <v>4478</v>
      </c>
      <c r="V701">
        <v>16</v>
      </c>
      <c r="W701" s="2">
        <v>3537.4490822639</v>
      </c>
    </row>
    <row r="702" spans="1:23" x14ac:dyDescent="0.25">
      <c r="A702" t="s">
        <v>31</v>
      </c>
      <c r="B702" t="s">
        <v>32</v>
      </c>
      <c r="C702" t="s">
        <v>33</v>
      </c>
      <c r="D702" t="s">
        <v>34</v>
      </c>
      <c r="E702" t="s">
        <v>35</v>
      </c>
      <c r="F702" t="s">
        <v>36</v>
      </c>
      <c r="G702">
        <v>1141685</v>
      </c>
      <c r="H702" t="s">
        <v>77</v>
      </c>
      <c r="I702" t="s">
        <v>96</v>
      </c>
      <c r="J702" t="s">
        <v>77</v>
      </c>
      <c r="K702" t="s">
        <v>111</v>
      </c>
      <c r="L702" s="1">
        <v>46143</v>
      </c>
      <c r="M702" s="1">
        <v>46173</v>
      </c>
      <c r="N702">
        <v>4.7118316399999999E-2</v>
      </c>
      <c r="O702" t="s">
        <v>56</v>
      </c>
      <c r="P702" t="s">
        <v>63</v>
      </c>
      <c r="Q702" t="s">
        <v>3908</v>
      </c>
      <c r="R702" t="s">
        <v>3909</v>
      </c>
      <c r="S702" t="s">
        <v>67</v>
      </c>
      <c r="T702" t="s">
        <v>4479</v>
      </c>
      <c r="U702" t="s">
        <v>4480</v>
      </c>
      <c r="V702">
        <v>16</v>
      </c>
      <c r="W702" s="2">
        <v>8.2238301021999991</v>
      </c>
    </row>
    <row r="703" spans="1:23" x14ac:dyDescent="0.25">
      <c r="A703" t="s">
        <v>31</v>
      </c>
      <c r="B703" t="s">
        <v>32</v>
      </c>
      <c r="C703" t="s">
        <v>33</v>
      </c>
      <c r="D703" t="s">
        <v>34</v>
      </c>
      <c r="E703" t="s">
        <v>35</v>
      </c>
      <c r="F703" t="s">
        <v>36</v>
      </c>
      <c r="G703">
        <v>1141685</v>
      </c>
      <c r="H703" t="s">
        <v>77</v>
      </c>
      <c r="I703" t="s">
        <v>96</v>
      </c>
      <c r="J703" t="s">
        <v>77</v>
      </c>
      <c r="K703" t="s">
        <v>113</v>
      </c>
      <c r="L703" s="1">
        <v>46143</v>
      </c>
      <c r="M703" s="1">
        <v>46173</v>
      </c>
      <c r="N703">
        <v>1.0551483400000001E-2</v>
      </c>
      <c r="O703" t="s">
        <v>56</v>
      </c>
      <c r="P703" t="s">
        <v>63</v>
      </c>
      <c r="Q703" t="s">
        <v>3900</v>
      </c>
      <c r="R703" t="s">
        <v>3901</v>
      </c>
      <c r="S703" t="s">
        <v>67</v>
      </c>
      <c r="T703" t="s">
        <v>4481</v>
      </c>
      <c r="U703" t="s">
        <v>4482</v>
      </c>
      <c r="V703">
        <v>16</v>
      </c>
      <c r="W703" s="2">
        <v>1.8399143736000001</v>
      </c>
    </row>
    <row r="704" spans="1:23" x14ac:dyDescent="0.25">
      <c r="A704" t="s">
        <v>31</v>
      </c>
      <c r="B704" t="s">
        <v>32</v>
      </c>
      <c r="C704" t="s">
        <v>33</v>
      </c>
      <c r="D704" t="s">
        <v>34</v>
      </c>
      <c r="E704" t="s">
        <v>35</v>
      </c>
      <c r="F704" t="s">
        <v>36</v>
      </c>
      <c r="G704">
        <v>1141685</v>
      </c>
      <c r="H704" t="s">
        <v>77</v>
      </c>
      <c r="I704" t="s">
        <v>96</v>
      </c>
      <c r="J704" t="s">
        <v>77</v>
      </c>
      <c r="K704" t="s">
        <v>113</v>
      </c>
      <c r="L704" s="1">
        <v>46143</v>
      </c>
      <c r="M704" s="1">
        <v>46173</v>
      </c>
      <c r="N704">
        <v>5.8002393776999996</v>
      </c>
      <c r="O704" t="s">
        <v>56</v>
      </c>
      <c r="P704" t="s">
        <v>63</v>
      </c>
      <c r="Q704" t="s">
        <v>3900</v>
      </c>
      <c r="R704" t="s">
        <v>3958</v>
      </c>
      <c r="S704" t="s">
        <v>67</v>
      </c>
      <c r="T704" t="s">
        <v>4483</v>
      </c>
      <c r="U704" t="s">
        <v>4484</v>
      </c>
      <c r="V704">
        <v>16</v>
      </c>
      <c r="W704" s="2">
        <v>1011.9105904055</v>
      </c>
    </row>
    <row r="705" spans="1:23" x14ac:dyDescent="0.25">
      <c r="A705" t="s">
        <v>31</v>
      </c>
      <c r="B705" t="s">
        <v>32</v>
      </c>
      <c r="C705" t="s">
        <v>33</v>
      </c>
      <c r="D705" t="s">
        <v>34</v>
      </c>
      <c r="E705" t="s">
        <v>35</v>
      </c>
      <c r="F705" t="s">
        <v>36</v>
      </c>
      <c r="G705">
        <v>1141685</v>
      </c>
      <c r="H705" t="s">
        <v>77</v>
      </c>
      <c r="I705" t="s">
        <v>96</v>
      </c>
      <c r="J705" t="s">
        <v>77</v>
      </c>
      <c r="K705" t="s">
        <v>113</v>
      </c>
      <c r="L705" s="1">
        <v>46143</v>
      </c>
      <c r="M705" s="1">
        <v>46173</v>
      </c>
      <c r="N705">
        <v>1.9260817813</v>
      </c>
      <c r="O705" t="s">
        <v>56</v>
      </c>
      <c r="P705" t="s">
        <v>63</v>
      </c>
      <c r="Q705" t="s">
        <v>3908</v>
      </c>
      <c r="R705" t="s">
        <v>3954</v>
      </c>
      <c r="S705" t="s">
        <v>67</v>
      </c>
      <c r="T705" t="s">
        <v>4485</v>
      </c>
      <c r="U705" t="s">
        <v>4486</v>
      </c>
      <c r="V705">
        <v>16</v>
      </c>
      <c r="W705" s="2">
        <v>336.02132025200001</v>
      </c>
    </row>
    <row r="706" spans="1:23" x14ac:dyDescent="0.25">
      <c r="A706" t="s">
        <v>31</v>
      </c>
      <c r="B706" t="s">
        <v>32</v>
      </c>
      <c r="C706" t="s">
        <v>33</v>
      </c>
      <c r="D706" t="s">
        <v>34</v>
      </c>
      <c r="E706" t="s">
        <v>35</v>
      </c>
      <c r="F706" t="s">
        <v>36</v>
      </c>
      <c r="G706">
        <v>1141685</v>
      </c>
      <c r="H706" t="s">
        <v>77</v>
      </c>
      <c r="I706" t="s">
        <v>96</v>
      </c>
      <c r="J706" t="s">
        <v>77</v>
      </c>
      <c r="K706" t="s">
        <v>113</v>
      </c>
      <c r="L706" s="1">
        <v>46143</v>
      </c>
      <c r="M706" s="1">
        <v>46173</v>
      </c>
      <c r="N706">
        <v>489.46022382749999</v>
      </c>
      <c r="O706" t="s">
        <v>56</v>
      </c>
      <c r="P706" t="s">
        <v>63</v>
      </c>
      <c r="Q706" t="s">
        <v>3908</v>
      </c>
      <c r="R706" t="s">
        <v>3909</v>
      </c>
      <c r="S706" t="s">
        <v>67</v>
      </c>
      <c r="T706" t="s">
        <v>4487</v>
      </c>
      <c r="U706" t="s">
        <v>4488</v>
      </c>
      <c r="V706">
        <v>16</v>
      </c>
      <c r="W706" s="2">
        <v>85391.2329710739</v>
      </c>
    </row>
    <row r="707" spans="1:23" x14ac:dyDescent="0.25">
      <c r="A707" t="s">
        <v>31</v>
      </c>
      <c r="B707" t="s">
        <v>32</v>
      </c>
      <c r="C707" t="s">
        <v>33</v>
      </c>
      <c r="D707" t="s">
        <v>34</v>
      </c>
      <c r="E707" t="s">
        <v>35</v>
      </c>
      <c r="F707" t="s">
        <v>36</v>
      </c>
      <c r="G707">
        <v>1141685</v>
      </c>
      <c r="H707" t="s">
        <v>77</v>
      </c>
      <c r="I707" t="s">
        <v>96</v>
      </c>
      <c r="J707" t="s">
        <v>77</v>
      </c>
      <c r="K707" t="s">
        <v>113</v>
      </c>
      <c r="L707" s="1">
        <v>46143</v>
      </c>
      <c r="M707" s="1">
        <v>46173</v>
      </c>
      <c r="N707">
        <v>6.8458211599999999E-2</v>
      </c>
      <c r="O707" t="s">
        <v>56</v>
      </c>
      <c r="P707" t="s">
        <v>63</v>
      </c>
      <c r="Q707" t="s">
        <v>3908</v>
      </c>
      <c r="R707" t="s">
        <v>3909</v>
      </c>
      <c r="S707" t="s">
        <v>67</v>
      </c>
      <c r="T707" t="s">
        <v>4489</v>
      </c>
      <c r="U707" t="s">
        <v>4490</v>
      </c>
      <c r="V707">
        <v>16</v>
      </c>
      <c r="W707" s="2">
        <v>11.9400332453</v>
      </c>
    </row>
    <row r="708" spans="1:23" x14ac:dyDescent="0.25">
      <c r="A708" t="s">
        <v>31</v>
      </c>
      <c r="B708" t="s">
        <v>32</v>
      </c>
      <c r="C708" t="s">
        <v>33</v>
      </c>
      <c r="D708" t="s">
        <v>34</v>
      </c>
      <c r="E708" t="s">
        <v>35</v>
      </c>
      <c r="F708" t="s">
        <v>36</v>
      </c>
      <c r="G708">
        <v>1141685</v>
      </c>
      <c r="H708" t="s">
        <v>77</v>
      </c>
      <c r="I708" t="s">
        <v>96</v>
      </c>
      <c r="J708" t="s">
        <v>77</v>
      </c>
      <c r="K708" t="s">
        <v>113</v>
      </c>
      <c r="L708" s="1">
        <v>46143</v>
      </c>
      <c r="M708" s="1">
        <v>46173</v>
      </c>
      <c r="N708">
        <v>168.83980804960001</v>
      </c>
      <c r="O708" t="s">
        <v>56</v>
      </c>
      <c r="P708" t="s">
        <v>63</v>
      </c>
      <c r="Q708" t="s">
        <v>3908</v>
      </c>
      <c r="R708" t="s">
        <v>3909</v>
      </c>
      <c r="S708" t="s">
        <v>67</v>
      </c>
      <c r="T708" t="s">
        <v>4491</v>
      </c>
      <c r="U708" t="s">
        <v>4492</v>
      </c>
      <c r="V708">
        <v>16</v>
      </c>
      <c r="W708" s="2">
        <v>29455.797762855</v>
      </c>
    </row>
    <row r="709" spans="1:23" x14ac:dyDescent="0.25">
      <c r="A709" t="s">
        <v>31</v>
      </c>
      <c r="B709" t="s">
        <v>32</v>
      </c>
      <c r="C709" t="s">
        <v>33</v>
      </c>
      <c r="D709" t="s">
        <v>34</v>
      </c>
      <c r="E709" t="s">
        <v>35</v>
      </c>
      <c r="F709" t="s">
        <v>36</v>
      </c>
      <c r="G709">
        <v>1141685</v>
      </c>
      <c r="H709" t="s">
        <v>77</v>
      </c>
      <c r="I709" t="s">
        <v>96</v>
      </c>
      <c r="J709" t="s">
        <v>77</v>
      </c>
      <c r="K709" t="s">
        <v>113</v>
      </c>
      <c r="L709" s="1">
        <v>46143</v>
      </c>
      <c r="M709" s="1">
        <v>46173</v>
      </c>
      <c r="N709">
        <v>0.91645510399999996</v>
      </c>
      <c r="O709" t="s">
        <v>56</v>
      </c>
      <c r="P709" t="s">
        <v>63</v>
      </c>
      <c r="Q709" t="s">
        <v>3900</v>
      </c>
      <c r="R709" t="s">
        <v>3963</v>
      </c>
      <c r="S709" t="s">
        <v>67</v>
      </c>
      <c r="T709" t="s">
        <v>4493</v>
      </c>
      <c r="U709" t="s">
        <v>4494</v>
      </c>
      <c r="V709">
        <v>16</v>
      </c>
      <c r="W709" s="2">
        <v>159.88858655179999</v>
      </c>
    </row>
    <row r="710" spans="1:23" x14ac:dyDescent="0.25">
      <c r="A710" t="s">
        <v>31</v>
      </c>
      <c r="B710" t="s">
        <v>32</v>
      </c>
      <c r="C710" t="s">
        <v>33</v>
      </c>
      <c r="D710" t="s">
        <v>34</v>
      </c>
      <c r="E710" t="s">
        <v>35</v>
      </c>
      <c r="F710" t="s">
        <v>36</v>
      </c>
      <c r="G710">
        <v>1141685</v>
      </c>
      <c r="H710" t="s">
        <v>77</v>
      </c>
      <c r="I710" t="s">
        <v>96</v>
      </c>
      <c r="J710" t="s">
        <v>77</v>
      </c>
      <c r="K710" t="s">
        <v>113</v>
      </c>
      <c r="L710" s="1">
        <v>46143</v>
      </c>
      <c r="M710" s="1">
        <v>46173</v>
      </c>
      <c r="N710">
        <v>2.0843000000000001E-6</v>
      </c>
      <c r="O710" t="s">
        <v>56</v>
      </c>
      <c r="P710" t="s">
        <v>63</v>
      </c>
      <c r="Q710" t="s">
        <v>3900</v>
      </c>
      <c r="R710" t="s">
        <v>3901</v>
      </c>
      <c r="S710" t="s">
        <v>67</v>
      </c>
      <c r="T710" t="s">
        <v>4495</v>
      </c>
      <c r="U710" t="s">
        <v>4496</v>
      </c>
      <c r="V710">
        <v>16</v>
      </c>
      <c r="W710" s="2">
        <v>3.1999159999999998E-4</v>
      </c>
    </row>
    <row r="711" spans="1:23" x14ac:dyDescent="0.25">
      <c r="A711" t="s">
        <v>31</v>
      </c>
      <c r="B711" t="s">
        <v>32</v>
      </c>
      <c r="C711" t="s">
        <v>33</v>
      </c>
      <c r="D711" t="s">
        <v>34</v>
      </c>
      <c r="E711" t="s">
        <v>35</v>
      </c>
      <c r="F711" t="s">
        <v>36</v>
      </c>
      <c r="G711">
        <v>1141685</v>
      </c>
      <c r="H711" t="s">
        <v>77</v>
      </c>
      <c r="I711" t="s">
        <v>96</v>
      </c>
      <c r="J711" t="s">
        <v>77</v>
      </c>
      <c r="K711" t="s">
        <v>113</v>
      </c>
      <c r="L711" s="1">
        <v>46143</v>
      </c>
      <c r="M711" s="1">
        <v>46173</v>
      </c>
      <c r="N711">
        <v>8.0205277642000006</v>
      </c>
      <c r="O711" t="s">
        <v>56</v>
      </c>
      <c r="P711" t="s">
        <v>63</v>
      </c>
      <c r="Q711" t="s">
        <v>3900</v>
      </c>
      <c r="R711" t="s">
        <v>3963</v>
      </c>
      <c r="S711" t="s">
        <v>67</v>
      </c>
      <c r="T711" t="s">
        <v>4497</v>
      </c>
      <c r="U711" t="s">
        <v>4498</v>
      </c>
      <c r="V711">
        <v>16</v>
      </c>
      <c r="W711" s="2">
        <v>1399.2599208953</v>
      </c>
    </row>
    <row r="712" spans="1:23" x14ac:dyDescent="0.25">
      <c r="A712" t="s">
        <v>31</v>
      </c>
      <c r="B712" t="s">
        <v>32</v>
      </c>
      <c r="C712" t="s">
        <v>33</v>
      </c>
      <c r="D712" t="s">
        <v>34</v>
      </c>
      <c r="E712" t="s">
        <v>35</v>
      </c>
      <c r="F712" t="s">
        <v>36</v>
      </c>
      <c r="G712">
        <v>1141685</v>
      </c>
      <c r="H712" t="s">
        <v>86</v>
      </c>
      <c r="I712" t="s">
        <v>42</v>
      </c>
      <c r="J712" t="s">
        <v>86</v>
      </c>
      <c r="K712" t="s">
        <v>4499</v>
      </c>
      <c r="L712" s="1">
        <v>46143</v>
      </c>
      <c r="M712" s="1">
        <v>46173</v>
      </c>
      <c r="N712">
        <v>0.99993600000000005</v>
      </c>
      <c r="O712" t="s">
        <v>135</v>
      </c>
      <c r="P712" t="s">
        <v>63</v>
      </c>
      <c r="Q712" t="s">
        <v>4037</v>
      </c>
      <c r="R712" t="s">
        <v>4500</v>
      </c>
      <c r="S712" t="s">
        <v>67</v>
      </c>
      <c r="T712" t="s">
        <v>4501</v>
      </c>
      <c r="U712" t="s">
        <v>4502</v>
      </c>
      <c r="V712">
        <v>8</v>
      </c>
      <c r="W712" s="2">
        <v>92100.260741237798</v>
      </c>
    </row>
    <row r="713" spans="1:23" x14ac:dyDescent="0.25">
      <c r="A713" t="s">
        <v>31</v>
      </c>
      <c r="B713" t="s">
        <v>32</v>
      </c>
      <c r="C713" t="s">
        <v>33</v>
      </c>
      <c r="D713" t="s">
        <v>34</v>
      </c>
      <c r="E713" t="s">
        <v>35</v>
      </c>
      <c r="F713" t="s">
        <v>36</v>
      </c>
      <c r="G713">
        <v>1141685</v>
      </c>
      <c r="H713" t="s">
        <v>77</v>
      </c>
      <c r="I713" t="s">
        <v>96</v>
      </c>
      <c r="J713" t="s">
        <v>77</v>
      </c>
      <c r="K713" t="s">
        <v>113</v>
      </c>
      <c r="L713" s="1">
        <v>46143</v>
      </c>
      <c r="M713" s="1">
        <v>46173</v>
      </c>
      <c r="N713">
        <v>0.20152825490000001</v>
      </c>
      <c r="O713" t="s">
        <v>56</v>
      </c>
      <c r="P713" t="s">
        <v>63</v>
      </c>
      <c r="Q713" t="s">
        <v>3900</v>
      </c>
      <c r="R713" t="s">
        <v>3958</v>
      </c>
      <c r="S713" t="s">
        <v>67</v>
      </c>
      <c r="T713" t="s">
        <v>4503</v>
      </c>
      <c r="U713" t="s">
        <v>4504</v>
      </c>
      <c r="V713">
        <v>16</v>
      </c>
      <c r="W713" s="2">
        <v>35.159585026999999</v>
      </c>
    </row>
    <row r="714" spans="1:23" x14ac:dyDescent="0.25">
      <c r="A714" t="s">
        <v>31</v>
      </c>
      <c r="B714" t="s">
        <v>32</v>
      </c>
      <c r="C714" t="s">
        <v>33</v>
      </c>
      <c r="D714" t="s">
        <v>34</v>
      </c>
      <c r="E714" t="s">
        <v>35</v>
      </c>
      <c r="F714" t="s">
        <v>36</v>
      </c>
      <c r="G714">
        <v>1141685</v>
      </c>
      <c r="H714" t="s">
        <v>77</v>
      </c>
      <c r="I714" t="s">
        <v>96</v>
      </c>
      <c r="J714" t="s">
        <v>77</v>
      </c>
      <c r="K714" t="s">
        <v>113</v>
      </c>
      <c r="L714" s="1">
        <v>46143</v>
      </c>
      <c r="M714" s="1">
        <v>46173</v>
      </c>
      <c r="N714">
        <v>4.1332279999999999E-4</v>
      </c>
      <c r="O714" t="s">
        <v>56</v>
      </c>
      <c r="P714" t="s">
        <v>63</v>
      </c>
      <c r="Q714" t="s">
        <v>3900</v>
      </c>
      <c r="R714" t="s">
        <v>3958</v>
      </c>
      <c r="S714" t="s">
        <v>67</v>
      </c>
      <c r="T714" t="s">
        <v>4505</v>
      </c>
      <c r="U714" t="s">
        <v>4506</v>
      </c>
      <c r="V714">
        <v>16</v>
      </c>
      <c r="W714" s="2">
        <v>7.3455303499999999E-2</v>
      </c>
    </row>
    <row r="715" spans="1:23" x14ac:dyDescent="0.25">
      <c r="A715" t="s">
        <v>31</v>
      </c>
      <c r="B715" t="s">
        <v>32</v>
      </c>
      <c r="C715" t="s">
        <v>33</v>
      </c>
      <c r="D715" t="s">
        <v>34</v>
      </c>
      <c r="E715" t="s">
        <v>35</v>
      </c>
      <c r="F715" t="s">
        <v>36</v>
      </c>
      <c r="G715">
        <v>1141685</v>
      </c>
      <c r="H715" t="s">
        <v>82</v>
      </c>
      <c r="I715" t="s">
        <v>82</v>
      </c>
      <c r="J715" t="s">
        <v>82</v>
      </c>
      <c r="K715" t="s">
        <v>120</v>
      </c>
      <c r="L715" s="1">
        <v>46143</v>
      </c>
      <c r="M715" s="1">
        <v>46173</v>
      </c>
      <c r="N715">
        <v>1</v>
      </c>
      <c r="O715" t="s">
        <v>61</v>
      </c>
      <c r="P715" t="s">
        <v>63</v>
      </c>
      <c r="Q715" t="s">
        <v>3972</v>
      </c>
      <c r="R715" t="s">
        <v>4507</v>
      </c>
      <c r="S715" t="s">
        <v>68</v>
      </c>
      <c r="T715" t="s">
        <v>4508</v>
      </c>
      <c r="U715" t="s">
        <v>4509</v>
      </c>
      <c r="V715">
        <v>7</v>
      </c>
      <c r="W715" s="2">
        <v>2701.3181935473999</v>
      </c>
    </row>
    <row r="716" spans="1:23" x14ac:dyDescent="0.25">
      <c r="A716" t="s">
        <v>31</v>
      </c>
      <c r="B716" t="s">
        <v>32</v>
      </c>
      <c r="C716" t="s">
        <v>33</v>
      </c>
      <c r="D716" t="s">
        <v>34</v>
      </c>
      <c r="E716" t="s">
        <v>35</v>
      </c>
      <c r="F716" t="s">
        <v>36</v>
      </c>
      <c r="G716">
        <v>1141685</v>
      </c>
      <c r="H716" t="s">
        <v>82</v>
      </c>
      <c r="I716" t="s">
        <v>82</v>
      </c>
      <c r="J716" t="s">
        <v>82</v>
      </c>
      <c r="K716" t="s">
        <v>120</v>
      </c>
      <c r="L716" s="1">
        <v>46143</v>
      </c>
      <c r="M716" s="1">
        <v>46173</v>
      </c>
      <c r="N716">
        <v>1</v>
      </c>
      <c r="O716" t="s">
        <v>61</v>
      </c>
      <c r="P716" t="s">
        <v>63</v>
      </c>
      <c r="Q716" t="s">
        <v>3972</v>
      </c>
      <c r="R716" t="s">
        <v>4510</v>
      </c>
      <c r="S716" t="s">
        <v>68</v>
      </c>
      <c r="T716" t="s">
        <v>256</v>
      </c>
      <c r="U716" t="s">
        <v>411</v>
      </c>
      <c r="V716">
        <v>6</v>
      </c>
      <c r="W716" s="2">
        <v>2691.9341720419998</v>
      </c>
    </row>
    <row r="717" spans="1:23" x14ac:dyDescent="0.25">
      <c r="A717" t="s">
        <v>31</v>
      </c>
      <c r="B717" t="s">
        <v>32</v>
      </c>
      <c r="C717" t="s">
        <v>33</v>
      </c>
      <c r="D717" t="s">
        <v>34</v>
      </c>
      <c r="E717" t="s">
        <v>35</v>
      </c>
      <c r="F717" t="s">
        <v>36</v>
      </c>
      <c r="G717">
        <v>1141685</v>
      </c>
      <c r="H717" t="s">
        <v>4511</v>
      </c>
      <c r="I717" t="s">
        <v>4512</v>
      </c>
      <c r="J717" t="s">
        <v>4513</v>
      </c>
      <c r="K717" t="s">
        <v>4514</v>
      </c>
      <c r="L717" s="1">
        <v>46143</v>
      </c>
      <c r="M717" s="1">
        <v>46173</v>
      </c>
      <c r="N717">
        <v>559</v>
      </c>
      <c r="O717" t="s">
        <v>58</v>
      </c>
      <c r="P717" t="s">
        <v>63</v>
      </c>
      <c r="Q717" t="s">
        <v>3916</v>
      </c>
      <c r="R717" t="s">
        <v>4089</v>
      </c>
      <c r="S717" t="s">
        <v>67</v>
      </c>
      <c r="T717" t="s">
        <v>4515</v>
      </c>
      <c r="U717" t="s">
        <v>4516</v>
      </c>
      <c r="V717">
        <v>8</v>
      </c>
      <c r="W717" s="2">
        <v>253560.16432000001</v>
      </c>
    </row>
    <row r="718" spans="1:23" x14ac:dyDescent="0.25">
      <c r="A718" t="s">
        <v>31</v>
      </c>
      <c r="B718" t="s">
        <v>32</v>
      </c>
      <c r="C718" t="s">
        <v>33</v>
      </c>
      <c r="D718" t="s">
        <v>34</v>
      </c>
      <c r="E718" t="s">
        <v>35</v>
      </c>
      <c r="F718" t="s">
        <v>36</v>
      </c>
      <c r="G718">
        <v>1141685</v>
      </c>
      <c r="H718" t="s">
        <v>77</v>
      </c>
      <c r="I718" t="s">
        <v>96</v>
      </c>
      <c r="J718" t="s">
        <v>77</v>
      </c>
      <c r="K718" t="s">
        <v>113</v>
      </c>
      <c r="L718" s="1">
        <v>46143</v>
      </c>
      <c r="M718" s="1">
        <v>46173</v>
      </c>
      <c r="N718">
        <v>37.412667017399997</v>
      </c>
      <c r="O718" t="s">
        <v>56</v>
      </c>
      <c r="P718" t="s">
        <v>63</v>
      </c>
      <c r="Q718" t="s">
        <v>3908</v>
      </c>
      <c r="R718" t="s">
        <v>3909</v>
      </c>
      <c r="S718" t="s">
        <v>67</v>
      </c>
      <c r="T718" t="s">
        <v>4517</v>
      </c>
      <c r="U718" t="s">
        <v>4518</v>
      </c>
      <c r="V718">
        <v>16</v>
      </c>
      <c r="W718" s="2">
        <v>6527.0122213175</v>
      </c>
    </row>
    <row r="719" spans="1:23" x14ac:dyDescent="0.25">
      <c r="A719" t="s">
        <v>31</v>
      </c>
      <c r="B719" t="s">
        <v>32</v>
      </c>
      <c r="C719" t="s">
        <v>33</v>
      </c>
      <c r="D719" t="s">
        <v>34</v>
      </c>
      <c r="E719" t="s">
        <v>35</v>
      </c>
      <c r="F719" t="s">
        <v>36</v>
      </c>
      <c r="G719">
        <v>1141685</v>
      </c>
      <c r="H719" t="s">
        <v>77</v>
      </c>
      <c r="I719" t="s">
        <v>96</v>
      </c>
      <c r="J719" t="s">
        <v>77</v>
      </c>
      <c r="K719" t="s">
        <v>113</v>
      </c>
      <c r="L719" s="1">
        <v>46143</v>
      </c>
      <c r="M719" s="1">
        <v>46173</v>
      </c>
      <c r="N719">
        <v>1.1211671792</v>
      </c>
      <c r="O719" t="s">
        <v>56</v>
      </c>
      <c r="P719" t="s">
        <v>63</v>
      </c>
      <c r="Q719" t="s">
        <v>3908</v>
      </c>
      <c r="R719" t="s">
        <v>3909</v>
      </c>
      <c r="S719" t="s">
        <v>67</v>
      </c>
      <c r="T719" t="s">
        <v>4519</v>
      </c>
      <c r="U719" t="s">
        <v>4520</v>
      </c>
      <c r="V719">
        <v>16</v>
      </c>
      <c r="W719" s="2">
        <v>195.5969669527</v>
      </c>
    </row>
    <row r="720" spans="1:23" x14ac:dyDescent="0.25">
      <c r="A720" t="s">
        <v>31</v>
      </c>
      <c r="B720" t="s">
        <v>32</v>
      </c>
      <c r="C720" t="s">
        <v>33</v>
      </c>
      <c r="D720" t="s">
        <v>34</v>
      </c>
      <c r="E720" t="s">
        <v>35</v>
      </c>
      <c r="F720" t="s">
        <v>36</v>
      </c>
      <c r="G720">
        <v>1141685</v>
      </c>
      <c r="H720" t="s">
        <v>77</v>
      </c>
      <c r="I720" t="s">
        <v>96</v>
      </c>
      <c r="J720" t="s">
        <v>77</v>
      </c>
      <c r="K720" t="s">
        <v>113</v>
      </c>
      <c r="L720" s="1">
        <v>46143</v>
      </c>
      <c r="M720" s="1">
        <v>46173</v>
      </c>
      <c r="N720">
        <v>0.43682492620000002</v>
      </c>
      <c r="O720" t="s">
        <v>56</v>
      </c>
      <c r="P720" t="s">
        <v>63</v>
      </c>
      <c r="Q720" t="s">
        <v>3908</v>
      </c>
      <c r="R720" t="s">
        <v>3909</v>
      </c>
      <c r="S720" t="s">
        <v>67</v>
      </c>
      <c r="T720" t="s">
        <v>4521</v>
      </c>
      <c r="U720" t="s">
        <v>4522</v>
      </c>
      <c r="V720">
        <v>16</v>
      </c>
      <c r="W720" s="2">
        <v>76.213459425900012</v>
      </c>
    </row>
    <row r="721" spans="1:23" x14ac:dyDescent="0.25">
      <c r="A721" t="s">
        <v>31</v>
      </c>
      <c r="B721" t="s">
        <v>32</v>
      </c>
      <c r="C721" t="s">
        <v>33</v>
      </c>
      <c r="D721" t="s">
        <v>34</v>
      </c>
      <c r="E721" t="s">
        <v>35</v>
      </c>
      <c r="F721" t="s">
        <v>36</v>
      </c>
      <c r="G721">
        <v>1141685</v>
      </c>
      <c r="H721" t="s">
        <v>77</v>
      </c>
      <c r="I721" t="s">
        <v>96</v>
      </c>
      <c r="J721" t="s">
        <v>77</v>
      </c>
      <c r="K721" t="s">
        <v>113</v>
      </c>
      <c r="L721" s="1">
        <v>46143</v>
      </c>
      <c r="M721" s="1">
        <v>46173</v>
      </c>
      <c r="N721">
        <v>2.4176876999999999E-2</v>
      </c>
      <c r="O721" t="s">
        <v>56</v>
      </c>
      <c r="P721" t="s">
        <v>63</v>
      </c>
      <c r="Q721" t="s">
        <v>3908</v>
      </c>
      <c r="R721" t="s">
        <v>3909</v>
      </c>
      <c r="S721" t="s">
        <v>67</v>
      </c>
      <c r="T721" t="s">
        <v>4523</v>
      </c>
      <c r="U721" t="s">
        <v>4524</v>
      </c>
      <c r="V721">
        <v>16</v>
      </c>
      <c r="W721" s="2">
        <v>4.2217502048000002</v>
      </c>
    </row>
    <row r="722" spans="1:23" x14ac:dyDescent="0.25">
      <c r="A722" t="s">
        <v>31</v>
      </c>
      <c r="B722" t="s">
        <v>32</v>
      </c>
      <c r="C722" t="s">
        <v>33</v>
      </c>
      <c r="D722" t="s">
        <v>34</v>
      </c>
      <c r="E722" t="s">
        <v>35</v>
      </c>
      <c r="F722" t="s">
        <v>36</v>
      </c>
      <c r="G722">
        <v>1141685</v>
      </c>
      <c r="H722" t="s">
        <v>77</v>
      </c>
      <c r="I722" t="s">
        <v>96</v>
      </c>
      <c r="J722" t="s">
        <v>77</v>
      </c>
      <c r="K722" t="s">
        <v>113</v>
      </c>
      <c r="L722" s="1">
        <v>46143</v>
      </c>
      <c r="M722" s="1">
        <v>46173</v>
      </c>
      <c r="N722">
        <v>0.96919719500000001</v>
      </c>
      <c r="O722" t="s">
        <v>56</v>
      </c>
      <c r="P722" t="s">
        <v>63</v>
      </c>
      <c r="Q722" t="s">
        <v>3908</v>
      </c>
      <c r="R722" t="s">
        <v>3909</v>
      </c>
      <c r="S722" t="s">
        <v>67</v>
      </c>
      <c r="T722" t="s">
        <v>4525</v>
      </c>
      <c r="U722" t="s">
        <v>4526</v>
      </c>
      <c r="V722">
        <v>16</v>
      </c>
      <c r="W722" s="2">
        <v>169.08580552640001</v>
      </c>
    </row>
    <row r="723" spans="1:23" x14ac:dyDescent="0.25">
      <c r="A723" t="s">
        <v>31</v>
      </c>
      <c r="B723" t="s">
        <v>32</v>
      </c>
      <c r="C723" t="s">
        <v>33</v>
      </c>
      <c r="D723" t="s">
        <v>34</v>
      </c>
      <c r="E723" t="s">
        <v>35</v>
      </c>
      <c r="F723" t="s">
        <v>36</v>
      </c>
      <c r="G723">
        <v>1141685</v>
      </c>
      <c r="H723" t="s">
        <v>77</v>
      </c>
      <c r="I723" t="s">
        <v>96</v>
      </c>
      <c r="J723" t="s">
        <v>77</v>
      </c>
      <c r="K723" t="s">
        <v>113</v>
      </c>
      <c r="L723" s="1">
        <v>46143</v>
      </c>
      <c r="M723" s="1">
        <v>46173</v>
      </c>
      <c r="N723">
        <v>122.4880310651</v>
      </c>
      <c r="O723" t="s">
        <v>56</v>
      </c>
      <c r="P723" t="s">
        <v>63</v>
      </c>
      <c r="Q723" t="s">
        <v>3908</v>
      </c>
      <c r="R723" t="s">
        <v>3909</v>
      </c>
      <c r="S723" t="s">
        <v>67</v>
      </c>
      <c r="T723" t="s">
        <v>4527</v>
      </c>
      <c r="U723" t="s">
        <v>4528</v>
      </c>
      <c r="V723">
        <v>16</v>
      </c>
      <c r="W723" s="2">
        <v>21369.260471662001</v>
      </c>
    </row>
    <row r="724" spans="1:23" x14ac:dyDescent="0.25">
      <c r="A724" t="s">
        <v>31</v>
      </c>
      <c r="B724" t="s">
        <v>32</v>
      </c>
      <c r="C724" t="s">
        <v>33</v>
      </c>
      <c r="D724" t="s">
        <v>34</v>
      </c>
      <c r="E724" t="s">
        <v>35</v>
      </c>
      <c r="F724" t="s">
        <v>36</v>
      </c>
      <c r="G724">
        <v>1141685</v>
      </c>
      <c r="H724" t="s">
        <v>82</v>
      </c>
      <c r="I724" t="s">
        <v>82</v>
      </c>
      <c r="J724" t="s">
        <v>82</v>
      </c>
      <c r="K724" t="s">
        <v>118</v>
      </c>
      <c r="L724" s="1">
        <v>46143</v>
      </c>
      <c r="M724" s="1">
        <v>46173</v>
      </c>
      <c r="N724">
        <v>0.24990599999999999</v>
      </c>
      <c r="O724" t="s">
        <v>60</v>
      </c>
      <c r="P724" t="s">
        <v>63</v>
      </c>
      <c r="Q724" t="s">
        <v>3993</v>
      </c>
      <c r="R724" t="s">
        <v>147</v>
      </c>
      <c r="S724" t="s">
        <v>68</v>
      </c>
      <c r="T724" t="s">
        <v>4529</v>
      </c>
      <c r="U724" t="s">
        <v>4530</v>
      </c>
      <c r="V724">
        <v>6</v>
      </c>
      <c r="W724" s="2">
        <v>1743.940746752</v>
      </c>
    </row>
    <row r="725" spans="1:23" x14ac:dyDescent="0.25">
      <c r="A725" t="s">
        <v>31</v>
      </c>
      <c r="B725" t="s">
        <v>32</v>
      </c>
      <c r="C725" t="s">
        <v>33</v>
      </c>
      <c r="D725" t="s">
        <v>34</v>
      </c>
      <c r="E725" t="s">
        <v>35</v>
      </c>
      <c r="F725" t="s">
        <v>36</v>
      </c>
      <c r="G725">
        <v>1141685</v>
      </c>
      <c r="H725" t="s">
        <v>77</v>
      </c>
      <c r="I725" t="s">
        <v>96</v>
      </c>
      <c r="J725" t="s">
        <v>77</v>
      </c>
      <c r="K725" t="s">
        <v>113</v>
      </c>
      <c r="L725" s="1">
        <v>46143</v>
      </c>
      <c r="M725" s="1">
        <v>46173</v>
      </c>
      <c r="N725">
        <v>25.583243600100001</v>
      </c>
      <c r="O725" t="s">
        <v>56</v>
      </c>
      <c r="P725" t="s">
        <v>63</v>
      </c>
      <c r="Q725" t="s">
        <v>3904</v>
      </c>
      <c r="R725" t="s">
        <v>3905</v>
      </c>
      <c r="S725" t="s">
        <v>67</v>
      </c>
      <c r="T725" t="s">
        <v>4531</v>
      </c>
      <c r="U725" t="s">
        <v>4532</v>
      </c>
      <c r="V725">
        <v>16</v>
      </c>
      <c r="W725" s="2">
        <v>4463.2523570554986</v>
      </c>
    </row>
    <row r="726" spans="1:23" x14ac:dyDescent="0.25">
      <c r="A726" t="s">
        <v>31</v>
      </c>
      <c r="B726" t="s">
        <v>32</v>
      </c>
      <c r="C726" t="s">
        <v>33</v>
      </c>
      <c r="D726" t="s">
        <v>34</v>
      </c>
      <c r="E726" t="s">
        <v>35</v>
      </c>
      <c r="F726" t="s">
        <v>36</v>
      </c>
      <c r="G726">
        <v>1141685</v>
      </c>
      <c r="H726" t="s">
        <v>77</v>
      </c>
      <c r="I726" t="s">
        <v>96</v>
      </c>
      <c r="J726" t="s">
        <v>77</v>
      </c>
      <c r="K726" t="s">
        <v>113</v>
      </c>
      <c r="L726" s="1">
        <v>46143</v>
      </c>
      <c r="M726" s="1">
        <v>46173</v>
      </c>
      <c r="N726">
        <v>36.852324587299996</v>
      </c>
      <c r="O726" t="s">
        <v>56</v>
      </c>
      <c r="P726" t="s">
        <v>63</v>
      </c>
      <c r="Q726" t="s">
        <v>3904</v>
      </c>
      <c r="R726" t="s">
        <v>3905</v>
      </c>
      <c r="S726" t="s">
        <v>67</v>
      </c>
      <c r="T726" t="s">
        <v>4533</v>
      </c>
      <c r="U726" t="s">
        <v>4534</v>
      </c>
      <c r="V726">
        <v>16</v>
      </c>
      <c r="W726" s="2">
        <v>6429.2557617992006</v>
      </c>
    </row>
    <row r="727" spans="1:23" x14ac:dyDescent="0.25">
      <c r="A727" t="s">
        <v>31</v>
      </c>
      <c r="B727" t="s">
        <v>32</v>
      </c>
      <c r="C727" t="s">
        <v>33</v>
      </c>
      <c r="D727" t="s">
        <v>34</v>
      </c>
      <c r="E727" t="s">
        <v>35</v>
      </c>
      <c r="F727" t="s">
        <v>36</v>
      </c>
      <c r="G727">
        <v>1141685</v>
      </c>
      <c r="H727" t="s">
        <v>1351</v>
      </c>
      <c r="I727" t="s">
        <v>1353</v>
      </c>
      <c r="J727" t="s">
        <v>1351</v>
      </c>
      <c r="K727" t="s">
        <v>1356</v>
      </c>
      <c r="L727" s="1">
        <v>46143</v>
      </c>
      <c r="M727" s="1">
        <v>46173</v>
      </c>
      <c r="N727">
        <v>0.99729999999999996</v>
      </c>
      <c r="O727" t="s">
        <v>59</v>
      </c>
      <c r="P727" t="s">
        <v>63</v>
      </c>
      <c r="Q727" t="s">
        <v>3972</v>
      </c>
      <c r="R727" t="s">
        <v>4218</v>
      </c>
      <c r="S727" t="s">
        <v>68</v>
      </c>
      <c r="T727" t="s">
        <v>4535</v>
      </c>
      <c r="U727" t="s">
        <v>4536</v>
      </c>
      <c r="V727">
        <v>7</v>
      </c>
      <c r="W727" s="2">
        <v>450.63563307359999</v>
      </c>
    </row>
    <row r="728" spans="1:23" x14ac:dyDescent="0.25">
      <c r="A728" t="s">
        <v>31</v>
      </c>
      <c r="B728" t="s">
        <v>32</v>
      </c>
      <c r="C728" t="s">
        <v>33</v>
      </c>
      <c r="D728" t="s">
        <v>34</v>
      </c>
      <c r="E728" t="s">
        <v>35</v>
      </c>
      <c r="F728" t="s">
        <v>36</v>
      </c>
      <c r="G728">
        <v>1141685</v>
      </c>
      <c r="H728" t="s">
        <v>77</v>
      </c>
      <c r="I728" t="s">
        <v>96</v>
      </c>
      <c r="J728" t="s">
        <v>77</v>
      </c>
      <c r="K728" t="s">
        <v>111</v>
      </c>
      <c r="L728" s="1">
        <v>46143</v>
      </c>
      <c r="M728" s="1">
        <v>46173</v>
      </c>
      <c r="N728">
        <v>0.12992080950000001</v>
      </c>
      <c r="O728" t="s">
        <v>56</v>
      </c>
      <c r="P728" t="s">
        <v>63</v>
      </c>
      <c r="Q728" t="s">
        <v>3972</v>
      </c>
      <c r="R728" t="s">
        <v>4537</v>
      </c>
      <c r="S728" t="s">
        <v>67</v>
      </c>
      <c r="T728" t="s">
        <v>4538</v>
      </c>
      <c r="U728" t="s">
        <v>4539</v>
      </c>
      <c r="V728">
        <v>7</v>
      </c>
      <c r="W728" s="2">
        <v>22.6660662968</v>
      </c>
    </row>
    <row r="729" spans="1:23" x14ac:dyDescent="0.25">
      <c r="A729" t="s">
        <v>31</v>
      </c>
      <c r="B729" t="s">
        <v>32</v>
      </c>
      <c r="C729" t="s">
        <v>33</v>
      </c>
      <c r="D729" t="s">
        <v>34</v>
      </c>
      <c r="E729" t="s">
        <v>35</v>
      </c>
      <c r="F729" t="s">
        <v>36</v>
      </c>
      <c r="G729">
        <v>1141685</v>
      </c>
      <c r="H729" t="s">
        <v>77</v>
      </c>
      <c r="I729" t="s">
        <v>96</v>
      </c>
      <c r="J729" t="s">
        <v>77</v>
      </c>
      <c r="K729" t="s">
        <v>111</v>
      </c>
      <c r="L729" s="1">
        <v>46143</v>
      </c>
      <c r="M729" s="1">
        <v>46173</v>
      </c>
      <c r="N729">
        <v>0.46447099650000001</v>
      </c>
      <c r="O729" t="s">
        <v>56</v>
      </c>
      <c r="P729" t="s">
        <v>63</v>
      </c>
      <c r="Q729" t="s">
        <v>3993</v>
      </c>
      <c r="R729" t="s">
        <v>4540</v>
      </c>
      <c r="S729" t="s">
        <v>67</v>
      </c>
      <c r="T729" t="s">
        <v>4541</v>
      </c>
      <c r="U729" t="s">
        <v>4542</v>
      </c>
      <c r="V729">
        <v>6</v>
      </c>
      <c r="W729" s="2">
        <v>81.027816844900002</v>
      </c>
    </row>
    <row r="730" spans="1:23" x14ac:dyDescent="0.25">
      <c r="A730" t="s">
        <v>31</v>
      </c>
      <c r="B730" t="s">
        <v>32</v>
      </c>
      <c r="C730" t="s">
        <v>33</v>
      </c>
      <c r="D730" t="s">
        <v>34</v>
      </c>
      <c r="E730" t="s">
        <v>35</v>
      </c>
      <c r="F730" t="s">
        <v>36</v>
      </c>
      <c r="G730">
        <v>1141685</v>
      </c>
      <c r="H730" t="s">
        <v>77</v>
      </c>
      <c r="I730" t="s">
        <v>96</v>
      </c>
      <c r="J730" t="s">
        <v>77</v>
      </c>
      <c r="K730" t="s">
        <v>111</v>
      </c>
      <c r="L730" s="1">
        <v>46143</v>
      </c>
      <c r="M730" s="1">
        <v>46173</v>
      </c>
      <c r="N730">
        <v>1.0664480000000001E-4</v>
      </c>
      <c r="O730" t="s">
        <v>56</v>
      </c>
      <c r="P730" t="s">
        <v>63</v>
      </c>
      <c r="Q730" t="s">
        <v>3993</v>
      </c>
      <c r="R730" t="s">
        <v>4051</v>
      </c>
      <c r="S730" t="s">
        <v>67</v>
      </c>
      <c r="T730" t="s">
        <v>4543</v>
      </c>
      <c r="U730" t="s">
        <v>4544</v>
      </c>
      <c r="V730">
        <v>7</v>
      </c>
      <c r="W730" s="2">
        <v>1.63726238E-2</v>
      </c>
    </row>
    <row r="731" spans="1:23" x14ac:dyDescent="0.25">
      <c r="A731" t="s">
        <v>31</v>
      </c>
      <c r="B731" t="s">
        <v>32</v>
      </c>
      <c r="C731" t="s">
        <v>33</v>
      </c>
      <c r="D731" t="s">
        <v>34</v>
      </c>
      <c r="E731" t="s">
        <v>35</v>
      </c>
      <c r="F731" t="s">
        <v>36</v>
      </c>
      <c r="G731">
        <v>1141685</v>
      </c>
      <c r="H731" t="s">
        <v>4545</v>
      </c>
      <c r="I731" t="s">
        <v>97</v>
      </c>
      <c r="J731" t="s">
        <v>4545</v>
      </c>
      <c r="K731" t="s">
        <v>4546</v>
      </c>
      <c r="L731" s="1">
        <v>46143</v>
      </c>
      <c r="M731" s="1">
        <v>46173</v>
      </c>
      <c r="N731">
        <v>988</v>
      </c>
      <c r="O731" t="s">
        <v>57</v>
      </c>
      <c r="P731" t="s">
        <v>63</v>
      </c>
      <c r="Q731" t="s">
        <v>3936</v>
      </c>
      <c r="R731" t="s">
        <v>4547</v>
      </c>
      <c r="S731" t="s">
        <v>67</v>
      </c>
      <c r="T731" t="s">
        <v>4548</v>
      </c>
      <c r="U731" t="s">
        <v>4549</v>
      </c>
      <c r="V731">
        <v>6</v>
      </c>
      <c r="W731" s="2">
        <v>5200710.3854137603</v>
      </c>
    </row>
    <row r="732" spans="1:23" x14ac:dyDescent="0.25">
      <c r="A732" t="s">
        <v>31</v>
      </c>
      <c r="B732" t="s">
        <v>32</v>
      </c>
      <c r="C732" t="s">
        <v>33</v>
      </c>
      <c r="D732" t="s">
        <v>34</v>
      </c>
      <c r="E732" t="s">
        <v>35</v>
      </c>
      <c r="F732" t="s">
        <v>36</v>
      </c>
      <c r="G732">
        <v>1141685</v>
      </c>
      <c r="H732" t="s">
        <v>75</v>
      </c>
      <c r="I732" t="s">
        <v>94</v>
      </c>
      <c r="J732" t="s">
        <v>98</v>
      </c>
      <c r="K732" t="s">
        <v>108</v>
      </c>
      <c r="L732" s="1">
        <v>46143</v>
      </c>
      <c r="M732" s="1">
        <v>46173</v>
      </c>
      <c r="N732">
        <v>1.517158E-2</v>
      </c>
      <c r="O732" t="s">
        <v>56</v>
      </c>
      <c r="P732" t="s">
        <v>63</v>
      </c>
      <c r="Q732" t="s">
        <v>3908</v>
      </c>
      <c r="R732" t="s">
        <v>3909</v>
      </c>
      <c r="S732" t="s">
        <v>67</v>
      </c>
      <c r="T732" t="s">
        <v>4550</v>
      </c>
      <c r="U732" t="s">
        <v>4551</v>
      </c>
      <c r="V732">
        <v>16</v>
      </c>
      <c r="W732" s="2">
        <v>31.760565451800002</v>
      </c>
    </row>
    <row r="733" spans="1:23" x14ac:dyDescent="0.25">
      <c r="A733" t="s">
        <v>31</v>
      </c>
      <c r="B733" t="s">
        <v>32</v>
      </c>
      <c r="C733" t="s">
        <v>33</v>
      </c>
      <c r="D733" t="s">
        <v>34</v>
      </c>
      <c r="E733" t="s">
        <v>35</v>
      </c>
      <c r="F733" t="s">
        <v>36</v>
      </c>
      <c r="G733">
        <v>1141685</v>
      </c>
      <c r="H733" t="s">
        <v>75</v>
      </c>
      <c r="I733" t="s">
        <v>94</v>
      </c>
      <c r="J733" t="s">
        <v>98</v>
      </c>
      <c r="K733" t="s">
        <v>108</v>
      </c>
      <c r="L733" s="1">
        <v>46143</v>
      </c>
      <c r="M733" s="1">
        <v>46173</v>
      </c>
      <c r="N733">
        <v>3.0472900000000001E-5</v>
      </c>
      <c r="O733" t="s">
        <v>56</v>
      </c>
      <c r="P733" t="s">
        <v>63</v>
      </c>
      <c r="Q733" t="s">
        <v>3908</v>
      </c>
      <c r="R733" t="s">
        <v>3909</v>
      </c>
      <c r="S733" t="s">
        <v>67</v>
      </c>
      <c r="T733" t="s">
        <v>4552</v>
      </c>
      <c r="U733" t="s">
        <v>4553</v>
      </c>
      <c r="V733">
        <v>16</v>
      </c>
      <c r="W733" s="2">
        <v>6.6140103800000002E-2</v>
      </c>
    </row>
    <row r="734" spans="1:23" x14ac:dyDescent="0.25">
      <c r="A734" t="s">
        <v>31</v>
      </c>
      <c r="B734" t="s">
        <v>32</v>
      </c>
      <c r="C734" t="s">
        <v>33</v>
      </c>
      <c r="D734" t="s">
        <v>34</v>
      </c>
      <c r="E734" t="s">
        <v>35</v>
      </c>
      <c r="F734" t="s">
        <v>36</v>
      </c>
      <c r="G734">
        <v>1141685</v>
      </c>
      <c r="H734" t="s">
        <v>75</v>
      </c>
      <c r="I734" t="s">
        <v>94</v>
      </c>
      <c r="J734" t="s">
        <v>98</v>
      </c>
      <c r="K734" t="s">
        <v>108</v>
      </c>
      <c r="L734" s="1">
        <v>46143</v>
      </c>
      <c r="M734" s="1">
        <v>46173</v>
      </c>
      <c r="N734">
        <v>5.7595344000000003E-3</v>
      </c>
      <c r="O734" t="s">
        <v>56</v>
      </c>
      <c r="P734" t="s">
        <v>63</v>
      </c>
      <c r="Q734" t="s">
        <v>3900</v>
      </c>
      <c r="R734" t="s">
        <v>3958</v>
      </c>
      <c r="S734" t="s">
        <v>67</v>
      </c>
      <c r="T734" t="s">
        <v>4554</v>
      </c>
      <c r="U734" t="s">
        <v>4555</v>
      </c>
      <c r="V734">
        <v>16</v>
      </c>
      <c r="W734" s="2">
        <v>12.060776449900001</v>
      </c>
    </row>
    <row r="735" spans="1:23" x14ac:dyDescent="0.25">
      <c r="A735" t="s">
        <v>31</v>
      </c>
      <c r="B735" t="s">
        <v>32</v>
      </c>
      <c r="C735" t="s">
        <v>33</v>
      </c>
      <c r="D735" t="s">
        <v>34</v>
      </c>
      <c r="E735" t="s">
        <v>35</v>
      </c>
      <c r="F735" t="s">
        <v>36</v>
      </c>
      <c r="G735">
        <v>1141685</v>
      </c>
      <c r="H735" t="s">
        <v>75</v>
      </c>
      <c r="I735" t="s">
        <v>94</v>
      </c>
      <c r="J735" t="s">
        <v>98</v>
      </c>
      <c r="K735" t="s">
        <v>108</v>
      </c>
      <c r="L735" s="1">
        <v>46143</v>
      </c>
      <c r="M735" s="1">
        <v>46173</v>
      </c>
      <c r="N735">
        <v>1.2252222700000001E-2</v>
      </c>
      <c r="O735" t="s">
        <v>56</v>
      </c>
      <c r="P735" t="s">
        <v>63</v>
      </c>
      <c r="Q735" t="s">
        <v>3900</v>
      </c>
      <c r="R735" t="s">
        <v>3958</v>
      </c>
      <c r="S735" t="s">
        <v>67</v>
      </c>
      <c r="T735" t="s">
        <v>4556</v>
      </c>
      <c r="U735" t="s">
        <v>4557</v>
      </c>
      <c r="V735">
        <v>16</v>
      </c>
      <c r="W735" s="2">
        <v>24.389901269500001</v>
      </c>
    </row>
    <row r="736" spans="1:23" x14ac:dyDescent="0.25">
      <c r="A736" t="s">
        <v>31</v>
      </c>
      <c r="B736" t="s">
        <v>32</v>
      </c>
      <c r="C736" t="s">
        <v>33</v>
      </c>
      <c r="D736" t="s">
        <v>34</v>
      </c>
      <c r="E736" t="s">
        <v>35</v>
      </c>
      <c r="F736" t="s">
        <v>36</v>
      </c>
      <c r="G736">
        <v>1141685</v>
      </c>
      <c r="H736" t="s">
        <v>75</v>
      </c>
      <c r="I736" t="s">
        <v>94</v>
      </c>
      <c r="J736" t="s">
        <v>98</v>
      </c>
      <c r="K736" t="s">
        <v>108</v>
      </c>
      <c r="L736" s="1">
        <v>46143</v>
      </c>
      <c r="M736" s="1">
        <v>46173</v>
      </c>
      <c r="N736">
        <v>6.3562113999999998E-3</v>
      </c>
      <c r="O736" t="s">
        <v>56</v>
      </c>
      <c r="P736" t="s">
        <v>63</v>
      </c>
      <c r="Q736" t="s">
        <v>3900</v>
      </c>
      <c r="R736" t="s">
        <v>3963</v>
      </c>
      <c r="S736" t="s">
        <v>67</v>
      </c>
      <c r="T736" t="s">
        <v>4558</v>
      </c>
      <c r="U736" t="s">
        <v>4559</v>
      </c>
      <c r="V736">
        <v>16</v>
      </c>
      <c r="W736" s="2">
        <v>13.3100329687</v>
      </c>
    </row>
    <row r="737" spans="1:23" x14ac:dyDescent="0.25">
      <c r="A737" t="s">
        <v>31</v>
      </c>
      <c r="B737" t="s">
        <v>32</v>
      </c>
      <c r="C737" t="s">
        <v>33</v>
      </c>
      <c r="D737" t="s">
        <v>34</v>
      </c>
      <c r="E737" t="s">
        <v>35</v>
      </c>
      <c r="F737" t="s">
        <v>36</v>
      </c>
      <c r="G737">
        <v>1141685</v>
      </c>
      <c r="H737" t="s">
        <v>78</v>
      </c>
      <c r="I737" t="s">
        <v>96</v>
      </c>
      <c r="J737" t="s">
        <v>100</v>
      </c>
      <c r="K737" t="s">
        <v>112</v>
      </c>
      <c r="L737" s="1">
        <v>46143</v>
      </c>
      <c r="M737" s="1">
        <v>46173</v>
      </c>
      <c r="N737">
        <v>744</v>
      </c>
      <c r="O737" t="s">
        <v>58</v>
      </c>
      <c r="P737" t="s">
        <v>63</v>
      </c>
      <c r="Q737" t="s">
        <v>3904</v>
      </c>
      <c r="R737" t="s">
        <v>4560</v>
      </c>
      <c r="S737" t="s">
        <v>67</v>
      </c>
      <c r="T737" t="s">
        <v>4561</v>
      </c>
      <c r="U737" t="s">
        <v>4562</v>
      </c>
      <c r="V737">
        <v>13</v>
      </c>
      <c r="W737" s="2">
        <v>64899.115599999997</v>
      </c>
    </row>
    <row r="738" spans="1:23" x14ac:dyDescent="0.25">
      <c r="A738" t="s">
        <v>31</v>
      </c>
      <c r="B738" t="s">
        <v>32</v>
      </c>
      <c r="C738" t="s">
        <v>33</v>
      </c>
      <c r="D738" t="s">
        <v>34</v>
      </c>
      <c r="E738" t="s">
        <v>35</v>
      </c>
      <c r="F738" t="s">
        <v>36</v>
      </c>
      <c r="G738">
        <v>1141685</v>
      </c>
      <c r="H738" t="s">
        <v>91</v>
      </c>
      <c r="I738" t="s">
        <v>95</v>
      </c>
      <c r="J738" t="s">
        <v>106</v>
      </c>
      <c r="K738" t="s">
        <v>129</v>
      </c>
      <c r="L738" s="1">
        <v>46143</v>
      </c>
      <c r="M738" s="1">
        <v>46173</v>
      </c>
      <c r="N738">
        <v>360</v>
      </c>
      <c r="O738" t="s">
        <v>58</v>
      </c>
      <c r="P738" t="s">
        <v>63</v>
      </c>
      <c r="Q738" t="s">
        <v>4037</v>
      </c>
      <c r="R738" t="s">
        <v>4563</v>
      </c>
      <c r="S738" t="s">
        <v>67</v>
      </c>
      <c r="T738" t="s">
        <v>4564</v>
      </c>
      <c r="U738" t="s">
        <v>4565</v>
      </c>
      <c r="V738">
        <v>8</v>
      </c>
      <c r="W738" s="2">
        <v>785070</v>
      </c>
    </row>
    <row r="739" spans="1:23" x14ac:dyDescent="0.25">
      <c r="A739" t="s">
        <v>31</v>
      </c>
      <c r="B739" t="s">
        <v>32</v>
      </c>
      <c r="C739" t="s">
        <v>33</v>
      </c>
      <c r="D739" t="s">
        <v>34</v>
      </c>
      <c r="E739" t="s">
        <v>35</v>
      </c>
      <c r="F739" t="s">
        <v>36</v>
      </c>
      <c r="G739">
        <v>1141685</v>
      </c>
      <c r="H739" t="s">
        <v>75</v>
      </c>
      <c r="I739" t="s">
        <v>94</v>
      </c>
      <c r="J739" t="s">
        <v>98</v>
      </c>
      <c r="K739" t="s">
        <v>108</v>
      </c>
      <c r="L739" s="1">
        <v>46143</v>
      </c>
      <c r="M739" s="1">
        <v>46173</v>
      </c>
      <c r="N739">
        <v>1.08462E-5</v>
      </c>
      <c r="O739" t="s">
        <v>56</v>
      </c>
      <c r="P739" t="s">
        <v>63</v>
      </c>
      <c r="Q739" t="s">
        <v>3908</v>
      </c>
      <c r="R739" t="s">
        <v>3909</v>
      </c>
      <c r="S739" t="s">
        <v>67</v>
      </c>
      <c r="T739" t="s">
        <v>4566</v>
      </c>
      <c r="U739" t="s">
        <v>4567</v>
      </c>
      <c r="V739">
        <v>16</v>
      </c>
      <c r="W739" s="2">
        <v>1.99818963E-2</v>
      </c>
    </row>
    <row r="740" spans="1:23" x14ac:dyDescent="0.25">
      <c r="A740" t="s">
        <v>31</v>
      </c>
      <c r="B740" t="s">
        <v>32</v>
      </c>
      <c r="C740" t="s">
        <v>33</v>
      </c>
      <c r="D740" t="s">
        <v>34</v>
      </c>
      <c r="E740" t="s">
        <v>35</v>
      </c>
      <c r="F740" t="s">
        <v>36</v>
      </c>
      <c r="G740">
        <v>1141685</v>
      </c>
      <c r="H740" t="s">
        <v>75</v>
      </c>
      <c r="I740" t="s">
        <v>94</v>
      </c>
      <c r="J740" t="s">
        <v>98</v>
      </c>
      <c r="K740" t="s">
        <v>108</v>
      </c>
      <c r="L740" s="1">
        <v>46143</v>
      </c>
      <c r="M740" s="1">
        <v>46173</v>
      </c>
      <c r="N740">
        <v>1.50804576E-2</v>
      </c>
      <c r="O740" t="s">
        <v>56</v>
      </c>
      <c r="P740" t="s">
        <v>63</v>
      </c>
      <c r="Q740" t="s">
        <v>3908</v>
      </c>
      <c r="R740" t="s">
        <v>3954</v>
      </c>
      <c r="S740" t="s">
        <v>67</v>
      </c>
      <c r="T740" t="s">
        <v>4568</v>
      </c>
      <c r="U740" t="s">
        <v>4569</v>
      </c>
      <c r="V740">
        <v>16</v>
      </c>
      <c r="W740" s="2">
        <v>29.88839411</v>
      </c>
    </row>
    <row r="741" spans="1:23" x14ac:dyDescent="0.25">
      <c r="A741" t="s">
        <v>31</v>
      </c>
      <c r="B741" t="s">
        <v>32</v>
      </c>
      <c r="C741" t="s">
        <v>33</v>
      </c>
      <c r="D741" t="s">
        <v>34</v>
      </c>
      <c r="E741" t="s">
        <v>35</v>
      </c>
      <c r="F741" t="s">
        <v>36</v>
      </c>
      <c r="G741">
        <v>1141685</v>
      </c>
      <c r="H741" t="s">
        <v>75</v>
      </c>
      <c r="I741" t="s">
        <v>94</v>
      </c>
      <c r="J741" t="s">
        <v>98</v>
      </c>
      <c r="K741" t="s">
        <v>108</v>
      </c>
      <c r="L741" s="1">
        <v>46143</v>
      </c>
      <c r="M741" s="1">
        <v>46173</v>
      </c>
      <c r="N741">
        <v>0.33278410600000002</v>
      </c>
      <c r="O741" t="s">
        <v>56</v>
      </c>
      <c r="P741" t="s">
        <v>63</v>
      </c>
      <c r="Q741" t="s">
        <v>3908</v>
      </c>
      <c r="R741" t="s">
        <v>3909</v>
      </c>
      <c r="S741" t="s">
        <v>67</v>
      </c>
      <c r="T741" t="s">
        <v>4570</v>
      </c>
      <c r="U741" t="s">
        <v>4571</v>
      </c>
      <c r="V741">
        <v>16</v>
      </c>
      <c r="W741" s="2">
        <v>696.68735984370005</v>
      </c>
    </row>
    <row r="742" spans="1:23" x14ac:dyDescent="0.25">
      <c r="A742" t="s">
        <v>31</v>
      </c>
      <c r="B742" t="s">
        <v>32</v>
      </c>
      <c r="C742" t="s">
        <v>33</v>
      </c>
      <c r="D742" t="s">
        <v>34</v>
      </c>
      <c r="E742" t="s">
        <v>35</v>
      </c>
      <c r="F742" t="s">
        <v>36</v>
      </c>
      <c r="G742">
        <v>1141685</v>
      </c>
      <c r="H742" t="s">
        <v>75</v>
      </c>
      <c r="I742" t="s">
        <v>94</v>
      </c>
      <c r="J742" t="s">
        <v>98</v>
      </c>
      <c r="K742" t="s">
        <v>108</v>
      </c>
      <c r="L742" s="1">
        <v>46143</v>
      </c>
      <c r="M742" s="1">
        <v>46173</v>
      </c>
      <c r="N742">
        <v>0.425133286</v>
      </c>
      <c r="O742" t="s">
        <v>56</v>
      </c>
      <c r="P742" t="s">
        <v>63</v>
      </c>
      <c r="Q742" t="s">
        <v>3908</v>
      </c>
      <c r="R742" t="s">
        <v>3909</v>
      </c>
      <c r="S742" t="s">
        <v>67</v>
      </c>
      <c r="T742" t="s">
        <v>4572</v>
      </c>
      <c r="U742" t="s">
        <v>4573</v>
      </c>
      <c r="V742">
        <v>16</v>
      </c>
      <c r="W742" s="2">
        <v>890.02203255699999</v>
      </c>
    </row>
    <row r="743" spans="1:23" x14ac:dyDescent="0.25">
      <c r="A743" t="s">
        <v>31</v>
      </c>
      <c r="B743" t="s">
        <v>32</v>
      </c>
      <c r="C743" t="s">
        <v>33</v>
      </c>
      <c r="D743" t="s">
        <v>34</v>
      </c>
      <c r="E743" t="s">
        <v>35</v>
      </c>
      <c r="F743" t="s">
        <v>36</v>
      </c>
      <c r="G743">
        <v>1141685</v>
      </c>
      <c r="H743" t="s">
        <v>75</v>
      </c>
      <c r="I743" t="s">
        <v>94</v>
      </c>
      <c r="J743" t="s">
        <v>98</v>
      </c>
      <c r="K743" t="s">
        <v>108</v>
      </c>
      <c r="L743" s="1">
        <v>46143</v>
      </c>
      <c r="M743" s="1">
        <v>46173</v>
      </c>
      <c r="N743">
        <v>6.7524565000000002E-3</v>
      </c>
      <c r="O743" t="s">
        <v>56</v>
      </c>
      <c r="P743" t="s">
        <v>63</v>
      </c>
      <c r="Q743" t="s">
        <v>3908</v>
      </c>
      <c r="R743" t="s">
        <v>3909</v>
      </c>
      <c r="S743" t="s">
        <v>67</v>
      </c>
      <c r="T743" t="s">
        <v>4574</v>
      </c>
      <c r="U743" t="s">
        <v>4575</v>
      </c>
      <c r="V743">
        <v>16</v>
      </c>
      <c r="W743" s="2">
        <v>14.140034474</v>
      </c>
    </row>
    <row r="744" spans="1:23" x14ac:dyDescent="0.25">
      <c r="A744" t="s">
        <v>31</v>
      </c>
      <c r="B744" t="s">
        <v>32</v>
      </c>
      <c r="C744" t="s">
        <v>33</v>
      </c>
      <c r="D744" t="s">
        <v>34</v>
      </c>
      <c r="E744" t="s">
        <v>35</v>
      </c>
      <c r="F744" t="s">
        <v>36</v>
      </c>
      <c r="G744">
        <v>1141685</v>
      </c>
      <c r="H744" t="s">
        <v>78</v>
      </c>
      <c r="I744" t="s">
        <v>96</v>
      </c>
      <c r="J744" t="s">
        <v>100</v>
      </c>
      <c r="K744" t="s">
        <v>112</v>
      </c>
      <c r="L744" s="1">
        <v>46143</v>
      </c>
      <c r="M744" s="1">
        <v>46173</v>
      </c>
      <c r="N744">
        <v>153</v>
      </c>
      <c r="O744" t="s">
        <v>58</v>
      </c>
      <c r="P744" t="s">
        <v>63</v>
      </c>
      <c r="Q744" t="s">
        <v>3972</v>
      </c>
      <c r="R744" t="s">
        <v>4576</v>
      </c>
      <c r="S744" t="s">
        <v>67</v>
      </c>
      <c r="T744" t="s">
        <v>4577</v>
      </c>
      <c r="U744" t="s">
        <v>4578</v>
      </c>
      <c r="V744">
        <v>6</v>
      </c>
      <c r="W744" s="2">
        <v>13346.1872</v>
      </c>
    </row>
    <row r="745" spans="1:23" x14ac:dyDescent="0.25">
      <c r="A745" t="s">
        <v>31</v>
      </c>
      <c r="B745" t="s">
        <v>32</v>
      </c>
      <c r="C745" t="s">
        <v>33</v>
      </c>
      <c r="D745" t="s">
        <v>34</v>
      </c>
      <c r="E745" t="s">
        <v>35</v>
      </c>
      <c r="F745" t="s">
        <v>36</v>
      </c>
      <c r="G745">
        <v>1141685</v>
      </c>
      <c r="H745" t="s">
        <v>4579</v>
      </c>
      <c r="I745" t="s">
        <v>42</v>
      </c>
      <c r="J745" t="s">
        <v>4579</v>
      </c>
      <c r="K745" t="s">
        <v>4580</v>
      </c>
      <c r="L745" s="1">
        <v>46143</v>
      </c>
      <c r="M745" s="1">
        <v>46173</v>
      </c>
      <c r="N745">
        <v>0.46500000000000002</v>
      </c>
      <c r="O745" t="s">
        <v>59</v>
      </c>
      <c r="P745" t="s">
        <v>63</v>
      </c>
      <c r="Q745" t="s">
        <v>3916</v>
      </c>
      <c r="R745" t="s">
        <v>4190</v>
      </c>
      <c r="S745" t="s">
        <v>67</v>
      </c>
      <c r="T745" t="s">
        <v>4581</v>
      </c>
      <c r="U745" t="s">
        <v>4582</v>
      </c>
      <c r="V745">
        <v>6</v>
      </c>
      <c r="W745" s="2">
        <v>32.445612799999999</v>
      </c>
    </row>
    <row r="746" spans="1:23" x14ac:dyDescent="0.25">
      <c r="A746" t="s">
        <v>31</v>
      </c>
      <c r="B746" t="s">
        <v>32</v>
      </c>
      <c r="C746" t="s">
        <v>33</v>
      </c>
      <c r="D746" t="s">
        <v>34</v>
      </c>
      <c r="E746" t="s">
        <v>35</v>
      </c>
      <c r="F746" t="s">
        <v>36</v>
      </c>
      <c r="G746">
        <v>1141685</v>
      </c>
      <c r="H746" t="s">
        <v>4188</v>
      </c>
      <c r="I746" t="s">
        <v>42</v>
      </c>
      <c r="J746" t="s">
        <v>4188</v>
      </c>
      <c r="K746" t="s">
        <v>4583</v>
      </c>
      <c r="L746" s="1">
        <v>46143</v>
      </c>
      <c r="M746" s="1">
        <v>46173</v>
      </c>
      <c r="N746">
        <v>2.9999999999999997E-4</v>
      </c>
      <c r="O746" t="s">
        <v>59</v>
      </c>
      <c r="P746" t="s">
        <v>63</v>
      </c>
      <c r="Q746" t="s">
        <v>3936</v>
      </c>
      <c r="R746" t="s">
        <v>3937</v>
      </c>
      <c r="S746" t="s">
        <v>67</v>
      </c>
      <c r="T746" t="s">
        <v>4584</v>
      </c>
      <c r="U746" t="s">
        <v>4585</v>
      </c>
      <c r="V746">
        <v>8</v>
      </c>
      <c r="W746" s="2">
        <v>1.6580678000000001E-3</v>
      </c>
    </row>
    <row r="747" spans="1:23" x14ac:dyDescent="0.25">
      <c r="A747" t="s">
        <v>31</v>
      </c>
      <c r="B747" t="s">
        <v>32</v>
      </c>
      <c r="C747" t="s">
        <v>33</v>
      </c>
      <c r="D747" t="s">
        <v>34</v>
      </c>
      <c r="E747" t="s">
        <v>35</v>
      </c>
      <c r="F747" t="s">
        <v>36</v>
      </c>
      <c r="G747">
        <v>1141685</v>
      </c>
      <c r="H747" t="s">
        <v>75</v>
      </c>
      <c r="I747" t="s">
        <v>94</v>
      </c>
      <c r="J747" t="s">
        <v>98</v>
      </c>
      <c r="K747" t="s">
        <v>108</v>
      </c>
      <c r="L747" s="1">
        <v>46143</v>
      </c>
      <c r="M747" s="1">
        <v>46173</v>
      </c>
      <c r="N747">
        <v>1.0974897136999999</v>
      </c>
      <c r="O747" t="s">
        <v>56</v>
      </c>
      <c r="P747" t="s">
        <v>63</v>
      </c>
      <c r="Q747" t="s">
        <v>3908</v>
      </c>
      <c r="R747" t="s">
        <v>3909</v>
      </c>
      <c r="S747" t="s">
        <v>67</v>
      </c>
      <c r="T747" t="s">
        <v>4586</v>
      </c>
      <c r="U747" t="s">
        <v>4587</v>
      </c>
      <c r="V747">
        <v>16</v>
      </c>
      <c r="W747" s="2">
        <v>2297.6126655562998</v>
      </c>
    </row>
    <row r="748" spans="1:23" x14ac:dyDescent="0.25">
      <c r="A748" t="s">
        <v>31</v>
      </c>
      <c r="B748" t="s">
        <v>32</v>
      </c>
      <c r="C748" t="s">
        <v>33</v>
      </c>
      <c r="D748" t="s">
        <v>34</v>
      </c>
      <c r="E748" t="s">
        <v>35</v>
      </c>
      <c r="F748" t="s">
        <v>36</v>
      </c>
      <c r="G748">
        <v>1141685</v>
      </c>
      <c r="H748" t="s">
        <v>75</v>
      </c>
      <c r="I748" t="s">
        <v>94</v>
      </c>
      <c r="J748" t="s">
        <v>98</v>
      </c>
      <c r="K748" t="s">
        <v>108</v>
      </c>
      <c r="L748" s="1">
        <v>46143</v>
      </c>
      <c r="M748" s="1">
        <v>46173</v>
      </c>
      <c r="N748">
        <v>5.4035E-6</v>
      </c>
      <c r="O748" t="s">
        <v>56</v>
      </c>
      <c r="P748" t="s">
        <v>63</v>
      </c>
      <c r="Q748" t="s">
        <v>3908</v>
      </c>
      <c r="R748" t="s">
        <v>3909</v>
      </c>
      <c r="S748" t="s">
        <v>67</v>
      </c>
      <c r="T748" t="s">
        <v>4588</v>
      </c>
      <c r="U748" t="s">
        <v>4589</v>
      </c>
      <c r="V748">
        <v>16</v>
      </c>
      <c r="W748" s="2">
        <v>9.9549168999999993E-3</v>
      </c>
    </row>
    <row r="749" spans="1:23" x14ac:dyDescent="0.25">
      <c r="A749" t="s">
        <v>31</v>
      </c>
      <c r="B749" t="s">
        <v>32</v>
      </c>
      <c r="C749" t="s">
        <v>33</v>
      </c>
      <c r="D749" t="s">
        <v>34</v>
      </c>
      <c r="E749" t="s">
        <v>35</v>
      </c>
      <c r="F749" t="s">
        <v>36</v>
      </c>
      <c r="G749">
        <v>1141685</v>
      </c>
      <c r="H749" t="s">
        <v>4188</v>
      </c>
      <c r="I749" t="s">
        <v>42</v>
      </c>
      <c r="J749" t="s">
        <v>4188</v>
      </c>
      <c r="K749" t="s">
        <v>1671</v>
      </c>
      <c r="L749" s="1">
        <v>46143</v>
      </c>
      <c r="M749" s="1">
        <v>46173</v>
      </c>
      <c r="N749">
        <v>3.5712000000000001E-2</v>
      </c>
      <c r="O749" t="s">
        <v>57</v>
      </c>
      <c r="P749" t="s">
        <v>63</v>
      </c>
      <c r="Q749" t="s">
        <v>3936</v>
      </c>
      <c r="R749" t="s">
        <v>4590</v>
      </c>
      <c r="S749" t="s">
        <v>67</v>
      </c>
      <c r="T749" t="s">
        <v>4591</v>
      </c>
      <c r="U749" t="s">
        <v>4592</v>
      </c>
      <c r="V749">
        <v>8</v>
      </c>
      <c r="W749" s="2">
        <v>28.0320494592</v>
      </c>
    </row>
    <row r="750" spans="1:23" x14ac:dyDescent="0.25">
      <c r="A750" t="s">
        <v>31</v>
      </c>
      <c r="B750" t="s">
        <v>32</v>
      </c>
      <c r="C750" t="s">
        <v>33</v>
      </c>
      <c r="D750" t="s">
        <v>34</v>
      </c>
      <c r="E750" t="s">
        <v>35</v>
      </c>
      <c r="F750" t="s">
        <v>36</v>
      </c>
      <c r="G750">
        <v>1141685</v>
      </c>
      <c r="H750" t="s">
        <v>75</v>
      </c>
      <c r="I750" t="s">
        <v>94</v>
      </c>
      <c r="J750" t="s">
        <v>98</v>
      </c>
      <c r="K750" t="s">
        <v>108</v>
      </c>
      <c r="L750" s="1">
        <v>46143</v>
      </c>
      <c r="M750" s="1">
        <v>46173</v>
      </c>
      <c r="N750">
        <v>2.58886069E-2</v>
      </c>
      <c r="O750" t="s">
        <v>56</v>
      </c>
      <c r="P750" t="s">
        <v>63</v>
      </c>
      <c r="Q750" t="s">
        <v>3908</v>
      </c>
      <c r="R750" t="s">
        <v>3909</v>
      </c>
      <c r="S750" t="s">
        <v>67</v>
      </c>
      <c r="T750" t="s">
        <v>4593</v>
      </c>
      <c r="U750" t="s">
        <v>4594</v>
      </c>
      <c r="V750">
        <v>16</v>
      </c>
      <c r="W750" s="2">
        <v>52.175390094599997</v>
      </c>
    </row>
    <row r="751" spans="1:23" x14ac:dyDescent="0.25">
      <c r="A751" t="s">
        <v>31</v>
      </c>
      <c r="B751" t="s">
        <v>32</v>
      </c>
      <c r="C751" t="s">
        <v>33</v>
      </c>
      <c r="D751" t="s">
        <v>34</v>
      </c>
      <c r="E751" t="s">
        <v>35</v>
      </c>
      <c r="F751" t="s">
        <v>36</v>
      </c>
      <c r="G751">
        <v>1141685</v>
      </c>
      <c r="H751" t="s">
        <v>75</v>
      </c>
      <c r="I751" t="s">
        <v>94</v>
      </c>
      <c r="J751" t="s">
        <v>98</v>
      </c>
      <c r="K751" t="s">
        <v>108</v>
      </c>
      <c r="L751" s="1">
        <v>46143</v>
      </c>
      <c r="M751" s="1">
        <v>46173</v>
      </c>
      <c r="N751">
        <v>1.4297760000000001E-4</v>
      </c>
      <c r="O751" t="s">
        <v>56</v>
      </c>
      <c r="P751" t="s">
        <v>63</v>
      </c>
      <c r="Q751" t="s">
        <v>3908</v>
      </c>
      <c r="R751" t="s">
        <v>3909</v>
      </c>
      <c r="S751" t="s">
        <v>67</v>
      </c>
      <c r="T751" t="s">
        <v>4595</v>
      </c>
      <c r="U751" t="s">
        <v>4596</v>
      </c>
      <c r="V751">
        <v>16</v>
      </c>
      <c r="W751" s="2">
        <v>0.30340723949999998</v>
      </c>
    </row>
    <row r="752" spans="1:23" x14ac:dyDescent="0.25">
      <c r="A752" t="s">
        <v>31</v>
      </c>
      <c r="B752" t="s">
        <v>32</v>
      </c>
      <c r="C752" t="s">
        <v>33</v>
      </c>
      <c r="D752" t="s">
        <v>34</v>
      </c>
      <c r="E752" t="s">
        <v>35</v>
      </c>
      <c r="F752" t="s">
        <v>36</v>
      </c>
      <c r="G752">
        <v>1141685</v>
      </c>
      <c r="H752" t="s">
        <v>75</v>
      </c>
      <c r="I752" t="s">
        <v>94</v>
      </c>
      <c r="J752" t="s">
        <v>98</v>
      </c>
      <c r="K752" t="s">
        <v>108</v>
      </c>
      <c r="L752" s="1">
        <v>46143</v>
      </c>
      <c r="M752" s="1">
        <v>46173</v>
      </c>
      <c r="N752">
        <v>5.4391569999999998E-4</v>
      </c>
      <c r="O752" t="s">
        <v>56</v>
      </c>
      <c r="P752" t="s">
        <v>63</v>
      </c>
      <c r="Q752" t="s">
        <v>3908</v>
      </c>
      <c r="R752" t="s">
        <v>3909</v>
      </c>
      <c r="S752" t="s">
        <v>67</v>
      </c>
      <c r="T752" t="s">
        <v>4597</v>
      </c>
      <c r="U752" t="s">
        <v>4598</v>
      </c>
      <c r="V752">
        <v>16</v>
      </c>
      <c r="W752" s="2">
        <v>1.1420545271</v>
      </c>
    </row>
    <row r="753" spans="1:23" x14ac:dyDescent="0.25">
      <c r="A753" t="s">
        <v>31</v>
      </c>
      <c r="B753" t="s">
        <v>32</v>
      </c>
      <c r="C753" t="s">
        <v>33</v>
      </c>
      <c r="D753" t="s">
        <v>34</v>
      </c>
      <c r="E753" t="s">
        <v>35</v>
      </c>
      <c r="F753" t="s">
        <v>36</v>
      </c>
      <c r="G753">
        <v>1141685</v>
      </c>
      <c r="H753" t="s">
        <v>75</v>
      </c>
      <c r="I753" t="s">
        <v>94</v>
      </c>
      <c r="J753" t="s">
        <v>98</v>
      </c>
      <c r="K753" t="s">
        <v>108</v>
      </c>
      <c r="L753" s="1">
        <v>46143</v>
      </c>
      <c r="M753" s="1">
        <v>46173</v>
      </c>
      <c r="N753">
        <v>6.1500000000000001E-8</v>
      </c>
      <c r="O753" t="s">
        <v>56</v>
      </c>
      <c r="P753" t="s">
        <v>63</v>
      </c>
      <c r="Q753" t="s">
        <v>3908</v>
      </c>
      <c r="R753" t="s">
        <v>3909</v>
      </c>
      <c r="S753" t="s">
        <v>67</v>
      </c>
      <c r="T753" t="s">
        <v>3944</v>
      </c>
      <c r="U753" t="s">
        <v>3945</v>
      </c>
      <c r="V753">
        <v>16</v>
      </c>
      <c r="W753" s="2">
        <v>1.13241E-4</v>
      </c>
    </row>
    <row r="754" spans="1:23" x14ac:dyDescent="0.25">
      <c r="A754" t="s">
        <v>31</v>
      </c>
      <c r="B754" t="s">
        <v>32</v>
      </c>
      <c r="C754" t="s">
        <v>33</v>
      </c>
      <c r="D754" t="s">
        <v>34</v>
      </c>
      <c r="E754" t="s">
        <v>35</v>
      </c>
      <c r="F754" t="s">
        <v>36</v>
      </c>
      <c r="G754">
        <v>1141685</v>
      </c>
      <c r="H754" t="s">
        <v>38</v>
      </c>
      <c r="I754" t="s">
        <v>38</v>
      </c>
      <c r="J754" t="s">
        <v>38</v>
      </c>
      <c r="K754" t="s">
        <v>55</v>
      </c>
      <c r="L754" s="1">
        <v>46143</v>
      </c>
      <c r="M754" s="1">
        <v>46173</v>
      </c>
      <c r="N754">
        <v>21</v>
      </c>
      <c r="O754" t="s">
        <v>61</v>
      </c>
      <c r="P754" t="s">
        <v>63</v>
      </c>
      <c r="Q754" t="s">
        <v>3930</v>
      </c>
      <c r="R754" t="s">
        <v>4599</v>
      </c>
      <c r="S754" t="s">
        <v>67</v>
      </c>
      <c r="T754" t="s">
        <v>4600</v>
      </c>
      <c r="U754" t="s">
        <v>4601</v>
      </c>
      <c r="V754">
        <v>9</v>
      </c>
      <c r="W754" s="2">
        <v>45.800260000000002</v>
      </c>
    </row>
    <row r="755" spans="1:23" x14ac:dyDescent="0.25">
      <c r="A755" t="s">
        <v>31</v>
      </c>
      <c r="B755" t="s">
        <v>32</v>
      </c>
      <c r="C755" t="s">
        <v>33</v>
      </c>
      <c r="D755" t="s">
        <v>34</v>
      </c>
      <c r="E755" t="s">
        <v>35</v>
      </c>
      <c r="F755" t="s">
        <v>36</v>
      </c>
      <c r="G755">
        <v>1141685</v>
      </c>
      <c r="H755" t="s">
        <v>3065</v>
      </c>
      <c r="I755" t="s">
        <v>42</v>
      </c>
      <c r="J755" t="s">
        <v>3065</v>
      </c>
      <c r="K755" t="s">
        <v>3968</v>
      </c>
      <c r="L755" s="1">
        <v>46143</v>
      </c>
      <c r="M755" s="1">
        <v>46173</v>
      </c>
      <c r="N755">
        <v>7.4000000000000003E-3</v>
      </c>
      <c r="O755" t="s">
        <v>59</v>
      </c>
      <c r="P755" t="s">
        <v>63</v>
      </c>
      <c r="Q755" t="s">
        <v>3916</v>
      </c>
      <c r="R755" t="s">
        <v>4602</v>
      </c>
      <c r="S755" t="s">
        <v>67</v>
      </c>
      <c r="T755" t="s">
        <v>4603</v>
      </c>
      <c r="U755" t="s">
        <v>4604</v>
      </c>
      <c r="V755">
        <v>7</v>
      </c>
      <c r="W755" s="2">
        <v>6.4504175999999998</v>
      </c>
    </row>
    <row r="756" spans="1:23" x14ac:dyDescent="0.25">
      <c r="A756" t="s">
        <v>31</v>
      </c>
      <c r="B756" t="s">
        <v>32</v>
      </c>
      <c r="C756" t="s">
        <v>33</v>
      </c>
      <c r="D756" t="s">
        <v>34</v>
      </c>
      <c r="E756" t="s">
        <v>35</v>
      </c>
      <c r="F756" t="s">
        <v>36</v>
      </c>
      <c r="G756">
        <v>1141685</v>
      </c>
      <c r="H756" t="s">
        <v>38</v>
      </c>
      <c r="I756" t="s">
        <v>38</v>
      </c>
      <c r="J756" t="s">
        <v>38</v>
      </c>
      <c r="K756" t="s">
        <v>48</v>
      </c>
      <c r="L756" s="1">
        <v>46143</v>
      </c>
      <c r="M756" s="1">
        <v>46173</v>
      </c>
      <c r="N756">
        <v>119.315929</v>
      </c>
      <c r="O756" t="s">
        <v>58</v>
      </c>
      <c r="P756" t="s">
        <v>63</v>
      </c>
      <c r="Q756" t="s">
        <v>3993</v>
      </c>
      <c r="R756" t="s">
        <v>4605</v>
      </c>
      <c r="S756" t="s">
        <v>67</v>
      </c>
      <c r="T756" t="s">
        <v>4606</v>
      </c>
      <c r="U756" t="s">
        <v>4607</v>
      </c>
      <c r="V756">
        <v>6</v>
      </c>
      <c r="W756" s="2">
        <v>421521.10126491881</v>
      </c>
    </row>
    <row r="757" spans="1:23" x14ac:dyDescent="0.25">
      <c r="A757" t="s">
        <v>31</v>
      </c>
      <c r="B757" t="s">
        <v>32</v>
      </c>
      <c r="C757" t="s">
        <v>33</v>
      </c>
      <c r="D757" t="s">
        <v>34</v>
      </c>
      <c r="E757" t="s">
        <v>35</v>
      </c>
      <c r="F757" t="s">
        <v>36</v>
      </c>
      <c r="G757">
        <v>1141685</v>
      </c>
      <c r="H757" t="s">
        <v>38</v>
      </c>
      <c r="I757" t="s">
        <v>38</v>
      </c>
      <c r="J757" t="s">
        <v>38</v>
      </c>
      <c r="K757" t="s">
        <v>51</v>
      </c>
      <c r="L757" s="1">
        <v>46143</v>
      </c>
      <c r="M757" s="1">
        <v>46173</v>
      </c>
      <c r="N757">
        <v>417.6057515</v>
      </c>
      <c r="O757" t="s">
        <v>62</v>
      </c>
      <c r="P757" t="s">
        <v>63</v>
      </c>
      <c r="Q757" t="s">
        <v>3993</v>
      </c>
      <c r="R757" t="s">
        <v>4605</v>
      </c>
      <c r="S757" t="s">
        <v>67</v>
      </c>
      <c r="T757" t="s">
        <v>4608</v>
      </c>
      <c r="U757" t="s">
        <v>4609</v>
      </c>
      <c r="V757">
        <v>6</v>
      </c>
      <c r="W757" s="2">
        <v>105640.47724293639</v>
      </c>
    </row>
    <row r="758" spans="1:23" x14ac:dyDescent="0.25">
      <c r="A758" t="s">
        <v>31</v>
      </c>
      <c r="B758" t="s">
        <v>32</v>
      </c>
      <c r="C758" t="s">
        <v>33</v>
      </c>
      <c r="D758" t="s">
        <v>34</v>
      </c>
      <c r="E758" t="s">
        <v>35</v>
      </c>
      <c r="F758" t="s">
        <v>36</v>
      </c>
      <c r="G758">
        <v>1141685</v>
      </c>
      <c r="H758" t="s">
        <v>2672</v>
      </c>
      <c r="I758" t="s">
        <v>97</v>
      </c>
      <c r="J758" t="s">
        <v>2673</v>
      </c>
      <c r="K758" t="s">
        <v>2674</v>
      </c>
      <c r="L758" s="1">
        <v>46143</v>
      </c>
      <c r="M758" s="1">
        <v>46173</v>
      </c>
      <c r="N758">
        <v>31</v>
      </c>
      <c r="O758" t="s">
        <v>2675</v>
      </c>
      <c r="P758" t="s">
        <v>63</v>
      </c>
      <c r="Q758" t="s">
        <v>3916</v>
      </c>
      <c r="R758" t="s">
        <v>4610</v>
      </c>
      <c r="S758" t="s">
        <v>67</v>
      </c>
      <c r="T758" t="s">
        <v>2679</v>
      </c>
      <c r="U758" t="s">
        <v>2680</v>
      </c>
      <c r="V758">
        <v>6</v>
      </c>
      <c r="W758" s="2">
        <v>261705.69723200021</v>
      </c>
    </row>
    <row r="759" spans="1:23" x14ac:dyDescent="0.25">
      <c r="A759" t="s">
        <v>31</v>
      </c>
      <c r="B759" t="s">
        <v>32</v>
      </c>
      <c r="C759" t="s">
        <v>33</v>
      </c>
      <c r="D759" t="s">
        <v>34</v>
      </c>
      <c r="E759" t="s">
        <v>35</v>
      </c>
      <c r="F759" t="s">
        <v>36</v>
      </c>
      <c r="G759">
        <v>1141685</v>
      </c>
      <c r="H759" t="s">
        <v>40</v>
      </c>
      <c r="I759" t="s">
        <v>44</v>
      </c>
      <c r="J759" t="s">
        <v>40</v>
      </c>
      <c r="K759" t="s">
        <v>52</v>
      </c>
      <c r="L759" s="1">
        <v>46143</v>
      </c>
      <c r="M759" s="1">
        <v>46173</v>
      </c>
      <c r="N759">
        <v>0.16128000000000001</v>
      </c>
      <c r="O759" t="s">
        <v>58</v>
      </c>
      <c r="P759" t="s">
        <v>63</v>
      </c>
      <c r="Q759" t="s">
        <v>3993</v>
      </c>
      <c r="R759" t="s">
        <v>65</v>
      </c>
      <c r="S759" t="s">
        <v>67</v>
      </c>
      <c r="T759" t="s">
        <v>70</v>
      </c>
      <c r="U759" t="s">
        <v>73</v>
      </c>
      <c r="V759">
        <v>6</v>
      </c>
      <c r="W759" s="2">
        <v>0</v>
      </c>
    </row>
    <row r="760" spans="1:23" x14ac:dyDescent="0.25">
      <c r="A760" t="s">
        <v>31</v>
      </c>
      <c r="B760" t="s">
        <v>32</v>
      </c>
      <c r="C760" t="s">
        <v>33</v>
      </c>
      <c r="D760" t="s">
        <v>34</v>
      </c>
      <c r="E760" t="s">
        <v>35</v>
      </c>
      <c r="F760" t="s">
        <v>36</v>
      </c>
      <c r="G760">
        <v>1141685</v>
      </c>
      <c r="H760" t="s">
        <v>40</v>
      </c>
      <c r="I760" t="s">
        <v>44</v>
      </c>
      <c r="J760" t="s">
        <v>40</v>
      </c>
      <c r="K760" t="s">
        <v>52</v>
      </c>
      <c r="L760" s="1">
        <v>46143</v>
      </c>
      <c r="M760" s="1">
        <v>46173</v>
      </c>
      <c r="N760">
        <v>1.3439999999999999E-3</v>
      </c>
      <c r="O760" t="s">
        <v>58</v>
      </c>
      <c r="P760" t="s">
        <v>63</v>
      </c>
      <c r="Q760" t="s">
        <v>3993</v>
      </c>
      <c r="R760" t="s">
        <v>65</v>
      </c>
      <c r="S760" t="s">
        <v>67</v>
      </c>
      <c r="T760" t="s">
        <v>71</v>
      </c>
      <c r="U760" t="s">
        <v>74</v>
      </c>
      <c r="V760">
        <v>7</v>
      </c>
      <c r="W760" s="2">
        <v>0</v>
      </c>
    </row>
    <row r="761" spans="1:23" x14ac:dyDescent="0.25">
      <c r="A761" t="s">
        <v>31</v>
      </c>
      <c r="B761" t="s">
        <v>32</v>
      </c>
      <c r="C761" t="s">
        <v>33</v>
      </c>
      <c r="D761" t="s">
        <v>34</v>
      </c>
      <c r="E761" t="s">
        <v>35</v>
      </c>
      <c r="F761" t="s">
        <v>36</v>
      </c>
      <c r="G761">
        <v>1141685</v>
      </c>
      <c r="H761" t="s">
        <v>82</v>
      </c>
      <c r="I761" t="s">
        <v>82</v>
      </c>
      <c r="J761" t="s">
        <v>82</v>
      </c>
      <c r="K761" t="s">
        <v>120</v>
      </c>
      <c r="L761" s="1">
        <v>46143</v>
      </c>
      <c r="M761" s="1">
        <v>46173</v>
      </c>
      <c r="N761">
        <v>1</v>
      </c>
      <c r="O761" t="s">
        <v>61</v>
      </c>
      <c r="P761" t="s">
        <v>63</v>
      </c>
      <c r="Q761" t="s">
        <v>3972</v>
      </c>
      <c r="R761" t="s">
        <v>4611</v>
      </c>
      <c r="S761" t="s">
        <v>68</v>
      </c>
      <c r="T761" t="s">
        <v>3973</v>
      </c>
      <c r="U761" t="s">
        <v>3974</v>
      </c>
      <c r="V761">
        <v>7</v>
      </c>
      <c r="W761" s="2">
        <v>2691.9341720419998</v>
      </c>
    </row>
    <row r="762" spans="1:23" x14ac:dyDescent="0.25">
      <c r="A762" t="s">
        <v>31</v>
      </c>
      <c r="B762" t="s">
        <v>32</v>
      </c>
      <c r="C762" t="s">
        <v>33</v>
      </c>
      <c r="D762" t="s">
        <v>34</v>
      </c>
      <c r="E762" t="s">
        <v>35</v>
      </c>
      <c r="F762" t="s">
        <v>36</v>
      </c>
      <c r="G762">
        <v>1141685</v>
      </c>
      <c r="H762" t="s">
        <v>86</v>
      </c>
      <c r="I762" t="s">
        <v>42</v>
      </c>
      <c r="J762" t="s">
        <v>86</v>
      </c>
      <c r="K762" t="s">
        <v>124</v>
      </c>
      <c r="L762" s="1">
        <v>46143</v>
      </c>
      <c r="M762" s="1">
        <v>46173</v>
      </c>
      <c r="N762">
        <v>1.05E-4</v>
      </c>
      <c r="O762" t="s">
        <v>135</v>
      </c>
      <c r="P762" t="s">
        <v>63</v>
      </c>
      <c r="Q762" t="s">
        <v>3949</v>
      </c>
      <c r="R762" t="s">
        <v>4612</v>
      </c>
      <c r="S762" t="s">
        <v>67</v>
      </c>
      <c r="T762" t="s">
        <v>4613</v>
      </c>
      <c r="U762" t="s">
        <v>4614</v>
      </c>
      <c r="V762">
        <v>16</v>
      </c>
      <c r="W762" s="2">
        <v>36.102724983999998</v>
      </c>
    </row>
    <row r="763" spans="1:23" x14ac:dyDescent="0.25">
      <c r="A763" t="s">
        <v>31</v>
      </c>
      <c r="B763" t="s">
        <v>32</v>
      </c>
      <c r="C763" t="s">
        <v>33</v>
      </c>
      <c r="D763" t="s">
        <v>34</v>
      </c>
      <c r="E763" t="s">
        <v>35</v>
      </c>
      <c r="F763" t="s">
        <v>36</v>
      </c>
      <c r="G763">
        <v>1141685</v>
      </c>
      <c r="H763" t="s">
        <v>86</v>
      </c>
      <c r="I763" t="s">
        <v>42</v>
      </c>
      <c r="J763" t="s">
        <v>86</v>
      </c>
      <c r="K763" t="s">
        <v>124</v>
      </c>
      <c r="L763" s="1">
        <v>46143</v>
      </c>
      <c r="M763" s="1">
        <v>46173</v>
      </c>
      <c r="N763">
        <v>0.70789800000000003</v>
      </c>
      <c r="O763" t="s">
        <v>135</v>
      </c>
      <c r="P763" t="s">
        <v>63</v>
      </c>
      <c r="Q763" t="s">
        <v>3949</v>
      </c>
      <c r="R763" t="s">
        <v>4615</v>
      </c>
      <c r="S763" t="s">
        <v>67</v>
      </c>
      <c r="T763" t="s">
        <v>4616</v>
      </c>
      <c r="U763" t="s">
        <v>4617</v>
      </c>
      <c r="V763">
        <v>16</v>
      </c>
      <c r="W763" s="2">
        <v>243418.27067355841</v>
      </c>
    </row>
    <row r="764" spans="1:23" x14ac:dyDescent="0.25">
      <c r="A764" t="s">
        <v>31</v>
      </c>
      <c r="B764" t="s">
        <v>32</v>
      </c>
      <c r="C764" t="s">
        <v>33</v>
      </c>
      <c r="D764" t="s">
        <v>34</v>
      </c>
      <c r="E764" t="s">
        <v>35</v>
      </c>
      <c r="F764" t="s">
        <v>36</v>
      </c>
      <c r="G764">
        <v>1141685</v>
      </c>
      <c r="H764" t="s">
        <v>4618</v>
      </c>
      <c r="I764" t="s">
        <v>42</v>
      </c>
      <c r="J764" t="s">
        <v>4619</v>
      </c>
      <c r="K764" t="s">
        <v>4620</v>
      </c>
      <c r="L764" s="1">
        <v>46143</v>
      </c>
      <c r="M764" s="1">
        <v>46173</v>
      </c>
      <c r="N764">
        <v>1.9527000000000001</v>
      </c>
      <c r="O764" t="s">
        <v>59</v>
      </c>
      <c r="P764" t="s">
        <v>63</v>
      </c>
      <c r="Q764" t="s">
        <v>4621</v>
      </c>
      <c r="R764" t="s">
        <v>4622</v>
      </c>
      <c r="S764" t="s">
        <v>67</v>
      </c>
      <c r="T764" t="s">
        <v>4623</v>
      </c>
      <c r="U764" t="s">
        <v>4624</v>
      </c>
      <c r="V764">
        <v>6</v>
      </c>
      <c r="W764" s="2">
        <v>2214.34120024</v>
      </c>
    </row>
    <row r="765" spans="1:23" x14ac:dyDescent="0.25">
      <c r="A765" t="s">
        <v>31</v>
      </c>
      <c r="B765" t="s">
        <v>32</v>
      </c>
      <c r="C765" t="s">
        <v>33</v>
      </c>
      <c r="D765" t="s">
        <v>34</v>
      </c>
      <c r="E765" t="s">
        <v>35</v>
      </c>
      <c r="F765" t="s">
        <v>36</v>
      </c>
      <c r="G765">
        <v>1141685</v>
      </c>
      <c r="H765" t="s">
        <v>4618</v>
      </c>
      <c r="I765" t="s">
        <v>42</v>
      </c>
      <c r="J765" t="s">
        <v>4619</v>
      </c>
      <c r="K765" t="s">
        <v>4625</v>
      </c>
      <c r="L765" s="1">
        <v>46143</v>
      </c>
      <c r="M765" s="1">
        <v>46173</v>
      </c>
      <c r="N765">
        <v>0.85470000000000002</v>
      </c>
      <c r="O765" t="s">
        <v>59</v>
      </c>
      <c r="P765" t="s">
        <v>63</v>
      </c>
      <c r="Q765" t="s">
        <v>4102</v>
      </c>
      <c r="R765" t="s">
        <v>4103</v>
      </c>
      <c r="S765" t="s">
        <v>67</v>
      </c>
      <c r="T765" t="s">
        <v>4626</v>
      </c>
      <c r="U765" t="s">
        <v>4627</v>
      </c>
      <c r="V765">
        <v>9</v>
      </c>
      <c r="W765" s="2">
        <v>1938.4394052800001</v>
      </c>
    </row>
    <row r="766" spans="1:23" x14ac:dyDescent="0.25">
      <c r="A766" t="s">
        <v>31</v>
      </c>
      <c r="B766" t="s">
        <v>32</v>
      </c>
      <c r="C766" t="s">
        <v>33</v>
      </c>
      <c r="D766" t="s">
        <v>34</v>
      </c>
      <c r="E766" t="s">
        <v>35</v>
      </c>
      <c r="F766" t="s">
        <v>36</v>
      </c>
      <c r="G766">
        <v>1141685</v>
      </c>
      <c r="H766" t="s">
        <v>80</v>
      </c>
      <c r="I766" t="s">
        <v>96</v>
      </c>
      <c r="J766" t="s">
        <v>80</v>
      </c>
      <c r="K766" t="s">
        <v>122</v>
      </c>
      <c r="L766" s="1">
        <v>46143</v>
      </c>
      <c r="M766" s="1">
        <v>46173</v>
      </c>
      <c r="N766">
        <v>0.2122449968</v>
      </c>
      <c r="O766" t="s">
        <v>56</v>
      </c>
      <c r="P766" t="s">
        <v>63</v>
      </c>
      <c r="Q766" t="s">
        <v>3900</v>
      </c>
      <c r="R766" t="s">
        <v>3958</v>
      </c>
      <c r="S766" t="s">
        <v>67</v>
      </c>
      <c r="T766" t="s">
        <v>4628</v>
      </c>
      <c r="U766" t="s">
        <v>4629</v>
      </c>
      <c r="V766">
        <v>16</v>
      </c>
      <c r="W766" s="2">
        <v>37.024870683800003</v>
      </c>
    </row>
    <row r="767" spans="1:23" x14ac:dyDescent="0.25">
      <c r="A767" t="s">
        <v>31</v>
      </c>
      <c r="B767" t="s">
        <v>32</v>
      </c>
      <c r="C767" t="s">
        <v>33</v>
      </c>
      <c r="D767" t="s">
        <v>34</v>
      </c>
      <c r="E767" t="s">
        <v>35</v>
      </c>
      <c r="F767" t="s">
        <v>36</v>
      </c>
      <c r="G767">
        <v>1141685</v>
      </c>
      <c r="H767" t="s">
        <v>80</v>
      </c>
      <c r="I767" t="s">
        <v>96</v>
      </c>
      <c r="J767" t="s">
        <v>80</v>
      </c>
      <c r="K767" t="s">
        <v>122</v>
      </c>
      <c r="L767" s="1">
        <v>46143</v>
      </c>
      <c r="M767" s="1">
        <v>46173</v>
      </c>
      <c r="N767">
        <v>8.3930319999999997E-4</v>
      </c>
      <c r="O767" t="s">
        <v>56</v>
      </c>
      <c r="P767" t="s">
        <v>63</v>
      </c>
      <c r="Q767" t="s">
        <v>3900</v>
      </c>
      <c r="R767" t="s">
        <v>3963</v>
      </c>
      <c r="S767" t="s">
        <v>67</v>
      </c>
      <c r="T767" t="s">
        <v>4630</v>
      </c>
      <c r="U767" t="s">
        <v>4631</v>
      </c>
      <c r="V767">
        <v>16</v>
      </c>
      <c r="W767" s="2">
        <v>0.1488538626</v>
      </c>
    </row>
    <row r="768" spans="1:23" x14ac:dyDescent="0.25">
      <c r="A768" t="s">
        <v>31</v>
      </c>
      <c r="B768" t="s">
        <v>32</v>
      </c>
      <c r="C768" t="s">
        <v>33</v>
      </c>
      <c r="D768" t="s">
        <v>34</v>
      </c>
      <c r="E768" t="s">
        <v>35</v>
      </c>
      <c r="F768" t="s">
        <v>36</v>
      </c>
      <c r="G768">
        <v>1141685</v>
      </c>
      <c r="H768" t="s">
        <v>4618</v>
      </c>
      <c r="I768" t="s">
        <v>42</v>
      </c>
      <c r="J768" t="s">
        <v>4619</v>
      </c>
      <c r="K768" t="s">
        <v>4632</v>
      </c>
      <c r="L768" s="1">
        <v>46143</v>
      </c>
      <c r="M768" s="1">
        <v>46173</v>
      </c>
      <c r="N768">
        <v>3.0619E-2</v>
      </c>
      <c r="O768" t="s">
        <v>57</v>
      </c>
      <c r="P768" t="s">
        <v>63</v>
      </c>
      <c r="Q768" t="s">
        <v>4102</v>
      </c>
      <c r="R768" t="s">
        <v>4103</v>
      </c>
      <c r="S768" t="s">
        <v>67</v>
      </c>
      <c r="T768" t="s">
        <v>4633</v>
      </c>
      <c r="U768" t="s">
        <v>4634</v>
      </c>
      <c r="V768">
        <v>9</v>
      </c>
      <c r="W768" s="2">
        <v>30.5584378689</v>
      </c>
    </row>
    <row r="769" spans="1:23" x14ac:dyDescent="0.25">
      <c r="A769" t="s">
        <v>31</v>
      </c>
      <c r="B769" t="s">
        <v>32</v>
      </c>
      <c r="C769" t="s">
        <v>33</v>
      </c>
      <c r="D769" t="s">
        <v>34</v>
      </c>
      <c r="E769" t="s">
        <v>35</v>
      </c>
      <c r="F769" t="s">
        <v>36</v>
      </c>
      <c r="G769">
        <v>1141685</v>
      </c>
      <c r="H769" t="s">
        <v>4618</v>
      </c>
      <c r="I769" t="s">
        <v>42</v>
      </c>
      <c r="J769" t="s">
        <v>4619</v>
      </c>
      <c r="K769" t="s">
        <v>4635</v>
      </c>
      <c r="L769" s="1">
        <v>46143</v>
      </c>
      <c r="M769" s="1">
        <v>46173</v>
      </c>
      <c r="N769">
        <v>11.4969</v>
      </c>
      <c r="O769" t="s">
        <v>59</v>
      </c>
      <c r="P769" t="s">
        <v>63</v>
      </c>
      <c r="Q769" t="s">
        <v>4621</v>
      </c>
      <c r="R769" t="s">
        <v>4622</v>
      </c>
      <c r="S769" t="s">
        <v>67</v>
      </c>
      <c r="T769" t="s">
        <v>4636</v>
      </c>
      <c r="U769" t="s">
        <v>4637</v>
      </c>
      <c r="V769">
        <v>6</v>
      </c>
      <c r="W769" s="2">
        <v>1042.9908220223999</v>
      </c>
    </row>
    <row r="770" spans="1:23" x14ac:dyDescent="0.25">
      <c r="A770" t="s">
        <v>31</v>
      </c>
      <c r="B770" t="s">
        <v>32</v>
      </c>
      <c r="C770" t="s">
        <v>33</v>
      </c>
      <c r="D770" t="s">
        <v>34</v>
      </c>
      <c r="E770" t="s">
        <v>35</v>
      </c>
      <c r="F770" t="s">
        <v>36</v>
      </c>
      <c r="G770">
        <v>1141685</v>
      </c>
      <c r="H770" t="s">
        <v>4618</v>
      </c>
      <c r="I770" t="s">
        <v>42</v>
      </c>
      <c r="J770" t="s">
        <v>4619</v>
      </c>
      <c r="K770" t="s">
        <v>4638</v>
      </c>
      <c r="L770" s="1">
        <v>46143</v>
      </c>
      <c r="M770" s="1">
        <v>46173</v>
      </c>
      <c r="N770">
        <v>142.3997</v>
      </c>
      <c r="O770" t="s">
        <v>59</v>
      </c>
      <c r="P770" t="s">
        <v>63</v>
      </c>
      <c r="Q770" t="s">
        <v>4621</v>
      </c>
      <c r="R770" t="s">
        <v>4622</v>
      </c>
      <c r="S770" t="s">
        <v>67</v>
      </c>
      <c r="T770" t="s">
        <v>4639</v>
      </c>
      <c r="U770" t="s">
        <v>4640</v>
      </c>
      <c r="V770">
        <v>6</v>
      </c>
      <c r="W770" s="2">
        <v>12918.390440531201</v>
      </c>
    </row>
    <row r="771" spans="1:23" x14ac:dyDescent="0.25">
      <c r="A771" t="s">
        <v>31</v>
      </c>
      <c r="B771" t="s">
        <v>32</v>
      </c>
      <c r="C771" t="s">
        <v>33</v>
      </c>
      <c r="D771" t="s">
        <v>34</v>
      </c>
      <c r="E771" t="s">
        <v>35</v>
      </c>
      <c r="F771" t="s">
        <v>36</v>
      </c>
      <c r="G771">
        <v>1141685</v>
      </c>
      <c r="H771" t="s">
        <v>4618</v>
      </c>
      <c r="I771" t="s">
        <v>42</v>
      </c>
      <c r="J771" t="s">
        <v>4619</v>
      </c>
      <c r="K771" t="s">
        <v>4641</v>
      </c>
      <c r="L771" s="1">
        <v>46143</v>
      </c>
      <c r="M771" s="1">
        <v>46173</v>
      </c>
      <c r="N771">
        <v>39.335000000000001</v>
      </c>
      <c r="O771" t="s">
        <v>59</v>
      </c>
      <c r="P771" t="s">
        <v>63</v>
      </c>
      <c r="Q771" t="s">
        <v>4621</v>
      </c>
      <c r="R771" t="s">
        <v>4622</v>
      </c>
      <c r="S771" t="s">
        <v>67</v>
      </c>
      <c r="T771" t="s">
        <v>4642</v>
      </c>
      <c r="U771" t="s">
        <v>4643</v>
      </c>
      <c r="V771">
        <v>6</v>
      </c>
      <c r="W771" s="2">
        <v>44605.497052000013</v>
      </c>
    </row>
    <row r="772" spans="1:23" x14ac:dyDescent="0.25">
      <c r="A772" t="s">
        <v>31</v>
      </c>
      <c r="B772" t="s">
        <v>32</v>
      </c>
      <c r="C772" t="s">
        <v>33</v>
      </c>
      <c r="D772" t="s">
        <v>34</v>
      </c>
      <c r="E772" t="s">
        <v>35</v>
      </c>
      <c r="F772" t="s">
        <v>36</v>
      </c>
      <c r="G772">
        <v>1141685</v>
      </c>
      <c r="H772" t="s">
        <v>80</v>
      </c>
      <c r="I772" t="s">
        <v>96</v>
      </c>
      <c r="J772" t="s">
        <v>80</v>
      </c>
      <c r="K772" t="s">
        <v>122</v>
      </c>
      <c r="L772" s="1">
        <v>46143</v>
      </c>
      <c r="M772" s="1">
        <v>46173</v>
      </c>
      <c r="N772">
        <v>3.2565873000000001E-3</v>
      </c>
      <c r="O772" t="s">
        <v>56</v>
      </c>
      <c r="P772" t="s">
        <v>63</v>
      </c>
      <c r="Q772" t="s">
        <v>3900</v>
      </c>
      <c r="R772" t="s">
        <v>3958</v>
      </c>
      <c r="S772" t="s">
        <v>67</v>
      </c>
      <c r="T772" t="s">
        <v>4644</v>
      </c>
      <c r="U772" t="s">
        <v>4645</v>
      </c>
      <c r="V772">
        <v>16</v>
      </c>
      <c r="W772" s="2">
        <v>0.5699669155</v>
      </c>
    </row>
    <row r="773" spans="1:23" x14ac:dyDescent="0.25">
      <c r="A773" t="s">
        <v>31</v>
      </c>
      <c r="B773" t="s">
        <v>32</v>
      </c>
      <c r="C773" t="s">
        <v>33</v>
      </c>
      <c r="D773" t="s">
        <v>34</v>
      </c>
      <c r="E773" t="s">
        <v>35</v>
      </c>
      <c r="F773" t="s">
        <v>36</v>
      </c>
      <c r="G773">
        <v>1141685</v>
      </c>
      <c r="H773" t="s">
        <v>80</v>
      </c>
      <c r="I773" t="s">
        <v>96</v>
      </c>
      <c r="J773" t="s">
        <v>80</v>
      </c>
      <c r="K773" t="s">
        <v>122</v>
      </c>
      <c r="L773" s="1">
        <v>46143</v>
      </c>
      <c r="M773" s="1">
        <v>46173</v>
      </c>
      <c r="N773">
        <v>2.6245689999999998E-4</v>
      </c>
      <c r="O773" t="s">
        <v>56</v>
      </c>
      <c r="P773" t="s">
        <v>63</v>
      </c>
      <c r="Q773" t="s">
        <v>3900</v>
      </c>
      <c r="R773" t="s">
        <v>3958</v>
      </c>
      <c r="S773" t="s">
        <v>67</v>
      </c>
      <c r="T773" t="s">
        <v>4646</v>
      </c>
      <c r="U773" t="s">
        <v>4647</v>
      </c>
      <c r="V773">
        <v>16</v>
      </c>
      <c r="W773" s="2">
        <v>5.0293649900000001E-2</v>
      </c>
    </row>
    <row r="774" spans="1:23" x14ac:dyDescent="0.25">
      <c r="A774" t="s">
        <v>31</v>
      </c>
      <c r="B774" t="s">
        <v>32</v>
      </c>
      <c r="C774" t="s">
        <v>33</v>
      </c>
      <c r="D774" t="s">
        <v>34</v>
      </c>
      <c r="E774" t="s">
        <v>35</v>
      </c>
      <c r="F774" t="s">
        <v>36</v>
      </c>
      <c r="G774">
        <v>1141685</v>
      </c>
      <c r="H774" t="s">
        <v>80</v>
      </c>
      <c r="I774" t="s">
        <v>96</v>
      </c>
      <c r="J774" t="s">
        <v>80</v>
      </c>
      <c r="K774" t="s">
        <v>122</v>
      </c>
      <c r="L774" s="1">
        <v>46143</v>
      </c>
      <c r="M774" s="1">
        <v>46173</v>
      </c>
      <c r="N774">
        <v>0.1165336911</v>
      </c>
      <c r="O774" t="s">
        <v>56</v>
      </c>
      <c r="P774" t="s">
        <v>63</v>
      </c>
      <c r="Q774" t="s">
        <v>3908</v>
      </c>
      <c r="R774" t="s">
        <v>3909</v>
      </c>
      <c r="S774" t="s">
        <v>67</v>
      </c>
      <c r="T774" t="s">
        <v>4648</v>
      </c>
      <c r="U774" t="s">
        <v>4649</v>
      </c>
      <c r="V774">
        <v>16</v>
      </c>
      <c r="W774" s="2">
        <v>20.3308116123</v>
      </c>
    </row>
    <row r="775" spans="1:23" x14ac:dyDescent="0.25">
      <c r="A775" t="s">
        <v>31</v>
      </c>
      <c r="B775" t="s">
        <v>32</v>
      </c>
      <c r="C775" t="s">
        <v>33</v>
      </c>
      <c r="D775" t="s">
        <v>34</v>
      </c>
      <c r="E775" t="s">
        <v>35</v>
      </c>
      <c r="F775" t="s">
        <v>36</v>
      </c>
      <c r="G775">
        <v>1141685</v>
      </c>
      <c r="H775" t="s">
        <v>80</v>
      </c>
      <c r="I775" t="s">
        <v>96</v>
      </c>
      <c r="J775" t="s">
        <v>80</v>
      </c>
      <c r="K775" t="s">
        <v>122</v>
      </c>
      <c r="L775" s="1">
        <v>46143</v>
      </c>
      <c r="M775" s="1">
        <v>46173</v>
      </c>
      <c r="N775">
        <v>5.3205685999999997E-3</v>
      </c>
      <c r="O775" t="s">
        <v>56</v>
      </c>
      <c r="P775" t="s">
        <v>63</v>
      </c>
      <c r="Q775" t="s">
        <v>3900</v>
      </c>
      <c r="R775" t="s">
        <v>3963</v>
      </c>
      <c r="S775" t="s">
        <v>67</v>
      </c>
      <c r="T775" t="s">
        <v>4650</v>
      </c>
      <c r="U775" t="s">
        <v>4651</v>
      </c>
      <c r="V775">
        <v>16</v>
      </c>
      <c r="W775" s="2">
        <v>0.92683922529999996</v>
      </c>
    </row>
    <row r="776" spans="1:23" x14ac:dyDescent="0.25">
      <c r="A776" t="s">
        <v>31</v>
      </c>
      <c r="B776" t="s">
        <v>32</v>
      </c>
      <c r="C776" t="s">
        <v>33</v>
      </c>
      <c r="D776" t="s">
        <v>34</v>
      </c>
      <c r="E776" t="s">
        <v>35</v>
      </c>
      <c r="F776" t="s">
        <v>36</v>
      </c>
      <c r="G776">
        <v>1141685</v>
      </c>
      <c r="H776" t="s">
        <v>80</v>
      </c>
      <c r="I776" t="s">
        <v>96</v>
      </c>
      <c r="J776" t="s">
        <v>80</v>
      </c>
      <c r="K776" t="s">
        <v>122</v>
      </c>
      <c r="L776" s="1">
        <v>46143</v>
      </c>
      <c r="M776" s="1">
        <v>46173</v>
      </c>
      <c r="N776">
        <v>3.307397E-4</v>
      </c>
      <c r="O776" t="s">
        <v>56</v>
      </c>
      <c r="P776" t="s">
        <v>63</v>
      </c>
      <c r="Q776" t="s">
        <v>3900</v>
      </c>
      <c r="R776" t="s">
        <v>3958</v>
      </c>
      <c r="S776" t="s">
        <v>67</v>
      </c>
      <c r="T776" t="s">
        <v>4652</v>
      </c>
      <c r="U776" t="s">
        <v>4653</v>
      </c>
      <c r="V776">
        <v>16</v>
      </c>
      <c r="W776" s="2">
        <v>6.0776739099999998E-2</v>
      </c>
    </row>
    <row r="777" spans="1:23" x14ac:dyDescent="0.25">
      <c r="A777" t="s">
        <v>31</v>
      </c>
      <c r="B777" t="s">
        <v>32</v>
      </c>
      <c r="C777" t="s">
        <v>33</v>
      </c>
      <c r="D777" t="s">
        <v>34</v>
      </c>
      <c r="E777" t="s">
        <v>35</v>
      </c>
      <c r="F777" t="s">
        <v>36</v>
      </c>
      <c r="G777">
        <v>1141685</v>
      </c>
      <c r="H777" t="s">
        <v>80</v>
      </c>
      <c r="I777" t="s">
        <v>96</v>
      </c>
      <c r="J777" t="s">
        <v>80</v>
      </c>
      <c r="K777" t="s">
        <v>122</v>
      </c>
      <c r="L777" s="1">
        <v>46143</v>
      </c>
      <c r="M777" s="1">
        <v>46173</v>
      </c>
      <c r="N777">
        <v>7.8877399999999998E-5</v>
      </c>
      <c r="O777" t="s">
        <v>56</v>
      </c>
      <c r="P777" t="s">
        <v>63</v>
      </c>
      <c r="Q777" t="s">
        <v>3908</v>
      </c>
      <c r="R777" t="s">
        <v>3909</v>
      </c>
      <c r="S777" t="s">
        <v>67</v>
      </c>
      <c r="T777" t="s">
        <v>4654</v>
      </c>
      <c r="U777" t="s">
        <v>4655</v>
      </c>
      <c r="V777">
        <v>16</v>
      </c>
      <c r="W777" s="2">
        <v>1.2109642300000001E-2</v>
      </c>
    </row>
    <row r="778" spans="1:23" x14ac:dyDescent="0.25">
      <c r="A778" t="s">
        <v>31</v>
      </c>
      <c r="B778" t="s">
        <v>32</v>
      </c>
      <c r="C778" t="s">
        <v>33</v>
      </c>
      <c r="D778" t="s">
        <v>34</v>
      </c>
      <c r="E778" t="s">
        <v>35</v>
      </c>
      <c r="F778" t="s">
        <v>36</v>
      </c>
      <c r="G778">
        <v>1141685</v>
      </c>
      <c r="H778" t="s">
        <v>80</v>
      </c>
      <c r="I778" t="s">
        <v>96</v>
      </c>
      <c r="J778" t="s">
        <v>80</v>
      </c>
      <c r="K778" t="s">
        <v>122</v>
      </c>
      <c r="L778" s="1">
        <v>46143</v>
      </c>
      <c r="M778" s="1">
        <v>46173</v>
      </c>
      <c r="N778">
        <v>3.8135511800000001E-2</v>
      </c>
      <c r="O778" t="s">
        <v>56</v>
      </c>
      <c r="P778" t="s">
        <v>63</v>
      </c>
      <c r="Q778" t="s">
        <v>3908</v>
      </c>
      <c r="R778" t="s">
        <v>4058</v>
      </c>
      <c r="S778" t="s">
        <v>67</v>
      </c>
      <c r="T778" t="s">
        <v>4656</v>
      </c>
      <c r="U778" t="s">
        <v>4657</v>
      </c>
      <c r="V778">
        <v>16</v>
      </c>
      <c r="W778" s="2">
        <v>6.6547468214999999</v>
      </c>
    </row>
    <row r="779" spans="1:23" x14ac:dyDescent="0.25">
      <c r="A779" t="s">
        <v>31</v>
      </c>
      <c r="B779" t="s">
        <v>32</v>
      </c>
      <c r="C779" t="s">
        <v>33</v>
      </c>
      <c r="D779" t="s">
        <v>34</v>
      </c>
      <c r="E779" t="s">
        <v>35</v>
      </c>
      <c r="F779" t="s">
        <v>36</v>
      </c>
      <c r="G779">
        <v>1141685</v>
      </c>
      <c r="H779" t="s">
        <v>80</v>
      </c>
      <c r="I779" t="s">
        <v>96</v>
      </c>
      <c r="J779" t="s">
        <v>80</v>
      </c>
      <c r="K779" t="s">
        <v>122</v>
      </c>
      <c r="L779" s="1">
        <v>46143</v>
      </c>
      <c r="M779" s="1">
        <v>46173</v>
      </c>
      <c r="N779">
        <v>9.8522369700000001E-2</v>
      </c>
      <c r="O779" t="s">
        <v>56</v>
      </c>
      <c r="P779" t="s">
        <v>63</v>
      </c>
      <c r="Q779" t="s">
        <v>3900</v>
      </c>
      <c r="R779" t="s">
        <v>3958</v>
      </c>
      <c r="S779" t="s">
        <v>67</v>
      </c>
      <c r="T779" t="s">
        <v>4658</v>
      </c>
      <c r="U779" t="s">
        <v>4659</v>
      </c>
      <c r="V779">
        <v>16</v>
      </c>
      <c r="W779" s="2">
        <v>17.185627111100001</v>
      </c>
    </row>
    <row r="780" spans="1:23" x14ac:dyDescent="0.25">
      <c r="A780" t="s">
        <v>31</v>
      </c>
      <c r="B780" t="s">
        <v>32</v>
      </c>
      <c r="C780" t="s">
        <v>33</v>
      </c>
      <c r="D780" t="s">
        <v>34</v>
      </c>
      <c r="E780" t="s">
        <v>35</v>
      </c>
      <c r="F780" t="s">
        <v>36</v>
      </c>
      <c r="G780">
        <v>1141685</v>
      </c>
      <c r="H780" t="s">
        <v>80</v>
      </c>
      <c r="I780" t="s">
        <v>96</v>
      </c>
      <c r="J780" t="s">
        <v>80</v>
      </c>
      <c r="K780" t="s">
        <v>122</v>
      </c>
      <c r="L780" s="1">
        <v>46143</v>
      </c>
      <c r="M780" s="1">
        <v>46173</v>
      </c>
      <c r="N780">
        <v>3.4686830000000001E-4</v>
      </c>
      <c r="O780" t="s">
        <v>56</v>
      </c>
      <c r="P780" t="s">
        <v>63</v>
      </c>
      <c r="Q780" t="s">
        <v>3900</v>
      </c>
      <c r="R780" t="s">
        <v>3958</v>
      </c>
      <c r="S780" t="s">
        <v>67</v>
      </c>
      <c r="T780" t="s">
        <v>4660</v>
      </c>
      <c r="U780" t="s">
        <v>4661</v>
      </c>
      <c r="V780">
        <v>16</v>
      </c>
      <c r="W780" s="2">
        <v>6.3252886199999997E-2</v>
      </c>
    </row>
    <row r="781" spans="1:23" x14ac:dyDescent="0.25">
      <c r="A781" t="s">
        <v>31</v>
      </c>
      <c r="B781" t="s">
        <v>32</v>
      </c>
      <c r="C781" t="s">
        <v>33</v>
      </c>
      <c r="D781" t="s">
        <v>34</v>
      </c>
      <c r="E781" t="s">
        <v>35</v>
      </c>
      <c r="F781" t="s">
        <v>36</v>
      </c>
      <c r="G781">
        <v>1141685</v>
      </c>
      <c r="H781" t="s">
        <v>4618</v>
      </c>
      <c r="I781" t="s">
        <v>42</v>
      </c>
      <c r="J781" t="s">
        <v>4619</v>
      </c>
      <c r="K781" t="s">
        <v>4620</v>
      </c>
      <c r="L781" s="1">
        <v>46143</v>
      </c>
      <c r="M781" s="1">
        <v>46173</v>
      </c>
      <c r="N781">
        <v>2.9485999999999999</v>
      </c>
      <c r="O781" t="s">
        <v>59</v>
      </c>
      <c r="P781" t="s">
        <v>63</v>
      </c>
      <c r="Q781" t="s">
        <v>4621</v>
      </c>
      <c r="R781" t="s">
        <v>4622</v>
      </c>
      <c r="S781" t="s">
        <v>67</v>
      </c>
      <c r="T781" t="s">
        <v>4662</v>
      </c>
      <c r="U781" t="s">
        <v>4663</v>
      </c>
      <c r="V781">
        <v>6</v>
      </c>
      <c r="W781" s="2">
        <v>3343.6809643199999</v>
      </c>
    </row>
    <row r="782" spans="1:23" x14ac:dyDescent="0.25">
      <c r="A782" t="s">
        <v>31</v>
      </c>
      <c r="B782" t="s">
        <v>32</v>
      </c>
      <c r="C782" t="s">
        <v>33</v>
      </c>
      <c r="D782" t="s">
        <v>34</v>
      </c>
      <c r="E782" t="s">
        <v>35</v>
      </c>
      <c r="F782" t="s">
        <v>36</v>
      </c>
      <c r="G782">
        <v>1141685</v>
      </c>
      <c r="H782" t="s">
        <v>76</v>
      </c>
      <c r="I782" t="s">
        <v>95</v>
      </c>
      <c r="J782" t="s">
        <v>99</v>
      </c>
      <c r="K782" t="s">
        <v>109</v>
      </c>
      <c r="L782" s="1">
        <v>46143</v>
      </c>
      <c r="M782" s="1">
        <v>46173</v>
      </c>
      <c r="N782">
        <v>2.950056</v>
      </c>
      <c r="O782" t="s">
        <v>58</v>
      </c>
      <c r="P782" t="s">
        <v>63</v>
      </c>
      <c r="Q782" t="s">
        <v>3949</v>
      </c>
      <c r="R782" t="s">
        <v>3950</v>
      </c>
      <c r="S782" t="s">
        <v>67</v>
      </c>
      <c r="T782" t="s">
        <v>4413</v>
      </c>
      <c r="U782" t="s">
        <v>4414</v>
      </c>
      <c r="V782">
        <v>16</v>
      </c>
      <c r="W782" s="2">
        <v>0</v>
      </c>
    </row>
    <row r="783" spans="1:23" x14ac:dyDescent="0.25">
      <c r="A783" t="s">
        <v>31</v>
      </c>
      <c r="B783" t="s">
        <v>32</v>
      </c>
      <c r="C783" t="s">
        <v>33</v>
      </c>
      <c r="D783" t="s">
        <v>34</v>
      </c>
      <c r="E783" t="s">
        <v>35</v>
      </c>
      <c r="F783" t="s">
        <v>36</v>
      </c>
      <c r="G783">
        <v>1141685</v>
      </c>
      <c r="H783" t="s">
        <v>76</v>
      </c>
      <c r="I783" t="s">
        <v>95</v>
      </c>
      <c r="J783" t="s">
        <v>99</v>
      </c>
      <c r="K783" t="s">
        <v>109</v>
      </c>
      <c r="L783" s="1">
        <v>46143</v>
      </c>
      <c r="M783" s="1">
        <v>46173</v>
      </c>
      <c r="N783">
        <v>67.599992</v>
      </c>
      <c r="O783" t="s">
        <v>58</v>
      </c>
      <c r="P783" t="s">
        <v>63</v>
      </c>
      <c r="Q783" t="s">
        <v>3949</v>
      </c>
      <c r="R783" t="s">
        <v>3950</v>
      </c>
      <c r="S783" t="s">
        <v>67</v>
      </c>
      <c r="T783" t="s">
        <v>4413</v>
      </c>
      <c r="U783" t="s">
        <v>4414</v>
      </c>
      <c r="V783">
        <v>16</v>
      </c>
      <c r="W783" s="2">
        <v>0</v>
      </c>
    </row>
    <row r="784" spans="1:23" x14ac:dyDescent="0.25">
      <c r="A784" t="s">
        <v>31</v>
      </c>
      <c r="B784" t="s">
        <v>32</v>
      </c>
      <c r="C784" t="s">
        <v>33</v>
      </c>
      <c r="D784" t="s">
        <v>34</v>
      </c>
      <c r="E784" t="s">
        <v>35</v>
      </c>
      <c r="F784" t="s">
        <v>36</v>
      </c>
      <c r="G784">
        <v>1141685</v>
      </c>
      <c r="H784" t="s">
        <v>80</v>
      </c>
      <c r="I784" t="s">
        <v>96</v>
      </c>
      <c r="J784" t="s">
        <v>80</v>
      </c>
      <c r="K784" t="s">
        <v>122</v>
      </c>
      <c r="L784" s="1">
        <v>46143</v>
      </c>
      <c r="M784" s="1">
        <v>46173</v>
      </c>
      <c r="N784">
        <v>2.28332E-5</v>
      </c>
      <c r="O784" t="s">
        <v>56</v>
      </c>
      <c r="P784" t="s">
        <v>63</v>
      </c>
      <c r="Q784" t="s">
        <v>3908</v>
      </c>
      <c r="R784" t="s">
        <v>3909</v>
      </c>
      <c r="S784" t="s">
        <v>67</v>
      </c>
      <c r="T784" t="s">
        <v>4664</v>
      </c>
      <c r="U784" t="s">
        <v>4665</v>
      </c>
      <c r="V784">
        <v>16</v>
      </c>
      <c r="W784" s="2">
        <v>3.5054678999999998E-3</v>
      </c>
    </row>
    <row r="785" spans="1:23" x14ac:dyDescent="0.25">
      <c r="A785" t="s">
        <v>31</v>
      </c>
      <c r="B785" t="s">
        <v>32</v>
      </c>
      <c r="C785" t="s">
        <v>33</v>
      </c>
      <c r="D785" t="s">
        <v>34</v>
      </c>
      <c r="E785" t="s">
        <v>35</v>
      </c>
      <c r="F785" t="s">
        <v>36</v>
      </c>
      <c r="G785">
        <v>1141685</v>
      </c>
      <c r="H785" t="s">
        <v>79</v>
      </c>
      <c r="I785" t="s">
        <v>94</v>
      </c>
      <c r="J785" t="s">
        <v>101</v>
      </c>
      <c r="K785" t="s">
        <v>116</v>
      </c>
      <c r="L785" s="1">
        <v>46143</v>
      </c>
      <c r="M785" s="1">
        <v>46173</v>
      </c>
      <c r="N785">
        <v>0.30243457480000002</v>
      </c>
      <c r="O785" t="s">
        <v>56</v>
      </c>
      <c r="P785" t="s">
        <v>63</v>
      </c>
      <c r="Q785" t="s">
        <v>3900</v>
      </c>
      <c r="R785" t="s">
        <v>3963</v>
      </c>
      <c r="S785" t="s">
        <v>67</v>
      </c>
      <c r="T785" t="s">
        <v>4666</v>
      </c>
      <c r="U785" t="s">
        <v>4667</v>
      </c>
      <c r="V785">
        <v>16</v>
      </c>
      <c r="W785" s="2">
        <v>422.0996608881</v>
      </c>
    </row>
    <row r="786" spans="1:23" x14ac:dyDescent="0.25">
      <c r="A786" t="s">
        <v>31</v>
      </c>
      <c r="B786" t="s">
        <v>32</v>
      </c>
      <c r="C786" t="s">
        <v>33</v>
      </c>
      <c r="D786" t="s">
        <v>34</v>
      </c>
      <c r="E786" t="s">
        <v>35</v>
      </c>
      <c r="F786" t="s">
        <v>36</v>
      </c>
      <c r="G786">
        <v>1141685</v>
      </c>
      <c r="H786" t="s">
        <v>79</v>
      </c>
      <c r="I786" t="s">
        <v>94</v>
      </c>
      <c r="J786" t="s">
        <v>101</v>
      </c>
      <c r="K786" t="s">
        <v>116</v>
      </c>
      <c r="L786" s="1">
        <v>46143</v>
      </c>
      <c r="M786" s="1">
        <v>46173</v>
      </c>
      <c r="N786">
        <v>8.6038089400000003E-2</v>
      </c>
      <c r="O786" t="s">
        <v>56</v>
      </c>
      <c r="P786" t="s">
        <v>63</v>
      </c>
      <c r="Q786" t="s">
        <v>3900</v>
      </c>
      <c r="R786" t="s">
        <v>3963</v>
      </c>
      <c r="S786" t="s">
        <v>67</v>
      </c>
      <c r="T786" t="s">
        <v>4668</v>
      </c>
      <c r="U786" t="s">
        <v>4669</v>
      </c>
      <c r="V786">
        <v>16</v>
      </c>
      <c r="W786" s="2">
        <v>120.0818436874</v>
      </c>
    </row>
    <row r="787" spans="1:23" x14ac:dyDescent="0.25">
      <c r="A787" t="s">
        <v>31</v>
      </c>
      <c r="B787" t="s">
        <v>32</v>
      </c>
      <c r="C787" t="s">
        <v>33</v>
      </c>
      <c r="D787" t="s">
        <v>34</v>
      </c>
      <c r="E787" t="s">
        <v>35</v>
      </c>
      <c r="F787" t="s">
        <v>36</v>
      </c>
      <c r="G787">
        <v>1141685</v>
      </c>
      <c r="H787" t="s">
        <v>79</v>
      </c>
      <c r="I787" t="s">
        <v>94</v>
      </c>
      <c r="J787" t="s">
        <v>101</v>
      </c>
      <c r="K787" t="s">
        <v>116</v>
      </c>
      <c r="L787" s="1">
        <v>46143</v>
      </c>
      <c r="M787" s="1">
        <v>46173</v>
      </c>
      <c r="N787">
        <v>6.0304318599999997E-2</v>
      </c>
      <c r="O787" t="s">
        <v>56</v>
      </c>
      <c r="P787" t="s">
        <v>63</v>
      </c>
      <c r="Q787" t="s">
        <v>3904</v>
      </c>
      <c r="R787" t="s">
        <v>4019</v>
      </c>
      <c r="S787" t="s">
        <v>67</v>
      </c>
      <c r="T787" t="s">
        <v>4670</v>
      </c>
      <c r="U787" t="s">
        <v>4671</v>
      </c>
      <c r="V787">
        <v>16</v>
      </c>
      <c r="W787" s="2">
        <v>84.165667560199992</v>
      </c>
    </row>
    <row r="788" spans="1:23" x14ac:dyDescent="0.25">
      <c r="A788" t="s">
        <v>31</v>
      </c>
      <c r="B788" t="s">
        <v>32</v>
      </c>
      <c r="C788" t="s">
        <v>33</v>
      </c>
      <c r="D788" t="s">
        <v>34</v>
      </c>
      <c r="E788" t="s">
        <v>35</v>
      </c>
      <c r="F788" t="s">
        <v>36</v>
      </c>
      <c r="G788">
        <v>1141685</v>
      </c>
      <c r="H788" t="s">
        <v>4672</v>
      </c>
      <c r="I788" t="s">
        <v>42</v>
      </c>
      <c r="J788" t="s">
        <v>4672</v>
      </c>
      <c r="K788" t="s">
        <v>4673</v>
      </c>
      <c r="L788" s="1">
        <v>46143</v>
      </c>
      <c r="M788" s="1">
        <v>46173</v>
      </c>
      <c r="N788">
        <v>9.7000000000000003E-3</v>
      </c>
      <c r="O788" t="s">
        <v>59</v>
      </c>
      <c r="P788" t="s">
        <v>63</v>
      </c>
      <c r="Q788" t="s">
        <v>4621</v>
      </c>
      <c r="R788" t="s">
        <v>4622</v>
      </c>
      <c r="S788" t="s">
        <v>67</v>
      </c>
      <c r="T788" t="s">
        <v>4674</v>
      </c>
      <c r="U788" t="s">
        <v>4675</v>
      </c>
      <c r="V788">
        <v>6</v>
      </c>
      <c r="W788" s="2">
        <v>0.84459527999999995</v>
      </c>
    </row>
    <row r="789" spans="1:23" x14ac:dyDescent="0.25">
      <c r="A789" t="s">
        <v>31</v>
      </c>
      <c r="B789" t="s">
        <v>32</v>
      </c>
      <c r="C789" t="s">
        <v>33</v>
      </c>
      <c r="D789" t="s">
        <v>34</v>
      </c>
      <c r="E789" t="s">
        <v>35</v>
      </c>
      <c r="F789" t="s">
        <v>36</v>
      </c>
      <c r="G789">
        <v>1141685</v>
      </c>
      <c r="H789" t="s">
        <v>79</v>
      </c>
      <c r="I789" t="s">
        <v>94</v>
      </c>
      <c r="J789" t="s">
        <v>101</v>
      </c>
      <c r="K789" t="s">
        <v>116</v>
      </c>
      <c r="L789" s="1">
        <v>46143</v>
      </c>
      <c r="M789" s="1">
        <v>46173</v>
      </c>
      <c r="N789">
        <v>2.6427357499999998E-2</v>
      </c>
      <c r="O789" t="s">
        <v>56</v>
      </c>
      <c r="P789" t="s">
        <v>63</v>
      </c>
      <c r="Q789" t="s">
        <v>3904</v>
      </c>
      <c r="R789" t="s">
        <v>3905</v>
      </c>
      <c r="S789" t="s">
        <v>67</v>
      </c>
      <c r="T789" t="s">
        <v>4676</v>
      </c>
      <c r="U789" t="s">
        <v>4677</v>
      </c>
      <c r="V789">
        <v>16</v>
      </c>
      <c r="W789" s="2">
        <v>32.800443487800003</v>
      </c>
    </row>
    <row r="790" spans="1:23" x14ac:dyDescent="0.25">
      <c r="A790" t="s">
        <v>31</v>
      </c>
      <c r="B790" t="s">
        <v>32</v>
      </c>
      <c r="C790" t="s">
        <v>33</v>
      </c>
      <c r="D790" t="s">
        <v>34</v>
      </c>
      <c r="E790" t="s">
        <v>35</v>
      </c>
      <c r="F790" t="s">
        <v>36</v>
      </c>
      <c r="G790">
        <v>1141685</v>
      </c>
      <c r="H790" t="s">
        <v>3912</v>
      </c>
      <c r="I790" t="s">
        <v>3913</v>
      </c>
      <c r="J790" t="s">
        <v>3914</v>
      </c>
      <c r="K790" t="s">
        <v>3915</v>
      </c>
      <c r="L790" s="1">
        <v>46143</v>
      </c>
      <c r="M790" s="1">
        <v>46173</v>
      </c>
      <c r="N790">
        <v>8.2170450000000006E-2</v>
      </c>
      <c r="O790" t="s">
        <v>58</v>
      </c>
      <c r="P790" t="s">
        <v>63</v>
      </c>
      <c r="Q790" t="s">
        <v>3916</v>
      </c>
      <c r="R790" t="s">
        <v>3917</v>
      </c>
      <c r="S790" t="s">
        <v>67</v>
      </c>
      <c r="T790" t="s">
        <v>4678</v>
      </c>
      <c r="U790" t="s">
        <v>4679</v>
      </c>
      <c r="V790">
        <v>15</v>
      </c>
      <c r="W790" s="2">
        <v>716.77009510799996</v>
      </c>
    </row>
    <row r="791" spans="1:23" x14ac:dyDescent="0.25">
      <c r="A791" t="s">
        <v>31</v>
      </c>
      <c r="B791" t="s">
        <v>32</v>
      </c>
      <c r="C791" t="s">
        <v>33</v>
      </c>
      <c r="D791" t="s">
        <v>34</v>
      </c>
      <c r="E791" t="s">
        <v>35</v>
      </c>
      <c r="F791" t="s">
        <v>36</v>
      </c>
      <c r="G791">
        <v>1141685</v>
      </c>
      <c r="H791" t="s">
        <v>3912</v>
      </c>
      <c r="I791" t="s">
        <v>3913</v>
      </c>
      <c r="J791" t="s">
        <v>3914</v>
      </c>
      <c r="K791" t="s">
        <v>3915</v>
      </c>
      <c r="L791" s="1">
        <v>46143</v>
      </c>
      <c r="M791" s="1">
        <v>46173</v>
      </c>
      <c r="N791">
        <v>0.118770075</v>
      </c>
      <c r="O791" t="s">
        <v>58</v>
      </c>
      <c r="P791" t="s">
        <v>63</v>
      </c>
      <c r="Q791" t="s">
        <v>3916</v>
      </c>
      <c r="R791" t="s">
        <v>3917</v>
      </c>
      <c r="S791" t="s">
        <v>67</v>
      </c>
      <c r="T791" t="s">
        <v>4680</v>
      </c>
      <c r="U791" t="s">
        <v>4681</v>
      </c>
      <c r="V791">
        <v>15</v>
      </c>
      <c r="W791" s="2">
        <v>1036.0276005180001</v>
      </c>
    </row>
    <row r="792" spans="1:23" x14ac:dyDescent="0.25">
      <c r="A792" t="s">
        <v>31</v>
      </c>
      <c r="B792" t="s">
        <v>32</v>
      </c>
      <c r="C792" t="s">
        <v>33</v>
      </c>
      <c r="D792" t="s">
        <v>34</v>
      </c>
      <c r="E792" t="s">
        <v>35</v>
      </c>
      <c r="F792" t="s">
        <v>36</v>
      </c>
      <c r="G792">
        <v>1141685</v>
      </c>
      <c r="H792" t="s">
        <v>3912</v>
      </c>
      <c r="I792" t="s">
        <v>3913</v>
      </c>
      <c r="J792" t="s">
        <v>3914</v>
      </c>
      <c r="K792" t="s">
        <v>3915</v>
      </c>
      <c r="L792" s="1">
        <v>46143</v>
      </c>
      <c r="M792" s="1">
        <v>46173</v>
      </c>
      <c r="N792">
        <v>6.2620833299999998E-2</v>
      </c>
      <c r="O792" t="s">
        <v>58</v>
      </c>
      <c r="P792" t="s">
        <v>63</v>
      </c>
      <c r="Q792" t="s">
        <v>3916</v>
      </c>
      <c r="R792" t="s">
        <v>3917</v>
      </c>
      <c r="S792" t="s">
        <v>67</v>
      </c>
      <c r="T792" t="s">
        <v>4682</v>
      </c>
      <c r="U792" t="s">
        <v>4683</v>
      </c>
      <c r="V792">
        <v>15</v>
      </c>
      <c r="W792" s="2">
        <v>546.24254566649995</v>
      </c>
    </row>
    <row r="793" spans="1:23" x14ac:dyDescent="0.25">
      <c r="A793" t="s">
        <v>31</v>
      </c>
      <c r="B793" t="s">
        <v>32</v>
      </c>
      <c r="C793" t="s">
        <v>33</v>
      </c>
      <c r="D793" t="s">
        <v>34</v>
      </c>
      <c r="E793" t="s">
        <v>35</v>
      </c>
      <c r="F793" t="s">
        <v>36</v>
      </c>
      <c r="G793">
        <v>1141685</v>
      </c>
      <c r="H793" t="s">
        <v>3912</v>
      </c>
      <c r="I793" t="s">
        <v>3913</v>
      </c>
      <c r="J793" t="s">
        <v>3914</v>
      </c>
      <c r="K793" t="s">
        <v>3915</v>
      </c>
      <c r="L793" s="1">
        <v>46143</v>
      </c>
      <c r="M793" s="1">
        <v>46173</v>
      </c>
      <c r="N793">
        <v>0.35104520830000002</v>
      </c>
      <c r="O793" t="s">
        <v>58</v>
      </c>
      <c r="P793" t="s">
        <v>63</v>
      </c>
      <c r="Q793" t="s">
        <v>3916</v>
      </c>
      <c r="R793" t="s">
        <v>3917</v>
      </c>
      <c r="S793" t="s">
        <v>67</v>
      </c>
      <c r="T793" t="s">
        <v>4684</v>
      </c>
      <c r="U793" t="s">
        <v>4685</v>
      </c>
      <c r="V793">
        <v>14</v>
      </c>
      <c r="W793" s="2">
        <v>3062.1672700166</v>
      </c>
    </row>
    <row r="794" spans="1:23" x14ac:dyDescent="0.25">
      <c r="A794" t="s">
        <v>31</v>
      </c>
      <c r="B794" t="s">
        <v>32</v>
      </c>
      <c r="C794" t="s">
        <v>33</v>
      </c>
      <c r="D794" t="s">
        <v>34</v>
      </c>
      <c r="E794" t="s">
        <v>35</v>
      </c>
      <c r="F794" t="s">
        <v>36</v>
      </c>
      <c r="G794">
        <v>1141685</v>
      </c>
      <c r="H794" t="s">
        <v>3912</v>
      </c>
      <c r="I794" t="s">
        <v>3913</v>
      </c>
      <c r="J794" t="s">
        <v>3914</v>
      </c>
      <c r="K794" t="s">
        <v>3915</v>
      </c>
      <c r="L794" s="1">
        <v>46143</v>
      </c>
      <c r="M794" s="1">
        <v>46173</v>
      </c>
      <c r="N794">
        <v>0.13996349999999999</v>
      </c>
      <c r="O794" t="s">
        <v>58</v>
      </c>
      <c r="P794" t="s">
        <v>63</v>
      </c>
      <c r="Q794" t="s">
        <v>3916</v>
      </c>
      <c r="R794" t="s">
        <v>3917</v>
      </c>
      <c r="S794" t="s">
        <v>67</v>
      </c>
      <c r="T794" t="s">
        <v>4686</v>
      </c>
      <c r="U794" t="s">
        <v>4687</v>
      </c>
      <c r="V794">
        <v>15</v>
      </c>
      <c r="W794" s="2">
        <v>1220.90341724</v>
      </c>
    </row>
    <row r="795" spans="1:23" x14ac:dyDescent="0.25">
      <c r="A795" t="s">
        <v>31</v>
      </c>
      <c r="B795" t="s">
        <v>32</v>
      </c>
      <c r="C795" t="s">
        <v>33</v>
      </c>
      <c r="D795" t="s">
        <v>34</v>
      </c>
      <c r="E795" t="s">
        <v>35</v>
      </c>
      <c r="F795" t="s">
        <v>36</v>
      </c>
      <c r="G795">
        <v>1141685</v>
      </c>
      <c r="H795" t="s">
        <v>3912</v>
      </c>
      <c r="I795" t="s">
        <v>3913</v>
      </c>
      <c r="J795" t="s">
        <v>3914</v>
      </c>
      <c r="K795" t="s">
        <v>3915</v>
      </c>
      <c r="L795" s="1">
        <v>46143</v>
      </c>
      <c r="M795" s="1">
        <v>46173</v>
      </c>
      <c r="N795">
        <v>4.2081750000000001E-2</v>
      </c>
      <c r="O795" t="s">
        <v>58</v>
      </c>
      <c r="P795" t="s">
        <v>63</v>
      </c>
      <c r="Q795" t="s">
        <v>3916</v>
      </c>
      <c r="R795" t="s">
        <v>3917</v>
      </c>
      <c r="S795" t="s">
        <v>67</v>
      </c>
      <c r="T795" t="s">
        <v>4688</v>
      </c>
      <c r="U795" t="s">
        <v>4689</v>
      </c>
      <c r="V795">
        <v>15</v>
      </c>
      <c r="W795" s="2">
        <v>367.07961261999998</v>
      </c>
    </row>
    <row r="796" spans="1:23" x14ac:dyDescent="0.25">
      <c r="A796" t="s">
        <v>31</v>
      </c>
      <c r="B796" t="s">
        <v>32</v>
      </c>
      <c r="C796" t="s">
        <v>33</v>
      </c>
      <c r="D796" t="s">
        <v>34</v>
      </c>
      <c r="E796" t="s">
        <v>35</v>
      </c>
      <c r="F796" t="s">
        <v>36</v>
      </c>
      <c r="G796">
        <v>1141685</v>
      </c>
      <c r="H796" t="s">
        <v>3912</v>
      </c>
      <c r="I796" t="s">
        <v>3913</v>
      </c>
      <c r="J796" t="s">
        <v>3914</v>
      </c>
      <c r="K796" t="s">
        <v>3915</v>
      </c>
      <c r="L796" s="1">
        <v>46143</v>
      </c>
      <c r="M796" s="1">
        <v>46173</v>
      </c>
      <c r="N796">
        <v>0.35837708330000001</v>
      </c>
      <c r="O796" t="s">
        <v>58</v>
      </c>
      <c r="P796" t="s">
        <v>63</v>
      </c>
      <c r="Q796" t="s">
        <v>3916</v>
      </c>
      <c r="R796" t="s">
        <v>3917</v>
      </c>
      <c r="S796" t="s">
        <v>67</v>
      </c>
      <c r="T796" t="s">
        <v>4690</v>
      </c>
      <c r="U796" t="s">
        <v>4691</v>
      </c>
      <c r="V796">
        <v>14</v>
      </c>
      <c r="W796" s="2">
        <v>3126.1185021666001</v>
      </c>
    </row>
    <row r="797" spans="1:23" x14ac:dyDescent="0.25">
      <c r="A797" t="s">
        <v>31</v>
      </c>
      <c r="B797" t="s">
        <v>32</v>
      </c>
      <c r="C797" t="s">
        <v>33</v>
      </c>
      <c r="D797" t="s">
        <v>34</v>
      </c>
      <c r="E797" t="s">
        <v>35</v>
      </c>
      <c r="F797" t="s">
        <v>36</v>
      </c>
      <c r="G797">
        <v>1141685</v>
      </c>
      <c r="H797" t="s">
        <v>3912</v>
      </c>
      <c r="I797" t="s">
        <v>3913</v>
      </c>
      <c r="J797" t="s">
        <v>3914</v>
      </c>
      <c r="K797" t="s">
        <v>3915</v>
      </c>
      <c r="L797" s="1">
        <v>46143</v>
      </c>
      <c r="M797" s="1">
        <v>46173</v>
      </c>
      <c r="N797">
        <v>4.9781249999999999E-2</v>
      </c>
      <c r="O797" t="s">
        <v>58</v>
      </c>
      <c r="P797" t="s">
        <v>63</v>
      </c>
      <c r="Q797" t="s">
        <v>3916</v>
      </c>
      <c r="R797" t="s">
        <v>3917</v>
      </c>
      <c r="S797" t="s">
        <v>67</v>
      </c>
      <c r="T797" t="s">
        <v>4692</v>
      </c>
      <c r="U797" t="s">
        <v>4693</v>
      </c>
      <c r="V797">
        <v>15</v>
      </c>
      <c r="W797" s="2">
        <v>434.24282249999999</v>
      </c>
    </row>
    <row r="798" spans="1:23" x14ac:dyDescent="0.25">
      <c r="A798" t="s">
        <v>31</v>
      </c>
      <c r="B798" t="s">
        <v>32</v>
      </c>
      <c r="C798" t="s">
        <v>33</v>
      </c>
      <c r="D798" t="s">
        <v>34</v>
      </c>
      <c r="E798" t="s">
        <v>35</v>
      </c>
      <c r="F798" t="s">
        <v>36</v>
      </c>
      <c r="G798">
        <v>1141685</v>
      </c>
      <c r="H798" t="s">
        <v>3912</v>
      </c>
      <c r="I798" t="s">
        <v>3913</v>
      </c>
      <c r="J798" t="s">
        <v>3914</v>
      </c>
      <c r="K798" t="s">
        <v>3915</v>
      </c>
      <c r="L798" s="1">
        <v>46143</v>
      </c>
      <c r="M798" s="1">
        <v>46173</v>
      </c>
      <c r="N798">
        <v>5.8187025000000003E-2</v>
      </c>
      <c r="O798" t="s">
        <v>58</v>
      </c>
      <c r="P798" t="s">
        <v>63</v>
      </c>
      <c r="Q798" t="s">
        <v>3916</v>
      </c>
      <c r="R798" t="s">
        <v>3917</v>
      </c>
      <c r="S798" t="s">
        <v>67</v>
      </c>
      <c r="T798" t="s">
        <v>4694</v>
      </c>
      <c r="U798" t="s">
        <v>4695</v>
      </c>
      <c r="V798">
        <v>15</v>
      </c>
      <c r="W798" s="2">
        <v>507.56756878599998</v>
      </c>
    </row>
    <row r="799" spans="1:23" x14ac:dyDescent="0.25">
      <c r="A799" t="s">
        <v>31</v>
      </c>
      <c r="B799" t="s">
        <v>32</v>
      </c>
      <c r="C799" t="s">
        <v>33</v>
      </c>
      <c r="D799" t="s">
        <v>34</v>
      </c>
      <c r="E799" t="s">
        <v>35</v>
      </c>
      <c r="F799" t="s">
        <v>36</v>
      </c>
      <c r="G799">
        <v>1141685</v>
      </c>
      <c r="H799" t="s">
        <v>3912</v>
      </c>
      <c r="I799" t="s">
        <v>3913</v>
      </c>
      <c r="J799" t="s">
        <v>3914</v>
      </c>
      <c r="K799" t="s">
        <v>3915</v>
      </c>
      <c r="L799" s="1">
        <v>46143</v>
      </c>
      <c r="M799" s="1">
        <v>46173</v>
      </c>
      <c r="N799">
        <v>0.13168318579999999</v>
      </c>
      <c r="O799" t="s">
        <v>58</v>
      </c>
      <c r="P799" t="s">
        <v>63</v>
      </c>
      <c r="Q799" t="s">
        <v>3916</v>
      </c>
      <c r="R799" t="s">
        <v>3917</v>
      </c>
      <c r="S799" t="s">
        <v>67</v>
      </c>
      <c r="T799" t="s">
        <v>4696</v>
      </c>
      <c r="U799" t="s">
        <v>4697</v>
      </c>
      <c r="V799">
        <v>12</v>
      </c>
      <c r="W799" s="2">
        <v>1148.6717384210999</v>
      </c>
    </row>
    <row r="800" spans="1:23" x14ac:dyDescent="0.25">
      <c r="A800" t="s">
        <v>31</v>
      </c>
      <c r="B800" t="s">
        <v>32</v>
      </c>
      <c r="C800" t="s">
        <v>33</v>
      </c>
      <c r="D800" t="s">
        <v>34</v>
      </c>
      <c r="E800" t="s">
        <v>35</v>
      </c>
      <c r="F800" t="s">
        <v>36</v>
      </c>
      <c r="G800">
        <v>1141685</v>
      </c>
      <c r="H800" t="s">
        <v>3912</v>
      </c>
      <c r="I800" t="s">
        <v>3913</v>
      </c>
      <c r="J800" t="s">
        <v>3914</v>
      </c>
      <c r="K800" t="s">
        <v>3915</v>
      </c>
      <c r="L800" s="1">
        <v>46143</v>
      </c>
      <c r="M800" s="1">
        <v>46173</v>
      </c>
      <c r="N800">
        <v>0.1043402533</v>
      </c>
      <c r="O800" t="s">
        <v>58</v>
      </c>
      <c r="P800" t="s">
        <v>63</v>
      </c>
      <c r="Q800" t="s">
        <v>3916</v>
      </c>
      <c r="R800" t="s">
        <v>3917</v>
      </c>
      <c r="S800" t="s">
        <v>67</v>
      </c>
      <c r="T800" t="s">
        <v>4698</v>
      </c>
      <c r="U800" t="s">
        <v>4699</v>
      </c>
      <c r="V800">
        <v>12</v>
      </c>
      <c r="W800" s="2">
        <v>910.16082624730007</v>
      </c>
    </row>
    <row r="801" spans="1:23" x14ac:dyDescent="0.25">
      <c r="A801" t="s">
        <v>31</v>
      </c>
      <c r="B801" t="s">
        <v>32</v>
      </c>
      <c r="C801" t="s">
        <v>33</v>
      </c>
      <c r="D801" t="s">
        <v>34</v>
      </c>
      <c r="E801" t="s">
        <v>35</v>
      </c>
      <c r="F801" t="s">
        <v>36</v>
      </c>
      <c r="G801">
        <v>1141685</v>
      </c>
      <c r="H801" t="s">
        <v>3912</v>
      </c>
      <c r="I801" t="s">
        <v>3913</v>
      </c>
      <c r="J801" t="s">
        <v>3914</v>
      </c>
      <c r="K801" t="s">
        <v>3915</v>
      </c>
      <c r="L801" s="1">
        <v>46143</v>
      </c>
      <c r="M801" s="1">
        <v>46173</v>
      </c>
      <c r="N801">
        <v>0.10452343059999999</v>
      </c>
      <c r="O801" t="s">
        <v>58</v>
      </c>
      <c r="P801" t="s">
        <v>63</v>
      </c>
      <c r="Q801" t="s">
        <v>3916</v>
      </c>
      <c r="R801" t="s">
        <v>3917</v>
      </c>
      <c r="S801" t="s">
        <v>67</v>
      </c>
      <c r="T801" t="s">
        <v>4700</v>
      </c>
      <c r="U801" t="s">
        <v>4701</v>
      </c>
      <c r="V801">
        <v>12</v>
      </c>
      <c r="W801" s="2">
        <v>911.75693856779992</v>
      </c>
    </row>
    <row r="802" spans="1:23" x14ac:dyDescent="0.25">
      <c r="A802" t="s">
        <v>31</v>
      </c>
      <c r="B802" t="s">
        <v>32</v>
      </c>
      <c r="C802" t="s">
        <v>33</v>
      </c>
      <c r="D802" t="s">
        <v>34</v>
      </c>
      <c r="E802" t="s">
        <v>35</v>
      </c>
      <c r="F802" t="s">
        <v>36</v>
      </c>
      <c r="G802">
        <v>1141685</v>
      </c>
      <c r="H802" t="s">
        <v>3912</v>
      </c>
      <c r="I802" t="s">
        <v>3913</v>
      </c>
      <c r="J802" t="s">
        <v>3914</v>
      </c>
      <c r="K802" t="s">
        <v>3915</v>
      </c>
      <c r="L802" s="1">
        <v>46143</v>
      </c>
      <c r="M802" s="1">
        <v>46173</v>
      </c>
      <c r="N802">
        <v>0.11285531829999999</v>
      </c>
      <c r="O802" t="s">
        <v>58</v>
      </c>
      <c r="P802" t="s">
        <v>63</v>
      </c>
      <c r="Q802" t="s">
        <v>3916</v>
      </c>
      <c r="R802" t="s">
        <v>3917</v>
      </c>
      <c r="S802" t="s">
        <v>67</v>
      </c>
      <c r="T802" t="s">
        <v>4702</v>
      </c>
      <c r="U802" t="s">
        <v>4703</v>
      </c>
      <c r="V802">
        <v>12</v>
      </c>
      <c r="W802" s="2">
        <v>984.43450880290004</v>
      </c>
    </row>
    <row r="803" spans="1:23" x14ac:dyDescent="0.25">
      <c r="A803" t="s">
        <v>31</v>
      </c>
      <c r="B803" t="s">
        <v>32</v>
      </c>
      <c r="C803" t="s">
        <v>33</v>
      </c>
      <c r="D803" t="s">
        <v>34</v>
      </c>
      <c r="E803" t="s">
        <v>35</v>
      </c>
      <c r="F803" t="s">
        <v>36</v>
      </c>
      <c r="G803">
        <v>1141685</v>
      </c>
      <c r="H803" t="s">
        <v>3912</v>
      </c>
      <c r="I803" t="s">
        <v>3913</v>
      </c>
      <c r="J803" t="s">
        <v>3914</v>
      </c>
      <c r="K803" t="s">
        <v>3915</v>
      </c>
      <c r="L803" s="1">
        <v>46143</v>
      </c>
      <c r="M803" s="1">
        <v>46173</v>
      </c>
      <c r="N803">
        <v>0.20771959719999999</v>
      </c>
      <c r="O803" t="s">
        <v>58</v>
      </c>
      <c r="P803" t="s">
        <v>63</v>
      </c>
      <c r="Q803" t="s">
        <v>3916</v>
      </c>
      <c r="R803" t="s">
        <v>3917</v>
      </c>
      <c r="S803" t="s">
        <v>67</v>
      </c>
      <c r="T803" t="s">
        <v>4704</v>
      </c>
      <c r="U803" t="s">
        <v>4705</v>
      </c>
      <c r="V803">
        <v>12</v>
      </c>
      <c r="W803" s="2">
        <v>1811.935480981</v>
      </c>
    </row>
    <row r="804" spans="1:23" x14ac:dyDescent="0.25">
      <c r="A804" t="s">
        <v>31</v>
      </c>
      <c r="B804" t="s">
        <v>32</v>
      </c>
      <c r="C804" t="s">
        <v>33</v>
      </c>
      <c r="D804" t="s">
        <v>34</v>
      </c>
      <c r="E804" t="s">
        <v>35</v>
      </c>
      <c r="F804" t="s">
        <v>36</v>
      </c>
      <c r="G804">
        <v>1141685</v>
      </c>
      <c r="H804" t="s">
        <v>3912</v>
      </c>
      <c r="I804" t="s">
        <v>3913</v>
      </c>
      <c r="J804" t="s">
        <v>3914</v>
      </c>
      <c r="K804" t="s">
        <v>3915</v>
      </c>
      <c r="L804" s="1">
        <v>46143</v>
      </c>
      <c r="M804" s="1">
        <v>46173</v>
      </c>
      <c r="N804">
        <v>9.0086388899999995E-2</v>
      </c>
      <c r="O804" t="s">
        <v>58</v>
      </c>
      <c r="P804" t="s">
        <v>63</v>
      </c>
      <c r="Q804" t="s">
        <v>3916</v>
      </c>
      <c r="R804" t="s">
        <v>3917</v>
      </c>
      <c r="S804" t="s">
        <v>67</v>
      </c>
      <c r="T804" t="s">
        <v>4706</v>
      </c>
      <c r="U804" t="s">
        <v>4707</v>
      </c>
      <c r="V804">
        <v>12</v>
      </c>
      <c r="W804" s="2">
        <v>785.82474184429998</v>
      </c>
    </row>
    <row r="805" spans="1:23" x14ac:dyDescent="0.25">
      <c r="A805" t="s">
        <v>31</v>
      </c>
      <c r="B805" t="s">
        <v>32</v>
      </c>
      <c r="C805" t="s">
        <v>33</v>
      </c>
      <c r="D805" t="s">
        <v>34</v>
      </c>
      <c r="E805" t="s">
        <v>35</v>
      </c>
      <c r="F805" t="s">
        <v>36</v>
      </c>
      <c r="G805">
        <v>1141685</v>
      </c>
      <c r="H805" t="s">
        <v>3912</v>
      </c>
      <c r="I805" t="s">
        <v>3913</v>
      </c>
      <c r="J805" t="s">
        <v>3914</v>
      </c>
      <c r="K805" t="s">
        <v>3915</v>
      </c>
      <c r="L805" s="1">
        <v>46143</v>
      </c>
      <c r="M805" s="1">
        <v>46173</v>
      </c>
      <c r="N805">
        <v>0.1143923842</v>
      </c>
      <c r="O805" t="s">
        <v>58</v>
      </c>
      <c r="P805" t="s">
        <v>63</v>
      </c>
      <c r="Q805" t="s">
        <v>3916</v>
      </c>
      <c r="R805" t="s">
        <v>3917</v>
      </c>
      <c r="S805" t="s">
        <v>67</v>
      </c>
      <c r="T805" t="s">
        <v>4708</v>
      </c>
      <c r="U805" t="s">
        <v>4709</v>
      </c>
      <c r="V805">
        <v>12</v>
      </c>
      <c r="W805" s="2">
        <v>997.84339503549995</v>
      </c>
    </row>
    <row r="806" spans="1:23" x14ac:dyDescent="0.25">
      <c r="A806" t="s">
        <v>31</v>
      </c>
      <c r="B806" t="s">
        <v>32</v>
      </c>
      <c r="C806" t="s">
        <v>33</v>
      </c>
      <c r="D806" t="s">
        <v>34</v>
      </c>
      <c r="E806" t="s">
        <v>35</v>
      </c>
      <c r="F806" t="s">
        <v>36</v>
      </c>
      <c r="G806">
        <v>1141685</v>
      </c>
      <c r="H806" t="s">
        <v>3912</v>
      </c>
      <c r="I806" t="s">
        <v>3913</v>
      </c>
      <c r="J806" t="s">
        <v>3914</v>
      </c>
      <c r="K806" t="s">
        <v>3915</v>
      </c>
      <c r="L806" s="1">
        <v>46143</v>
      </c>
      <c r="M806" s="1">
        <v>46173</v>
      </c>
      <c r="N806">
        <v>0.10062225330000001</v>
      </c>
      <c r="O806" t="s">
        <v>58</v>
      </c>
      <c r="P806" t="s">
        <v>63</v>
      </c>
      <c r="Q806" t="s">
        <v>3916</v>
      </c>
      <c r="R806" t="s">
        <v>3917</v>
      </c>
      <c r="S806" t="s">
        <v>67</v>
      </c>
      <c r="T806" t="s">
        <v>4710</v>
      </c>
      <c r="U806" t="s">
        <v>4711</v>
      </c>
      <c r="V806">
        <v>12</v>
      </c>
      <c r="W806" s="2">
        <v>877.73056592730006</v>
      </c>
    </row>
    <row r="807" spans="1:23" x14ac:dyDescent="0.25">
      <c r="A807" t="s">
        <v>31</v>
      </c>
      <c r="B807" t="s">
        <v>32</v>
      </c>
      <c r="C807" t="s">
        <v>33</v>
      </c>
      <c r="D807" t="s">
        <v>34</v>
      </c>
      <c r="E807" t="s">
        <v>35</v>
      </c>
      <c r="F807" t="s">
        <v>36</v>
      </c>
      <c r="G807">
        <v>1141685</v>
      </c>
      <c r="H807" t="s">
        <v>76</v>
      </c>
      <c r="I807" t="s">
        <v>95</v>
      </c>
      <c r="J807" t="s">
        <v>99</v>
      </c>
      <c r="K807" t="s">
        <v>109</v>
      </c>
      <c r="L807" s="1">
        <v>46143</v>
      </c>
      <c r="M807" s="1">
        <v>46173</v>
      </c>
      <c r="N807">
        <v>269</v>
      </c>
      <c r="O807" t="s">
        <v>58</v>
      </c>
      <c r="P807" t="s">
        <v>63</v>
      </c>
      <c r="Q807" t="s">
        <v>3957</v>
      </c>
      <c r="R807" t="s">
        <v>3958</v>
      </c>
      <c r="S807" t="s">
        <v>67</v>
      </c>
      <c r="T807" t="s">
        <v>4054</v>
      </c>
      <c r="U807" t="s">
        <v>4055</v>
      </c>
      <c r="V807">
        <v>16</v>
      </c>
      <c r="W807" s="2">
        <v>0</v>
      </c>
    </row>
    <row r="808" spans="1:23" x14ac:dyDescent="0.25">
      <c r="A808" t="s">
        <v>31</v>
      </c>
      <c r="B808" t="s">
        <v>32</v>
      </c>
      <c r="C808" t="s">
        <v>33</v>
      </c>
      <c r="D808" t="s">
        <v>34</v>
      </c>
      <c r="E808" t="s">
        <v>35</v>
      </c>
      <c r="F808" t="s">
        <v>36</v>
      </c>
      <c r="G808">
        <v>1141685</v>
      </c>
      <c r="H808" t="s">
        <v>76</v>
      </c>
      <c r="I808" t="s">
        <v>95</v>
      </c>
      <c r="J808" t="s">
        <v>99</v>
      </c>
      <c r="K808" t="s">
        <v>109</v>
      </c>
      <c r="L808" s="1">
        <v>46143</v>
      </c>
      <c r="M808" s="1">
        <v>46173</v>
      </c>
      <c r="N808">
        <v>54</v>
      </c>
      <c r="O808" t="s">
        <v>58</v>
      </c>
      <c r="P808" t="s">
        <v>63</v>
      </c>
      <c r="Q808" t="s">
        <v>3957</v>
      </c>
      <c r="R808" t="s">
        <v>3958</v>
      </c>
      <c r="S808" t="s">
        <v>67</v>
      </c>
      <c r="T808" t="s">
        <v>4712</v>
      </c>
      <c r="U808" t="s">
        <v>4713</v>
      </c>
      <c r="V808">
        <v>16</v>
      </c>
      <c r="W808" s="2">
        <v>0</v>
      </c>
    </row>
    <row r="809" spans="1:23" x14ac:dyDescent="0.25">
      <c r="A809" t="s">
        <v>31</v>
      </c>
      <c r="B809" t="s">
        <v>32</v>
      </c>
      <c r="C809" t="s">
        <v>33</v>
      </c>
      <c r="D809" t="s">
        <v>34</v>
      </c>
      <c r="E809" t="s">
        <v>35</v>
      </c>
      <c r="F809" t="s">
        <v>36</v>
      </c>
      <c r="G809">
        <v>1141685</v>
      </c>
      <c r="H809" t="s">
        <v>76</v>
      </c>
      <c r="I809" t="s">
        <v>95</v>
      </c>
      <c r="J809" t="s">
        <v>99</v>
      </c>
      <c r="K809" t="s">
        <v>109</v>
      </c>
      <c r="L809" s="1">
        <v>46143</v>
      </c>
      <c r="M809" s="1">
        <v>46173</v>
      </c>
      <c r="N809">
        <v>1.6646999999999999E-2</v>
      </c>
      <c r="O809" t="s">
        <v>58</v>
      </c>
      <c r="P809" t="s">
        <v>63</v>
      </c>
      <c r="Q809" t="s">
        <v>3957</v>
      </c>
      <c r="R809" t="s">
        <v>3958</v>
      </c>
      <c r="S809" t="s">
        <v>67</v>
      </c>
      <c r="T809" t="s">
        <v>4714</v>
      </c>
      <c r="U809" t="s">
        <v>4715</v>
      </c>
      <c r="V809">
        <v>16</v>
      </c>
      <c r="W809" s="2">
        <v>0</v>
      </c>
    </row>
    <row r="810" spans="1:23" x14ac:dyDescent="0.25">
      <c r="A810" t="s">
        <v>31</v>
      </c>
      <c r="B810" t="s">
        <v>32</v>
      </c>
      <c r="C810" t="s">
        <v>33</v>
      </c>
      <c r="D810" t="s">
        <v>34</v>
      </c>
      <c r="E810" t="s">
        <v>35</v>
      </c>
      <c r="F810" t="s">
        <v>36</v>
      </c>
      <c r="G810">
        <v>1141685</v>
      </c>
      <c r="H810" t="s">
        <v>76</v>
      </c>
      <c r="I810" t="s">
        <v>95</v>
      </c>
      <c r="J810" t="s">
        <v>99</v>
      </c>
      <c r="K810" t="s">
        <v>109</v>
      </c>
      <c r="L810" s="1">
        <v>46143</v>
      </c>
      <c r="M810" s="1">
        <v>46173</v>
      </c>
      <c r="N810">
        <v>0.16667000000000001</v>
      </c>
      <c r="O810" t="s">
        <v>58</v>
      </c>
      <c r="P810" t="s">
        <v>63</v>
      </c>
      <c r="Q810" t="s">
        <v>3953</v>
      </c>
      <c r="R810" t="s">
        <v>3954</v>
      </c>
      <c r="S810" t="s">
        <v>67</v>
      </c>
      <c r="T810" t="s">
        <v>4716</v>
      </c>
      <c r="U810" t="s">
        <v>4717</v>
      </c>
      <c r="V810">
        <v>16</v>
      </c>
      <c r="W810" s="2">
        <v>0</v>
      </c>
    </row>
    <row r="811" spans="1:23" x14ac:dyDescent="0.25">
      <c r="A811" t="s">
        <v>31</v>
      </c>
      <c r="B811" t="s">
        <v>32</v>
      </c>
      <c r="C811" t="s">
        <v>33</v>
      </c>
      <c r="D811" t="s">
        <v>34</v>
      </c>
      <c r="E811" t="s">
        <v>35</v>
      </c>
      <c r="F811" t="s">
        <v>36</v>
      </c>
      <c r="G811">
        <v>1141685</v>
      </c>
      <c r="H811" t="s">
        <v>76</v>
      </c>
      <c r="I811" t="s">
        <v>95</v>
      </c>
      <c r="J811" t="s">
        <v>99</v>
      </c>
      <c r="K811" t="s">
        <v>109</v>
      </c>
      <c r="L811" s="1">
        <v>46143</v>
      </c>
      <c r="M811" s="1">
        <v>46173</v>
      </c>
      <c r="N811">
        <v>0.76668099999999995</v>
      </c>
      <c r="O811" t="s">
        <v>58</v>
      </c>
      <c r="P811" t="s">
        <v>63</v>
      </c>
      <c r="Q811" t="s">
        <v>3953</v>
      </c>
      <c r="R811" t="s">
        <v>3909</v>
      </c>
      <c r="S811" t="s">
        <v>67</v>
      </c>
      <c r="T811" t="s">
        <v>3966</v>
      </c>
      <c r="U811" t="s">
        <v>3967</v>
      </c>
      <c r="V811">
        <v>16</v>
      </c>
      <c r="W811" s="2">
        <v>0</v>
      </c>
    </row>
    <row r="812" spans="1:23" x14ac:dyDescent="0.25">
      <c r="A812" t="s">
        <v>31</v>
      </c>
      <c r="B812" t="s">
        <v>32</v>
      </c>
      <c r="C812" t="s">
        <v>33</v>
      </c>
      <c r="D812" t="s">
        <v>34</v>
      </c>
      <c r="E812" t="s">
        <v>35</v>
      </c>
      <c r="F812" t="s">
        <v>36</v>
      </c>
      <c r="G812">
        <v>1141685</v>
      </c>
      <c r="H812" t="s">
        <v>76</v>
      </c>
      <c r="I812" t="s">
        <v>95</v>
      </c>
      <c r="J812" t="s">
        <v>99</v>
      </c>
      <c r="K812" t="s">
        <v>109</v>
      </c>
      <c r="L812" s="1">
        <v>46143</v>
      </c>
      <c r="M812" s="1">
        <v>46173</v>
      </c>
      <c r="N812">
        <v>216</v>
      </c>
      <c r="O812" t="s">
        <v>58</v>
      </c>
      <c r="P812" t="s">
        <v>63</v>
      </c>
      <c r="Q812" t="s">
        <v>3953</v>
      </c>
      <c r="R812" t="s">
        <v>4058</v>
      </c>
      <c r="S812" t="s">
        <v>67</v>
      </c>
      <c r="T812" t="s">
        <v>4718</v>
      </c>
      <c r="U812" t="s">
        <v>4719</v>
      </c>
      <c r="V812">
        <v>16</v>
      </c>
      <c r="W812" s="2">
        <v>0</v>
      </c>
    </row>
    <row r="813" spans="1:23" x14ac:dyDescent="0.25">
      <c r="A813" t="s">
        <v>31</v>
      </c>
      <c r="B813" t="s">
        <v>32</v>
      </c>
      <c r="C813" t="s">
        <v>33</v>
      </c>
      <c r="D813" t="s">
        <v>34</v>
      </c>
      <c r="E813" t="s">
        <v>35</v>
      </c>
      <c r="F813" t="s">
        <v>36</v>
      </c>
      <c r="G813">
        <v>1141685</v>
      </c>
      <c r="H813" t="s">
        <v>76</v>
      </c>
      <c r="I813" t="s">
        <v>95</v>
      </c>
      <c r="J813" t="s">
        <v>99</v>
      </c>
      <c r="K813" t="s">
        <v>109</v>
      </c>
      <c r="L813" s="1">
        <v>46143</v>
      </c>
      <c r="M813" s="1">
        <v>46173</v>
      </c>
      <c r="N813">
        <v>8.3239999999999995E-2</v>
      </c>
      <c r="O813" t="s">
        <v>58</v>
      </c>
      <c r="P813" t="s">
        <v>63</v>
      </c>
      <c r="Q813" t="s">
        <v>3953</v>
      </c>
      <c r="R813" t="s">
        <v>3909</v>
      </c>
      <c r="S813" t="s">
        <v>67</v>
      </c>
      <c r="T813" t="s">
        <v>3966</v>
      </c>
      <c r="U813" t="s">
        <v>3967</v>
      </c>
      <c r="V813">
        <v>16</v>
      </c>
      <c r="W813" s="2">
        <v>0</v>
      </c>
    </row>
    <row r="814" spans="1:23" x14ac:dyDescent="0.25">
      <c r="A814" t="s">
        <v>31</v>
      </c>
      <c r="B814" t="s">
        <v>32</v>
      </c>
      <c r="C814" t="s">
        <v>33</v>
      </c>
      <c r="D814" t="s">
        <v>34</v>
      </c>
      <c r="E814" t="s">
        <v>35</v>
      </c>
      <c r="F814" t="s">
        <v>36</v>
      </c>
      <c r="G814">
        <v>1141685</v>
      </c>
      <c r="H814" t="s">
        <v>76</v>
      </c>
      <c r="I814" t="s">
        <v>95</v>
      </c>
      <c r="J814" t="s">
        <v>99</v>
      </c>
      <c r="K814" t="s">
        <v>109</v>
      </c>
      <c r="L814" s="1">
        <v>46143</v>
      </c>
      <c r="M814" s="1">
        <v>46173</v>
      </c>
      <c r="N814">
        <v>0.23333799999999999</v>
      </c>
      <c r="O814" t="s">
        <v>58</v>
      </c>
      <c r="P814" t="s">
        <v>63</v>
      </c>
      <c r="Q814" t="s">
        <v>3953</v>
      </c>
      <c r="R814" t="s">
        <v>3909</v>
      </c>
      <c r="S814" t="s">
        <v>67</v>
      </c>
      <c r="T814" t="s">
        <v>3966</v>
      </c>
      <c r="U814" t="s">
        <v>3967</v>
      </c>
      <c r="V814">
        <v>16</v>
      </c>
      <c r="W814" s="2">
        <v>0</v>
      </c>
    </row>
    <row r="815" spans="1:23" x14ac:dyDescent="0.25">
      <c r="A815" t="s">
        <v>31</v>
      </c>
      <c r="B815" t="s">
        <v>32</v>
      </c>
      <c r="C815" t="s">
        <v>33</v>
      </c>
      <c r="D815" t="s">
        <v>34</v>
      </c>
      <c r="E815" t="s">
        <v>35</v>
      </c>
      <c r="F815" t="s">
        <v>36</v>
      </c>
      <c r="G815">
        <v>1141685</v>
      </c>
      <c r="H815" t="s">
        <v>76</v>
      </c>
      <c r="I815" t="s">
        <v>95</v>
      </c>
      <c r="J815" t="s">
        <v>99</v>
      </c>
      <c r="K815" t="s">
        <v>109</v>
      </c>
      <c r="L815" s="1">
        <v>46143</v>
      </c>
      <c r="M815" s="1">
        <v>46173</v>
      </c>
      <c r="N815">
        <v>12.100961</v>
      </c>
      <c r="O815" t="s">
        <v>58</v>
      </c>
      <c r="P815" t="s">
        <v>63</v>
      </c>
      <c r="Q815" t="s">
        <v>3953</v>
      </c>
      <c r="R815" t="s">
        <v>3909</v>
      </c>
      <c r="S815" t="s">
        <v>67</v>
      </c>
      <c r="T815" t="s">
        <v>4119</v>
      </c>
      <c r="U815" t="s">
        <v>4120</v>
      </c>
      <c r="V815">
        <v>16</v>
      </c>
      <c r="W815" s="2">
        <v>0</v>
      </c>
    </row>
    <row r="816" spans="1:23" x14ac:dyDescent="0.25">
      <c r="A816" t="s">
        <v>31</v>
      </c>
      <c r="B816" t="s">
        <v>32</v>
      </c>
      <c r="C816" t="s">
        <v>33</v>
      </c>
      <c r="D816" t="s">
        <v>34</v>
      </c>
      <c r="E816" t="s">
        <v>35</v>
      </c>
      <c r="F816" t="s">
        <v>36</v>
      </c>
      <c r="G816">
        <v>1141685</v>
      </c>
      <c r="H816" t="s">
        <v>75</v>
      </c>
      <c r="I816" t="s">
        <v>94</v>
      </c>
      <c r="J816" t="s">
        <v>98</v>
      </c>
      <c r="K816" t="s">
        <v>108</v>
      </c>
      <c r="L816" s="1">
        <v>46143</v>
      </c>
      <c r="M816" s="1">
        <v>46173</v>
      </c>
      <c r="N816">
        <v>2.8968700000000001E-4</v>
      </c>
      <c r="O816" t="s">
        <v>56</v>
      </c>
      <c r="P816" t="s">
        <v>63</v>
      </c>
      <c r="Q816" t="s">
        <v>3900</v>
      </c>
      <c r="R816" t="s">
        <v>3901</v>
      </c>
      <c r="S816" t="s">
        <v>67</v>
      </c>
      <c r="T816" t="s">
        <v>4720</v>
      </c>
      <c r="U816" t="s">
        <v>4721</v>
      </c>
      <c r="V816">
        <v>16</v>
      </c>
      <c r="W816" s="2">
        <v>0.60368958289999997</v>
      </c>
    </row>
    <row r="817" spans="1:23" x14ac:dyDescent="0.25">
      <c r="A817" t="s">
        <v>31</v>
      </c>
      <c r="B817" t="s">
        <v>32</v>
      </c>
      <c r="C817" t="s">
        <v>33</v>
      </c>
      <c r="D817" t="s">
        <v>34</v>
      </c>
      <c r="E817" t="s">
        <v>35</v>
      </c>
      <c r="F817" t="s">
        <v>36</v>
      </c>
      <c r="G817">
        <v>1141685</v>
      </c>
      <c r="H817" t="s">
        <v>75</v>
      </c>
      <c r="I817" t="s">
        <v>94</v>
      </c>
      <c r="J817" t="s">
        <v>98</v>
      </c>
      <c r="K817" t="s">
        <v>108</v>
      </c>
      <c r="L817" s="1">
        <v>46143</v>
      </c>
      <c r="M817" s="1">
        <v>46173</v>
      </c>
      <c r="N817">
        <v>3.5064741999999999E-3</v>
      </c>
      <c r="O817" t="s">
        <v>56</v>
      </c>
      <c r="P817" t="s">
        <v>63</v>
      </c>
      <c r="Q817" t="s">
        <v>3900</v>
      </c>
      <c r="R817" t="s">
        <v>3963</v>
      </c>
      <c r="S817" t="s">
        <v>67</v>
      </c>
      <c r="T817" t="s">
        <v>4722</v>
      </c>
      <c r="U817" t="s">
        <v>4723</v>
      </c>
      <c r="V817">
        <v>16</v>
      </c>
      <c r="W817" s="2">
        <v>7.3399689969999997</v>
      </c>
    </row>
    <row r="818" spans="1:23" x14ac:dyDescent="0.25">
      <c r="A818" t="s">
        <v>31</v>
      </c>
      <c r="B818" t="s">
        <v>32</v>
      </c>
      <c r="C818" t="s">
        <v>33</v>
      </c>
      <c r="D818" t="s">
        <v>34</v>
      </c>
      <c r="E818" t="s">
        <v>35</v>
      </c>
      <c r="F818" t="s">
        <v>36</v>
      </c>
      <c r="G818">
        <v>1141685</v>
      </c>
      <c r="H818" t="s">
        <v>75</v>
      </c>
      <c r="I818" t="s">
        <v>94</v>
      </c>
      <c r="J818" t="s">
        <v>98</v>
      </c>
      <c r="K818" t="s">
        <v>108</v>
      </c>
      <c r="L818" s="1">
        <v>46143</v>
      </c>
      <c r="M818" s="1">
        <v>46173</v>
      </c>
      <c r="N818">
        <v>2.2339019999999998E-3</v>
      </c>
      <c r="O818" t="s">
        <v>56</v>
      </c>
      <c r="P818" t="s">
        <v>63</v>
      </c>
      <c r="Q818" t="s">
        <v>3900</v>
      </c>
      <c r="R818" t="s">
        <v>3958</v>
      </c>
      <c r="S818" t="s">
        <v>67</v>
      </c>
      <c r="T818" t="s">
        <v>4724</v>
      </c>
      <c r="U818" t="s">
        <v>4725</v>
      </c>
      <c r="V818">
        <v>16</v>
      </c>
      <c r="W818" s="2">
        <v>4.6755122790999986</v>
      </c>
    </row>
    <row r="819" spans="1:23" x14ac:dyDescent="0.25">
      <c r="A819" t="s">
        <v>31</v>
      </c>
      <c r="B819" t="s">
        <v>32</v>
      </c>
      <c r="C819" t="s">
        <v>33</v>
      </c>
      <c r="D819" t="s">
        <v>34</v>
      </c>
      <c r="E819" t="s">
        <v>35</v>
      </c>
      <c r="F819" t="s">
        <v>36</v>
      </c>
      <c r="G819">
        <v>1141685</v>
      </c>
      <c r="H819" t="s">
        <v>75</v>
      </c>
      <c r="I819" t="s">
        <v>94</v>
      </c>
      <c r="J819" t="s">
        <v>98</v>
      </c>
      <c r="K819" t="s">
        <v>108</v>
      </c>
      <c r="L819" s="1">
        <v>46143</v>
      </c>
      <c r="M819" s="1">
        <v>46173</v>
      </c>
      <c r="N819">
        <v>2.4016770000000001E-3</v>
      </c>
      <c r="O819" t="s">
        <v>56</v>
      </c>
      <c r="P819" t="s">
        <v>63</v>
      </c>
      <c r="Q819" t="s">
        <v>3908</v>
      </c>
      <c r="R819" t="s">
        <v>3909</v>
      </c>
      <c r="S819" t="s">
        <v>67</v>
      </c>
      <c r="T819" t="s">
        <v>4726</v>
      </c>
      <c r="U819" t="s">
        <v>4727</v>
      </c>
      <c r="V819">
        <v>16</v>
      </c>
      <c r="W819" s="2">
        <v>3.6713485383000002</v>
      </c>
    </row>
    <row r="820" spans="1:23" x14ac:dyDescent="0.25">
      <c r="A820" t="s">
        <v>31</v>
      </c>
      <c r="B820" t="s">
        <v>32</v>
      </c>
      <c r="C820" t="s">
        <v>33</v>
      </c>
      <c r="D820" t="s">
        <v>34</v>
      </c>
      <c r="E820" t="s">
        <v>35</v>
      </c>
      <c r="F820" t="s">
        <v>36</v>
      </c>
      <c r="G820">
        <v>1141685</v>
      </c>
      <c r="H820" t="s">
        <v>75</v>
      </c>
      <c r="I820" t="s">
        <v>94</v>
      </c>
      <c r="J820" t="s">
        <v>98</v>
      </c>
      <c r="K820" t="s">
        <v>108</v>
      </c>
      <c r="L820" s="1">
        <v>46143</v>
      </c>
      <c r="M820" s="1">
        <v>46173</v>
      </c>
      <c r="N820">
        <v>2.8897242600000001E-2</v>
      </c>
      <c r="O820" t="s">
        <v>56</v>
      </c>
      <c r="P820" t="s">
        <v>63</v>
      </c>
      <c r="Q820" t="s">
        <v>3908</v>
      </c>
      <c r="R820" t="s">
        <v>4058</v>
      </c>
      <c r="S820" t="s">
        <v>67</v>
      </c>
      <c r="T820" t="s">
        <v>4728</v>
      </c>
      <c r="U820" t="s">
        <v>4729</v>
      </c>
      <c r="V820">
        <v>16</v>
      </c>
      <c r="W820" s="2">
        <v>60.4973207245</v>
      </c>
    </row>
    <row r="821" spans="1:23" x14ac:dyDescent="0.25">
      <c r="A821" t="s">
        <v>31</v>
      </c>
      <c r="B821" t="s">
        <v>32</v>
      </c>
      <c r="C821" t="s">
        <v>33</v>
      </c>
      <c r="D821" t="s">
        <v>34</v>
      </c>
      <c r="E821" t="s">
        <v>35</v>
      </c>
      <c r="F821" t="s">
        <v>36</v>
      </c>
      <c r="G821">
        <v>1141685</v>
      </c>
      <c r="H821" t="s">
        <v>75</v>
      </c>
      <c r="I821" t="s">
        <v>94</v>
      </c>
      <c r="J821" t="s">
        <v>98</v>
      </c>
      <c r="K821" t="s">
        <v>108</v>
      </c>
      <c r="L821" s="1">
        <v>46143</v>
      </c>
      <c r="M821" s="1">
        <v>46173</v>
      </c>
      <c r="N821">
        <v>6.1500000000000001E-8</v>
      </c>
      <c r="O821" t="s">
        <v>56</v>
      </c>
      <c r="P821" t="s">
        <v>63</v>
      </c>
      <c r="Q821" t="s">
        <v>3908</v>
      </c>
      <c r="R821" t="s">
        <v>3909</v>
      </c>
      <c r="S821" t="s">
        <v>67</v>
      </c>
      <c r="T821" t="s">
        <v>3944</v>
      </c>
      <c r="U821" t="s">
        <v>3945</v>
      </c>
      <c r="V821">
        <v>16</v>
      </c>
      <c r="W821" s="2">
        <v>1.13241E-4</v>
      </c>
    </row>
    <row r="822" spans="1:23" x14ac:dyDescent="0.25">
      <c r="A822" t="s">
        <v>31</v>
      </c>
      <c r="B822" t="s">
        <v>32</v>
      </c>
      <c r="C822" t="s">
        <v>33</v>
      </c>
      <c r="D822" t="s">
        <v>34</v>
      </c>
      <c r="E822" t="s">
        <v>35</v>
      </c>
      <c r="F822" t="s">
        <v>36</v>
      </c>
      <c r="G822">
        <v>1141685</v>
      </c>
      <c r="H822" t="s">
        <v>75</v>
      </c>
      <c r="I822" t="s">
        <v>94</v>
      </c>
      <c r="J822" t="s">
        <v>98</v>
      </c>
      <c r="K822" t="s">
        <v>108</v>
      </c>
      <c r="L822" s="1">
        <v>46143</v>
      </c>
      <c r="M822" s="1">
        <v>46173</v>
      </c>
      <c r="N822">
        <v>5.5674000000000003E-6</v>
      </c>
      <c r="O822" t="s">
        <v>56</v>
      </c>
      <c r="P822" t="s">
        <v>63</v>
      </c>
      <c r="Q822" t="s">
        <v>3908</v>
      </c>
      <c r="R822" t="s">
        <v>3909</v>
      </c>
      <c r="S822" t="s">
        <v>67</v>
      </c>
      <c r="T822" t="s">
        <v>4730</v>
      </c>
      <c r="U822" t="s">
        <v>4731</v>
      </c>
      <c r="V822">
        <v>16</v>
      </c>
      <c r="W822" s="2">
        <v>1.02568929E-2</v>
      </c>
    </row>
    <row r="823" spans="1:23" x14ac:dyDescent="0.25">
      <c r="A823" t="s">
        <v>31</v>
      </c>
      <c r="B823" t="s">
        <v>32</v>
      </c>
      <c r="C823" t="s">
        <v>33</v>
      </c>
      <c r="D823" t="s">
        <v>34</v>
      </c>
      <c r="E823" t="s">
        <v>35</v>
      </c>
      <c r="F823" t="s">
        <v>36</v>
      </c>
      <c r="G823">
        <v>1141685</v>
      </c>
      <c r="H823" t="s">
        <v>75</v>
      </c>
      <c r="I823" t="s">
        <v>94</v>
      </c>
      <c r="J823" t="s">
        <v>98</v>
      </c>
      <c r="K823" t="s">
        <v>108</v>
      </c>
      <c r="L823" s="1">
        <v>46143</v>
      </c>
      <c r="M823" s="1">
        <v>46173</v>
      </c>
      <c r="N823">
        <v>1.4097240000000001E-4</v>
      </c>
      <c r="O823" t="s">
        <v>56</v>
      </c>
      <c r="P823" t="s">
        <v>63</v>
      </c>
      <c r="Q823" t="s">
        <v>3908</v>
      </c>
      <c r="R823" t="s">
        <v>3909</v>
      </c>
      <c r="S823" t="s">
        <v>67</v>
      </c>
      <c r="T823" t="s">
        <v>4732</v>
      </c>
      <c r="U823" t="s">
        <v>4733</v>
      </c>
      <c r="V823">
        <v>16</v>
      </c>
      <c r="W823" s="2">
        <v>0.29971317939999997</v>
      </c>
    </row>
    <row r="824" spans="1:23" x14ac:dyDescent="0.25">
      <c r="A824" t="s">
        <v>31</v>
      </c>
      <c r="B824" t="s">
        <v>32</v>
      </c>
      <c r="C824" t="s">
        <v>33</v>
      </c>
      <c r="D824" t="s">
        <v>34</v>
      </c>
      <c r="E824" t="s">
        <v>35</v>
      </c>
      <c r="F824" t="s">
        <v>36</v>
      </c>
      <c r="G824">
        <v>1141685</v>
      </c>
      <c r="H824" t="s">
        <v>75</v>
      </c>
      <c r="I824" t="s">
        <v>94</v>
      </c>
      <c r="J824" t="s">
        <v>98</v>
      </c>
      <c r="K824" t="s">
        <v>108</v>
      </c>
      <c r="L824" s="1">
        <v>46143</v>
      </c>
      <c r="M824" s="1">
        <v>46173</v>
      </c>
      <c r="N824">
        <v>5.5879000000000003E-6</v>
      </c>
      <c r="O824" t="s">
        <v>56</v>
      </c>
      <c r="P824" t="s">
        <v>63</v>
      </c>
      <c r="Q824" t="s">
        <v>3908</v>
      </c>
      <c r="R824" t="s">
        <v>3909</v>
      </c>
      <c r="S824" t="s">
        <v>67</v>
      </c>
      <c r="T824" t="s">
        <v>4734</v>
      </c>
      <c r="U824" t="s">
        <v>4735</v>
      </c>
      <c r="V824">
        <v>16</v>
      </c>
      <c r="W824" s="2">
        <v>1.0294640000000001E-2</v>
      </c>
    </row>
    <row r="825" spans="1:23" x14ac:dyDescent="0.25">
      <c r="A825" t="s">
        <v>31</v>
      </c>
      <c r="B825" t="s">
        <v>32</v>
      </c>
      <c r="C825" t="s">
        <v>33</v>
      </c>
      <c r="D825" t="s">
        <v>34</v>
      </c>
      <c r="E825" t="s">
        <v>35</v>
      </c>
      <c r="F825" t="s">
        <v>36</v>
      </c>
      <c r="G825">
        <v>1141685</v>
      </c>
      <c r="H825" t="s">
        <v>75</v>
      </c>
      <c r="I825" t="s">
        <v>94</v>
      </c>
      <c r="J825" t="s">
        <v>98</v>
      </c>
      <c r="K825" t="s">
        <v>108</v>
      </c>
      <c r="L825" s="1">
        <v>46143</v>
      </c>
      <c r="M825" s="1">
        <v>46173</v>
      </c>
      <c r="N825">
        <v>2.37897E-5</v>
      </c>
      <c r="O825" t="s">
        <v>56</v>
      </c>
      <c r="P825" t="s">
        <v>63</v>
      </c>
      <c r="Q825" t="s">
        <v>3908</v>
      </c>
      <c r="R825" t="s">
        <v>3909</v>
      </c>
      <c r="S825" t="s">
        <v>67</v>
      </c>
      <c r="T825" t="s">
        <v>4736</v>
      </c>
      <c r="U825" t="s">
        <v>4737</v>
      </c>
      <c r="V825">
        <v>16</v>
      </c>
      <c r="W825" s="2">
        <v>5.3827714300000003E-2</v>
      </c>
    </row>
    <row r="826" spans="1:23" x14ac:dyDescent="0.25">
      <c r="A826" t="s">
        <v>31</v>
      </c>
      <c r="B826" t="s">
        <v>32</v>
      </c>
      <c r="C826" t="s">
        <v>33</v>
      </c>
      <c r="D826" t="s">
        <v>34</v>
      </c>
      <c r="E826" t="s">
        <v>35</v>
      </c>
      <c r="F826" t="s">
        <v>36</v>
      </c>
      <c r="G826">
        <v>1141685</v>
      </c>
      <c r="H826" t="s">
        <v>75</v>
      </c>
      <c r="I826" t="s">
        <v>94</v>
      </c>
      <c r="J826" t="s">
        <v>98</v>
      </c>
      <c r="K826" t="s">
        <v>108</v>
      </c>
      <c r="L826" s="1">
        <v>46143</v>
      </c>
      <c r="M826" s="1">
        <v>46173</v>
      </c>
      <c r="N826">
        <v>1.229E-7</v>
      </c>
      <c r="O826" t="s">
        <v>56</v>
      </c>
      <c r="P826" t="s">
        <v>63</v>
      </c>
      <c r="Q826" t="s">
        <v>3908</v>
      </c>
      <c r="R826" t="s">
        <v>3909</v>
      </c>
      <c r="S826" t="s">
        <v>67</v>
      </c>
      <c r="T826" t="s">
        <v>4738</v>
      </c>
      <c r="U826" t="s">
        <v>4739</v>
      </c>
      <c r="V826">
        <v>16</v>
      </c>
      <c r="W826" s="2">
        <v>2.2648199999999999E-4</v>
      </c>
    </row>
    <row r="827" spans="1:23" x14ac:dyDescent="0.25">
      <c r="A827" t="s">
        <v>31</v>
      </c>
      <c r="B827" t="s">
        <v>32</v>
      </c>
      <c r="C827" t="s">
        <v>33</v>
      </c>
      <c r="D827" t="s">
        <v>34</v>
      </c>
      <c r="E827" t="s">
        <v>35</v>
      </c>
      <c r="F827" t="s">
        <v>36</v>
      </c>
      <c r="G827">
        <v>1141685</v>
      </c>
      <c r="H827" t="s">
        <v>75</v>
      </c>
      <c r="I827" t="s">
        <v>94</v>
      </c>
      <c r="J827" t="s">
        <v>98</v>
      </c>
      <c r="K827" t="s">
        <v>108</v>
      </c>
      <c r="L827" s="1">
        <v>46143</v>
      </c>
      <c r="M827" s="1">
        <v>46173</v>
      </c>
      <c r="N827">
        <v>7.6998570899999993E-2</v>
      </c>
      <c r="O827" t="s">
        <v>56</v>
      </c>
      <c r="P827" t="s">
        <v>63</v>
      </c>
      <c r="Q827" t="s">
        <v>3904</v>
      </c>
      <c r="R827" t="s">
        <v>4400</v>
      </c>
      <c r="S827" t="s">
        <v>67</v>
      </c>
      <c r="T827" t="s">
        <v>4740</v>
      </c>
      <c r="U827" t="s">
        <v>4741</v>
      </c>
      <c r="V827">
        <v>16</v>
      </c>
      <c r="W827" s="2">
        <v>152.74045811709999</v>
      </c>
    </row>
    <row r="828" spans="1:23" x14ac:dyDescent="0.25">
      <c r="A828" t="s">
        <v>31</v>
      </c>
      <c r="B828" t="s">
        <v>32</v>
      </c>
      <c r="C828" t="s">
        <v>33</v>
      </c>
      <c r="D828" t="s">
        <v>34</v>
      </c>
      <c r="E828" t="s">
        <v>35</v>
      </c>
      <c r="F828" t="s">
        <v>36</v>
      </c>
      <c r="G828">
        <v>1141685</v>
      </c>
      <c r="H828" t="s">
        <v>75</v>
      </c>
      <c r="I828" t="s">
        <v>94</v>
      </c>
      <c r="J828" t="s">
        <v>98</v>
      </c>
      <c r="K828" t="s">
        <v>108</v>
      </c>
      <c r="L828" s="1">
        <v>46143</v>
      </c>
      <c r="M828" s="1">
        <v>46173</v>
      </c>
      <c r="N828">
        <v>5.2190999999999997E-6</v>
      </c>
      <c r="O828" t="s">
        <v>56</v>
      </c>
      <c r="P828" t="s">
        <v>63</v>
      </c>
      <c r="Q828" t="s">
        <v>3908</v>
      </c>
      <c r="R828" t="s">
        <v>3909</v>
      </c>
      <c r="S828" t="s">
        <v>67</v>
      </c>
      <c r="T828" t="s">
        <v>4742</v>
      </c>
      <c r="U828" t="s">
        <v>4743</v>
      </c>
      <c r="V828">
        <v>16</v>
      </c>
      <c r="W828" s="2">
        <v>9.6151937E-3</v>
      </c>
    </row>
    <row r="829" spans="1:23" x14ac:dyDescent="0.25">
      <c r="A829" t="s">
        <v>31</v>
      </c>
      <c r="B829" t="s">
        <v>32</v>
      </c>
      <c r="C829" t="s">
        <v>33</v>
      </c>
      <c r="D829" t="s">
        <v>34</v>
      </c>
      <c r="E829" t="s">
        <v>35</v>
      </c>
      <c r="F829" t="s">
        <v>36</v>
      </c>
      <c r="G829">
        <v>1141685</v>
      </c>
      <c r="H829" t="s">
        <v>75</v>
      </c>
      <c r="I829" t="s">
        <v>94</v>
      </c>
      <c r="J829" t="s">
        <v>98</v>
      </c>
      <c r="K829" t="s">
        <v>108</v>
      </c>
      <c r="L829" s="1">
        <v>46143</v>
      </c>
      <c r="M829" s="1">
        <v>46173</v>
      </c>
      <c r="N829">
        <v>3.9536265700000003E-2</v>
      </c>
      <c r="O829" t="s">
        <v>56</v>
      </c>
      <c r="P829" t="s">
        <v>63</v>
      </c>
      <c r="Q829" t="s">
        <v>3904</v>
      </c>
      <c r="R829" t="s">
        <v>3905</v>
      </c>
      <c r="S829" t="s">
        <v>67</v>
      </c>
      <c r="T829" t="s">
        <v>4744</v>
      </c>
      <c r="U829" t="s">
        <v>4745</v>
      </c>
      <c r="V829">
        <v>16</v>
      </c>
      <c r="W829" s="2">
        <v>82.767567329499997</v>
      </c>
    </row>
    <row r="830" spans="1:23" x14ac:dyDescent="0.25">
      <c r="A830" t="s">
        <v>31</v>
      </c>
      <c r="B830" t="s">
        <v>32</v>
      </c>
      <c r="C830" t="s">
        <v>33</v>
      </c>
      <c r="D830" t="s">
        <v>34</v>
      </c>
      <c r="E830" t="s">
        <v>35</v>
      </c>
      <c r="F830" t="s">
        <v>36</v>
      </c>
      <c r="G830">
        <v>1141685</v>
      </c>
      <c r="H830" t="s">
        <v>75</v>
      </c>
      <c r="I830" t="s">
        <v>94</v>
      </c>
      <c r="J830" t="s">
        <v>98</v>
      </c>
      <c r="K830" t="s">
        <v>108</v>
      </c>
      <c r="L830" s="1">
        <v>46143</v>
      </c>
      <c r="M830" s="1">
        <v>46173</v>
      </c>
      <c r="N830">
        <v>2.1000531999999998E-3</v>
      </c>
      <c r="O830" t="s">
        <v>56</v>
      </c>
      <c r="P830" t="s">
        <v>63</v>
      </c>
      <c r="Q830" t="s">
        <v>3972</v>
      </c>
      <c r="R830" t="s">
        <v>4047</v>
      </c>
      <c r="S830" t="s">
        <v>67</v>
      </c>
      <c r="T830" t="s">
        <v>4746</v>
      </c>
      <c r="U830" t="s">
        <v>4747</v>
      </c>
      <c r="V830">
        <v>7</v>
      </c>
      <c r="W830" s="2">
        <v>4.1793369575000003</v>
      </c>
    </row>
    <row r="831" spans="1:23" x14ac:dyDescent="0.25">
      <c r="A831" t="s">
        <v>31</v>
      </c>
      <c r="B831" t="s">
        <v>32</v>
      </c>
      <c r="C831" t="s">
        <v>33</v>
      </c>
      <c r="D831" t="s">
        <v>34</v>
      </c>
      <c r="E831" t="s">
        <v>35</v>
      </c>
      <c r="F831" t="s">
        <v>36</v>
      </c>
      <c r="G831">
        <v>1141685</v>
      </c>
      <c r="H831" t="s">
        <v>75</v>
      </c>
      <c r="I831" t="s">
        <v>94</v>
      </c>
      <c r="J831" t="s">
        <v>98</v>
      </c>
      <c r="K831" t="s">
        <v>108</v>
      </c>
      <c r="L831" s="1">
        <v>46143</v>
      </c>
      <c r="M831" s="1">
        <v>46173</v>
      </c>
      <c r="N831">
        <v>0.38649560700000002</v>
      </c>
      <c r="O831" t="s">
        <v>56</v>
      </c>
      <c r="P831" t="s">
        <v>63</v>
      </c>
      <c r="Q831" t="s">
        <v>3993</v>
      </c>
      <c r="R831" t="s">
        <v>3994</v>
      </c>
      <c r="S831" t="s">
        <v>67</v>
      </c>
      <c r="T831" t="s">
        <v>4748</v>
      </c>
      <c r="U831" t="s">
        <v>4749</v>
      </c>
      <c r="V831">
        <v>8</v>
      </c>
      <c r="W831" s="2">
        <v>808.88877110049998</v>
      </c>
    </row>
    <row r="832" spans="1:23" x14ac:dyDescent="0.25">
      <c r="A832" t="s">
        <v>31</v>
      </c>
      <c r="B832" t="s">
        <v>32</v>
      </c>
      <c r="C832" t="s">
        <v>33</v>
      </c>
      <c r="D832" t="s">
        <v>34</v>
      </c>
      <c r="E832" t="s">
        <v>35</v>
      </c>
      <c r="F832" t="s">
        <v>36</v>
      </c>
      <c r="G832">
        <v>1141685</v>
      </c>
      <c r="H832" t="s">
        <v>82</v>
      </c>
      <c r="I832" t="s">
        <v>82</v>
      </c>
      <c r="J832" t="s">
        <v>82</v>
      </c>
      <c r="K832" t="s">
        <v>120</v>
      </c>
      <c r="L832" s="1">
        <v>46143</v>
      </c>
      <c r="M832" s="1">
        <v>46173</v>
      </c>
      <c r="N832">
        <v>1</v>
      </c>
      <c r="O832" t="s">
        <v>61</v>
      </c>
      <c r="P832" t="s">
        <v>63</v>
      </c>
      <c r="Q832" t="s">
        <v>3972</v>
      </c>
      <c r="R832" t="s">
        <v>157</v>
      </c>
      <c r="S832" t="s">
        <v>68</v>
      </c>
      <c r="T832" t="s">
        <v>4750</v>
      </c>
      <c r="U832" t="s">
        <v>4751</v>
      </c>
      <c r="V832">
        <v>8</v>
      </c>
      <c r="W832" s="2">
        <v>2691.9341720419998</v>
      </c>
    </row>
    <row r="833" spans="1:23" x14ac:dyDescent="0.25">
      <c r="A833" t="s">
        <v>31</v>
      </c>
      <c r="B833" t="s">
        <v>32</v>
      </c>
      <c r="C833" t="s">
        <v>33</v>
      </c>
      <c r="D833" t="s">
        <v>34</v>
      </c>
      <c r="E833" t="s">
        <v>35</v>
      </c>
      <c r="F833" t="s">
        <v>36</v>
      </c>
      <c r="G833">
        <v>1141685</v>
      </c>
      <c r="H833" t="s">
        <v>82</v>
      </c>
      <c r="I833" t="s">
        <v>82</v>
      </c>
      <c r="J833" t="s">
        <v>82</v>
      </c>
      <c r="K833" t="s">
        <v>120</v>
      </c>
      <c r="L833" s="1">
        <v>46143</v>
      </c>
      <c r="M833" s="1">
        <v>46173</v>
      </c>
      <c r="N833">
        <v>1</v>
      </c>
      <c r="O833" t="s">
        <v>61</v>
      </c>
      <c r="P833" t="s">
        <v>63</v>
      </c>
      <c r="Q833" t="s">
        <v>3993</v>
      </c>
      <c r="R833" t="s">
        <v>149</v>
      </c>
      <c r="S833" t="s">
        <v>68</v>
      </c>
      <c r="T833" t="s">
        <v>256</v>
      </c>
      <c r="U833" t="s">
        <v>411</v>
      </c>
      <c r="V833">
        <v>6</v>
      </c>
      <c r="W833" s="2">
        <v>2691.9341720419998</v>
      </c>
    </row>
    <row r="834" spans="1:23" x14ac:dyDescent="0.25">
      <c r="A834" t="s">
        <v>31</v>
      </c>
      <c r="B834" t="s">
        <v>32</v>
      </c>
      <c r="C834" t="s">
        <v>33</v>
      </c>
      <c r="D834" t="s">
        <v>34</v>
      </c>
      <c r="E834" t="s">
        <v>35</v>
      </c>
      <c r="F834" t="s">
        <v>36</v>
      </c>
      <c r="G834">
        <v>1141685</v>
      </c>
      <c r="H834" t="s">
        <v>82</v>
      </c>
      <c r="I834" t="s">
        <v>82</v>
      </c>
      <c r="J834" t="s">
        <v>82</v>
      </c>
      <c r="K834" t="s">
        <v>120</v>
      </c>
      <c r="L834" s="1">
        <v>46143</v>
      </c>
      <c r="M834" s="1">
        <v>46173</v>
      </c>
      <c r="N834">
        <v>1</v>
      </c>
      <c r="O834" t="s">
        <v>61</v>
      </c>
      <c r="P834" t="s">
        <v>63</v>
      </c>
      <c r="Q834" t="s">
        <v>3972</v>
      </c>
      <c r="R834" t="s">
        <v>4752</v>
      </c>
      <c r="S834" t="s">
        <v>68</v>
      </c>
      <c r="T834" t="s">
        <v>4753</v>
      </c>
      <c r="U834" t="s">
        <v>4754</v>
      </c>
      <c r="V834">
        <v>7</v>
      </c>
      <c r="W834" s="2">
        <v>2691.9341720419998</v>
      </c>
    </row>
    <row r="835" spans="1:23" x14ac:dyDescent="0.25">
      <c r="A835" t="s">
        <v>31</v>
      </c>
      <c r="B835" t="s">
        <v>32</v>
      </c>
      <c r="C835" t="s">
        <v>33</v>
      </c>
      <c r="D835" t="s">
        <v>34</v>
      </c>
      <c r="E835" t="s">
        <v>35</v>
      </c>
      <c r="F835" t="s">
        <v>36</v>
      </c>
      <c r="G835">
        <v>1141685</v>
      </c>
      <c r="H835" t="s">
        <v>82</v>
      </c>
      <c r="I835" t="s">
        <v>82</v>
      </c>
      <c r="J835" t="s">
        <v>82</v>
      </c>
      <c r="K835" t="s">
        <v>120</v>
      </c>
      <c r="L835" s="1">
        <v>46143</v>
      </c>
      <c r="M835" s="1">
        <v>46173</v>
      </c>
      <c r="N835">
        <v>1</v>
      </c>
      <c r="O835" t="s">
        <v>61</v>
      </c>
      <c r="P835" t="s">
        <v>63</v>
      </c>
      <c r="Q835" t="s">
        <v>3993</v>
      </c>
      <c r="R835" t="s">
        <v>4507</v>
      </c>
      <c r="S835" t="s">
        <v>68</v>
      </c>
      <c r="T835" t="s">
        <v>256</v>
      </c>
      <c r="U835" t="s">
        <v>411</v>
      </c>
      <c r="V835">
        <v>6</v>
      </c>
      <c r="W835" s="2">
        <v>2691.9341720419998</v>
      </c>
    </row>
    <row r="836" spans="1:23" x14ac:dyDescent="0.25">
      <c r="A836" t="s">
        <v>31</v>
      </c>
      <c r="B836" t="s">
        <v>32</v>
      </c>
      <c r="C836" t="s">
        <v>33</v>
      </c>
      <c r="D836" t="s">
        <v>34</v>
      </c>
      <c r="E836" t="s">
        <v>35</v>
      </c>
      <c r="F836" t="s">
        <v>36</v>
      </c>
      <c r="G836">
        <v>1141685</v>
      </c>
      <c r="H836" t="s">
        <v>75</v>
      </c>
      <c r="I836" t="s">
        <v>94</v>
      </c>
      <c r="J836" t="s">
        <v>98</v>
      </c>
      <c r="K836" t="s">
        <v>108</v>
      </c>
      <c r="L836" s="1">
        <v>46143</v>
      </c>
      <c r="M836" s="1">
        <v>46173</v>
      </c>
      <c r="N836">
        <v>1.56E-4</v>
      </c>
      <c r="O836" t="s">
        <v>56</v>
      </c>
      <c r="P836" t="s">
        <v>63</v>
      </c>
      <c r="Q836" t="s">
        <v>3993</v>
      </c>
      <c r="R836" t="s">
        <v>65</v>
      </c>
      <c r="S836" t="s">
        <v>67</v>
      </c>
      <c r="T836" t="s">
        <v>4755</v>
      </c>
      <c r="U836" t="s">
        <v>4756</v>
      </c>
      <c r="V836">
        <v>6</v>
      </c>
      <c r="W836" s="2">
        <v>0.32739842559999999</v>
      </c>
    </row>
    <row r="837" spans="1:23" x14ac:dyDescent="0.25">
      <c r="A837" t="s">
        <v>31</v>
      </c>
      <c r="B837" t="s">
        <v>32</v>
      </c>
      <c r="C837" t="s">
        <v>33</v>
      </c>
      <c r="D837" t="s">
        <v>34</v>
      </c>
      <c r="E837" t="s">
        <v>35</v>
      </c>
      <c r="F837" t="s">
        <v>36</v>
      </c>
      <c r="G837">
        <v>1141685</v>
      </c>
      <c r="H837" t="s">
        <v>87</v>
      </c>
      <c r="I837" t="s">
        <v>87</v>
      </c>
      <c r="J837" t="s">
        <v>87</v>
      </c>
      <c r="K837" t="s">
        <v>125</v>
      </c>
      <c r="L837" s="1">
        <v>46143</v>
      </c>
      <c r="M837" s="1">
        <v>46173</v>
      </c>
      <c r="N837">
        <v>744</v>
      </c>
      <c r="O837" t="s">
        <v>58</v>
      </c>
      <c r="P837" t="s">
        <v>63</v>
      </c>
      <c r="Q837" t="s">
        <v>3904</v>
      </c>
      <c r="R837" t="s">
        <v>158</v>
      </c>
      <c r="S837" t="s">
        <v>67</v>
      </c>
      <c r="T837" t="s">
        <v>4757</v>
      </c>
      <c r="U837" t="s">
        <v>4758</v>
      </c>
      <c r="V837">
        <v>11</v>
      </c>
      <c r="W837" s="2">
        <v>324495.598</v>
      </c>
    </row>
    <row r="838" spans="1:23" x14ac:dyDescent="0.25">
      <c r="A838" t="s">
        <v>31</v>
      </c>
      <c r="B838" t="s">
        <v>32</v>
      </c>
      <c r="C838" t="s">
        <v>33</v>
      </c>
      <c r="D838" t="s">
        <v>34</v>
      </c>
      <c r="E838" t="s">
        <v>35</v>
      </c>
      <c r="F838" t="s">
        <v>36</v>
      </c>
      <c r="G838">
        <v>1141685</v>
      </c>
      <c r="H838" t="s">
        <v>75</v>
      </c>
      <c r="I838" t="s">
        <v>94</v>
      </c>
      <c r="J838" t="s">
        <v>98</v>
      </c>
      <c r="K838" t="s">
        <v>108</v>
      </c>
      <c r="L838" s="1">
        <v>46143</v>
      </c>
      <c r="M838" s="1">
        <v>46173</v>
      </c>
      <c r="N838">
        <v>0.59355507699999999</v>
      </c>
      <c r="O838" t="s">
        <v>56</v>
      </c>
      <c r="P838" t="s">
        <v>63</v>
      </c>
      <c r="Q838" t="s">
        <v>3908</v>
      </c>
      <c r="R838" t="s">
        <v>3909</v>
      </c>
      <c r="S838" t="s">
        <v>67</v>
      </c>
      <c r="T838" t="s">
        <v>4759</v>
      </c>
      <c r="U838" t="s">
        <v>4760</v>
      </c>
      <c r="V838">
        <v>16</v>
      </c>
      <c r="W838" s="2">
        <v>1242.6150937841001</v>
      </c>
    </row>
    <row r="839" spans="1:23" x14ac:dyDescent="0.25">
      <c r="A839" t="s">
        <v>31</v>
      </c>
      <c r="B839" t="s">
        <v>32</v>
      </c>
      <c r="C839" t="s">
        <v>33</v>
      </c>
      <c r="D839" t="s">
        <v>34</v>
      </c>
      <c r="E839" t="s">
        <v>35</v>
      </c>
      <c r="F839" t="s">
        <v>36</v>
      </c>
      <c r="G839">
        <v>1141685</v>
      </c>
      <c r="H839" t="s">
        <v>75</v>
      </c>
      <c r="I839" t="s">
        <v>94</v>
      </c>
      <c r="J839" t="s">
        <v>98</v>
      </c>
      <c r="K839" t="s">
        <v>108</v>
      </c>
      <c r="L839" s="1">
        <v>46143</v>
      </c>
      <c r="M839" s="1">
        <v>46173</v>
      </c>
      <c r="N839">
        <v>1.0346999999999999E-5</v>
      </c>
      <c r="O839" t="s">
        <v>56</v>
      </c>
      <c r="P839" t="s">
        <v>63</v>
      </c>
      <c r="Q839" t="s">
        <v>3908</v>
      </c>
      <c r="R839" t="s">
        <v>3909</v>
      </c>
      <c r="S839" t="s">
        <v>67</v>
      </c>
      <c r="T839" t="s">
        <v>4761</v>
      </c>
      <c r="U839" t="s">
        <v>4762</v>
      </c>
      <c r="V839">
        <v>16</v>
      </c>
      <c r="W839" s="2">
        <v>1.90622417E-2</v>
      </c>
    </row>
    <row r="840" spans="1:23" x14ac:dyDescent="0.25">
      <c r="A840" t="s">
        <v>31</v>
      </c>
      <c r="B840" t="s">
        <v>32</v>
      </c>
      <c r="C840" t="s">
        <v>33</v>
      </c>
      <c r="D840" t="s">
        <v>34</v>
      </c>
      <c r="E840" t="s">
        <v>35</v>
      </c>
      <c r="F840" t="s">
        <v>36</v>
      </c>
      <c r="G840">
        <v>1141685</v>
      </c>
      <c r="H840" t="s">
        <v>87</v>
      </c>
      <c r="I840" t="s">
        <v>87</v>
      </c>
      <c r="J840" t="s">
        <v>87</v>
      </c>
      <c r="K840" t="s">
        <v>131</v>
      </c>
      <c r="L840" s="1">
        <v>46143</v>
      </c>
      <c r="M840" s="1">
        <v>46173</v>
      </c>
      <c r="N840">
        <v>492.28557939450002</v>
      </c>
      <c r="O840" t="s">
        <v>56</v>
      </c>
      <c r="P840" t="s">
        <v>63</v>
      </c>
      <c r="Q840" t="s">
        <v>3904</v>
      </c>
      <c r="R840" t="s">
        <v>164</v>
      </c>
      <c r="S840" t="s">
        <v>67</v>
      </c>
      <c r="T840" t="s">
        <v>4763</v>
      </c>
      <c r="U840" t="s">
        <v>4764</v>
      </c>
      <c r="V840">
        <v>11</v>
      </c>
      <c r="W840" s="2">
        <v>42942.0725597161</v>
      </c>
    </row>
    <row r="841" spans="1:23" x14ac:dyDescent="0.25">
      <c r="A841" t="s">
        <v>31</v>
      </c>
      <c r="B841" t="s">
        <v>32</v>
      </c>
      <c r="C841" t="s">
        <v>33</v>
      </c>
      <c r="D841" t="s">
        <v>34</v>
      </c>
      <c r="E841" t="s">
        <v>35</v>
      </c>
      <c r="F841" t="s">
        <v>36</v>
      </c>
      <c r="G841">
        <v>1141685</v>
      </c>
      <c r="H841" t="s">
        <v>75</v>
      </c>
      <c r="I841" t="s">
        <v>94</v>
      </c>
      <c r="J841" t="s">
        <v>98</v>
      </c>
      <c r="K841" t="s">
        <v>108</v>
      </c>
      <c r="L841" s="1">
        <v>46143</v>
      </c>
      <c r="M841" s="1">
        <v>46173</v>
      </c>
      <c r="N841">
        <v>1.8786835000000001E-3</v>
      </c>
      <c r="O841" t="s">
        <v>56</v>
      </c>
      <c r="P841" t="s">
        <v>63</v>
      </c>
      <c r="Q841" t="s">
        <v>3908</v>
      </c>
      <c r="R841" t="s">
        <v>3909</v>
      </c>
      <c r="S841" t="s">
        <v>67</v>
      </c>
      <c r="T841" t="s">
        <v>4765</v>
      </c>
      <c r="U841" t="s">
        <v>4766</v>
      </c>
      <c r="V841">
        <v>16</v>
      </c>
      <c r="W841" s="2">
        <v>3.9310940206999998</v>
      </c>
    </row>
    <row r="842" spans="1:23" x14ac:dyDescent="0.25">
      <c r="A842" t="s">
        <v>31</v>
      </c>
      <c r="B842" t="s">
        <v>32</v>
      </c>
      <c r="C842" t="s">
        <v>33</v>
      </c>
      <c r="D842" t="s">
        <v>34</v>
      </c>
      <c r="E842" t="s">
        <v>35</v>
      </c>
      <c r="F842" t="s">
        <v>36</v>
      </c>
      <c r="G842">
        <v>1141685</v>
      </c>
      <c r="H842" t="s">
        <v>87</v>
      </c>
      <c r="I842" t="s">
        <v>87</v>
      </c>
      <c r="J842" t="s">
        <v>87</v>
      </c>
      <c r="K842" t="s">
        <v>125</v>
      </c>
      <c r="L842" s="1">
        <v>46143</v>
      </c>
      <c r="M842" s="1">
        <v>46173</v>
      </c>
      <c r="N842">
        <v>712</v>
      </c>
      <c r="O842" t="s">
        <v>58</v>
      </c>
      <c r="P842" t="s">
        <v>63</v>
      </c>
      <c r="Q842" t="s">
        <v>3900</v>
      </c>
      <c r="R842" t="s">
        <v>164</v>
      </c>
      <c r="S842" t="s">
        <v>67</v>
      </c>
      <c r="T842" t="s">
        <v>4767</v>
      </c>
      <c r="U842" t="s">
        <v>4768</v>
      </c>
      <c r="V842">
        <v>12</v>
      </c>
      <c r="W842" s="2">
        <v>310538.804</v>
      </c>
    </row>
    <row r="843" spans="1:23" x14ac:dyDescent="0.25">
      <c r="A843" t="s">
        <v>31</v>
      </c>
      <c r="B843" t="s">
        <v>32</v>
      </c>
      <c r="C843" t="s">
        <v>33</v>
      </c>
      <c r="D843" t="s">
        <v>34</v>
      </c>
      <c r="E843" t="s">
        <v>35</v>
      </c>
      <c r="F843" t="s">
        <v>36</v>
      </c>
      <c r="G843">
        <v>1141685</v>
      </c>
      <c r="H843" t="s">
        <v>80</v>
      </c>
      <c r="I843" t="s">
        <v>96</v>
      </c>
      <c r="J843" t="s">
        <v>80</v>
      </c>
      <c r="K843" t="s">
        <v>115</v>
      </c>
      <c r="L843" s="1">
        <v>46143</v>
      </c>
      <c r="M843" s="1">
        <v>46173</v>
      </c>
      <c r="N843">
        <v>0.12073170950000001</v>
      </c>
      <c r="O843" t="s">
        <v>56</v>
      </c>
      <c r="P843" t="s">
        <v>63</v>
      </c>
      <c r="Q843" t="s">
        <v>3972</v>
      </c>
      <c r="R843" t="s">
        <v>4047</v>
      </c>
      <c r="S843" t="s">
        <v>67</v>
      </c>
      <c r="T843" t="s">
        <v>4769</v>
      </c>
      <c r="U843" t="s">
        <v>4770</v>
      </c>
      <c r="V843">
        <v>7</v>
      </c>
      <c r="W843" s="2">
        <v>21.065311556600001</v>
      </c>
    </row>
    <row r="844" spans="1:23" x14ac:dyDescent="0.25">
      <c r="A844" t="s">
        <v>31</v>
      </c>
      <c r="B844" t="s">
        <v>32</v>
      </c>
      <c r="C844" t="s">
        <v>33</v>
      </c>
      <c r="D844" t="s">
        <v>34</v>
      </c>
      <c r="E844" t="s">
        <v>35</v>
      </c>
      <c r="F844" t="s">
        <v>36</v>
      </c>
      <c r="G844">
        <v>1141685</v>
      </c>
      <c r="H844" t="s">
        <v>75</v>
      </c>
      <c r="I844" t="s">
        <v>94</v>
      </c>
      <c r="J844" t="s">
        <v>98</v>
      </c>
      <c r="K844" t="s">
        <v>4771</v>
      </c>
      <c r="L844" s="1">
        <v>46143</v>
      </c>
      <c r="M844" s="1">
        <v>46173</v>
      </c>
      <c r="N844">
        <v>2.1599999999999999E-4</v>
      </c>
      <c r="O844" t="s">
        <v>56</v>
      </c>
      <c r="P844" t="s">
        <v>63</v>
      </c>
      <c r="Q844" t="s">
        <v>3916</v>
      </c>
      <c r="R844" t="s">
        <v>4602</v>
      </c>
      <c r="S844" t="s">
        <v>67</v>
      </c>
      <c r="T844" t="s">
        <v>4772</v>
      </c>
      <c r="U844" t="s">
        <v>4773</v>
      </c>
      <c r="V844">
        <v>7</v>
      </c>
      <c r="W844" s="2">
        <v>0</v>
      </c>
    </row>
    <row r="845" spans="1:23" x14ac:dyDescent="0.25">
      <c r="A845" t="s">
        <v>31</v>
      </c>
      <c r="B845" t="s">
        <v>32</v>
      </c>
      <c r="C845" t="s">
        <v>33</v>
      </c>
      <c r="D845" t="s">
        <v>34</v>
      </c>
      <c r="E845" t="s">
        <v>35</v>
      </c>
      <c r="F845" t="s">
        <v>36</v>
      </c>
      <c r="G845">
        <v>1141685</v>
      </c>
      <c r="H845" t="s">
        <v>4774</v>
      </c>
      <c r="I845" t="s">
        <v>95</v>
      </c>
      <c r="J845" t="s">
        <v>4775</v>
      </c>
      <c r="K845" t="s">
        <v>4776</v>
      </c>
      <c r="L845" s="1">
        <v>46143</v>
      </c>
      <c r="M845" s="1">
        <v>46173</v>
      </c>
      <c r="N845">
        <v>75.983350000000002</v>
      </c>
      <c r="O845" t="s">
        <v>58</v>
      </c>
      <c r="P845" t="s">
        <v>63</v>
      </c>
      <c r="Q845" t="s">
        <v>3930</v>
      </c>
      <c r="R845" t="s">
        <v>4047</v>
      </c>
      <c r="S845" t="s">
        <v>67</v>
      </c>
      <c r="T845" t="s">
        <v>4777</v>
      </c>
      <c r="U845" t="s">
        <v>4778</v>
      </c>
      <c r="V845">
        <v>7</v>
      </c>
      <c r="W845" s="2">
        <v>69991.975071782392</v>
      </c>
    </row>
    <row r="846" spans="1:23" x14ac:dyDescent="0.25">
      <c r="A846" t="s">
        <v>31</v>
      </c>
      <c r="B846" t="s">
        <v>32</v>
      </c>
      <c r="C846" t="s">
        <v>33</v>
      </c>
      <c r="D846" t="s">
        <v>34</v>
      </c>
      <c r="E846" t="s">
        <v>35</v>
      </c>
      <c r="F846" t="s">
        <v>36</v>
      </c>
      <c r="G846">
        <v>1141685</v>
      </c>
      <c r="H846" t="s">
        <v>80</v>
      </c>
      <c r="I846" t="s">
        <v>96</v>
      </c>
      <c r="J846" t="s">
        <v>80</v>
      </c>
      <c r="K846" t="s">
        <v>115</v>
      </c>
      <c r="L846" s="1">
        <v>46143</v>
      </c>
      <c r="M846" s="1">
        <v>46173</v>
      </c>
      <c r="N846">
        <v>7.735919E-4</v>
      </c>
      <c r="O846" t="s">
        <v>56</v>
      </c>
      <c r="P846" t="s">
        <v>63</v>
      </c>
      <c r="Q846" t="s">
        <v>3900</v>
      </c>
      <c r="R846" t="s">
        <v>3958</v>
      </c>
      <c r="S846" t="s">
        <v>67</v>
      </c>
      <c r="T846" t="s">
        <v>4779</v>
      </c>
      <c r="U846" t="s">
        <v>4780</v>
      </c>
      <c r="V846">
        <v>16</v>
      </c>
      <c r="W846" s="2">
        <v>0.1387655448</v>
      </c>
    </row>
    <row r="847" spans="1:23" x14ac:dyDescent="0.25">
      <c r="A847" t="s">
        <v>31</v>
      </c>
      <c r="B847" t="s">
        <v>32</v>
      </c>
      <c r="C847" t="s">
        <v>33</v>
      </c>
      <c r="D847" t="s">
        <v>34</v>
      </c>
      <c r="E847" t="s">
        <v>35</v>
      </c>
      <c r="F847" t="s">
        <v>36</v>
      </c>
      <c r="G847">
        <v>1141685</v>
      </c>
      <c r="H847" t="s">
        <v>91</v>
      </c>
      <c r="I847" t="s">
        <v>95</v>
      </c>
      <c r="J847" t="s">
        <v>106</v>
      </c>
      <c r="K847" t="s">
        <v>479</v>
      </c>
      <c r="L847" s="1">
        <v>46143</v>
      </c>
      <c r="M847" s="1">
        <v>46173</v>
      </c>
      <c r="N847">
        <v>1</v>
      </c>
      <c r="O847" t="s">
        <v>58</v>
      </c>
      <c r="P847" t="s">
        <v>63</v>
      </c>
      <c r="Q847" t="s">
        <v>3957</v>
      </c>
      <c r="R847" t="s">
        <v>3963</v>
      </c>
      <c r="S847" t="s">
        <v>67</v>
      </c>
      <c r="T847" t="s">
        <v>4781</v>
      </c>
      <c r="U847" t="s">
        <v>4782</v>
      </c>
      <c r="V847">
        <v>16</v>
      </c>
      <c r="W847" s="2">
        <v>4361.5</v>
      </c>
    </row>
    <row r="848" spans="1:23" x14ac:dyDescent="0.25">
      <c r="A848" t="s">
        <v>31</v>
      </c>
      <c r="B848" t="s">
        <v>32</v>
      </c>
      <c r="C848" t="s">
        <v>33</v>
      </c>
      <c r="D848" t="s">
        <v>34</v>
      </c>
      <c r="E848" t="s">
        <v>35</v>
      </c>
      <c r="F848" t="s">
        <v>36</v>
      </c>
      <c r="G848">
        <v>1141685</v>
      </c>
      <c r="H848" t="s">
        <v>91</v>
      </c>
      <c r="I848" t="s">
        <v>95</v>
      </c>
      <c r="J848" t="s">
        <v>106</v>
      </c>
      <c r="K848" t="s">
        <v>479</v>
      </c>
      <c r="L848" s="1">
        <v>46143</v>
      </c>
      <c r="M848" s="1">
        <v>46173</v>
      </c>
      <c r="N848">
        <v>269</v>
      </c>
      <c r="O848" t="s">
        <v>58</v>
      </c>
      <c r="P848" t="s">
        <v>63</v>
      </c>
      <c r="Q848" t="s">
        <v>3957</v>
      </c>
      <c r="R848" t="s">
        <v>3958</v>
      </c>
      <c r="S848" t="s">
        <v>67</v>
      </c>
      <c r="T848" t="s">
        <v>4783</v>
      </c>
      <c r="U848" t="s">
        <v>4784</v>
      </c>
      <c r="V848">
        <v>16</v>
      </c>
      <c r="W848" s="2">
        <v>1173243.5</v>
      </c>
    </row>
    <row r="849" spans="1:23" x14ac:dyDescent="0.25">
      <c r="A849" t="s">
        <v>31</v>
      </c>
      <c r="B849" t="s">
        <v>32</v>
      </c>
      <c r="C849" t="s">
        <v>33</v>
      </c>
      <c r="D849" t="s">
        <v>34</v>
      </c>
      <c r="E849" t="s">
        <v>35</v>
      </c>
      <c r="F849" t="s">
        <v>36</v>
      </c>
      <c r="G849">
        <v>1141685</v>
      </c>
      <c r="H849" t="s">
        <v>80</v>
      </c>
      <c r="I849" t="s">
        <v>96</v>
      </c>
      <c r="J849" t="s">
        <v>80</v>
      </c>
      <c r="K849" t="s">
        <v>115</v>
      </c>
      <c r="L849" s="1">
        <v>46143</v>
      </c>
      <c r="M849" s="1">
        <v>46173</v>
      </c>
      <c r="N849">
        <v>1.8612170599999998E-2</v>
      </c>
      <c r="O849" t="s">
        <v>56</v>
      </c>
      <c r="P849" t="s">
        <v>63</v>
      </c>
      <c r="Q849" t="s">
        <v>3900</v>
      </c>
      <c r="R849" t="s">
        <v>3958</v>
      </c>
      <c r="S849" t="s">
        <v>67</v>
      </c>
      <c r="T849" t="s">
        <v>4785</v>
      </c>
      <c r="U849" t="s">
        <v>4786</v>
      </c>
      <c r="V849">
        <v>16</v>
      </c>
      <c r="W849" s="2">
        <v>3.2474297674999999</v>
      </c>
    </row>
    <row r="850" spans="1:23" x14ac:dyDescent="0.25">
      <c r="A850" t="s">
        <v>31</v>
      </c>
      <c r="B850" t="s">
        <v>32</v>
      </c>
      <c r="C850" t="s">
        <v>33</v>
      </c>
      <c r="D850" t="s">
        <v>34</v>
      </c>
      <c r="E850" t="s">
        <v>35</v>
      </c>
      <c r="F850" t="s">
        <v>36</v>
      </c>
      <c r="G850">
        <v>1141685</v>
      </c>
      <c r="H850" t="s">
        <v>80</v>
      </c>
      <c r="I850" t="s">
        <v>96</v>
      </c>
      <c r="J850" t="s">
        <v>80</v>
      </c>
      <c r="K850" t="s">
        <v>115</v>
      </c>
      <c r="L850" s="1">
        <v>46143</v>
      </c>
      <c r="M850" s="1">
        <v>46173</v>
      </c>
      <c r="N850">
        <v>6.6234699999999998E-5</v>
      </c>
      <c r="O850" t="s">
        <v>56</v>
      </c>
      <c r="P850" t="s">
        <v>63</v>
      </c>
      <c r="Q850" t="s">
        <v>3900</v>
      </c>
      <c r="R850" t="s">
        <v>3958</v>
      </c>
      <c r="S850" t="s">
        <v>67</v>
      </c>
      <c r="T850" t="s">
        <v>4787</v>
      </c>
      <c r="U850" t="s">
        <v>4788</v>
      </c>
      <c r="V850">
        <v>16</v>
      </c>
      <c r="W850" s="2">
        <v>1.0168673600000001E-2</v>
      </c>
    </row>
    <row r="851" spans="1:23" x14ac:dyDescent="0.25">
      <c r="A851" t="s">
        <v>31</v>
      </c>
      <c r="B851" t="s">
        <v>32</v>
      </c>
      <c r="C851" t="s">
        <v>33</v>
      </c>
      <c r="D851" t="s">
        <v>34</v>
      </c>
      <c r="E851" t="s">
        <v>35</v>
      </c>
      <c r="F851" t="s">
        <v>36</v>
      </c>
      <c r="G851">
        <v>1141685</v>
      </c>
      <c r="H851" t="s">
        <v>80</v>
      </c>
      <c r="I851" t="s">
        <v>96</v>
      </c>
      <c r="J851" t="s">
        <v>80</v>
      </c>
      <c r="K851" t="s">
        <v>115</v>
      </c>
      <c r="L851" s="1">
        <v>46143</v>
      </c>
      <c r="M851" s="1">
        <v>46173</v>
      </c>
      <c r="N851">
        <v>3.7402190000000002E-4</v>
      </c>
      <c r="O851" t="s">
        <v>56</v>
      </c>
      <c r="P851" t="s">
        <v>63</v>
      </c>
      <c r="Q851" t="s">
        <v>3900</v>
      </c>
      <c r="R851" t="s">
        <v>3958</v>
      </c>
      <c r="S851" t="s">
        <v>67</v>
      </c>
      <c r="T851" t="s">
        <v>4789</v>
      </c>
      <c r="U851" t="s">
        <v>4790</v>
      </c>
      <c r="V851">
        <v>16</v>
      </c>
      <c r="W851" s="2">
        <v>6.7421643399999995E-2</v>
      </c>
    </row>
    <row r="852" spans="1:23" x14ac:dyDescent="0.25">
      <c r="A852" t="s">
        <v>31</v>
      </c>
      <c r="B852" t="s">
        <v>32</v>
      </c>
      <c r="C852" t="s">
        <v>33</v>
      </c>
      <c r="D852" t="s">
        <v>34</v>
      </c>
      <c r="E852" t="s">
        <v>35</v>
      </c>
      <c r="F852" t="s">
        <v>36</v>
      </c>
      <c r="G852">
        <v>1141685</v>
      </c>
      <c r="H852" t="s">
        <v>91</v>
      </c>
      <c r="I852" t="s">
        <v>95</v>
      </c>
      <c r="J852" t="s">
        <v>106</v>
      </c>
      <c r="K852" t="s">
        <v>479</v>
      </c>
      <c r="L852" s="1">
        <v>46143</v>
      </c>
      <c r="M852" s="1">
        <v>46173</v>
      </c>
      <c r="N852">
        <v>14.500389999999999</v>
      </c>
      <c r="O852" t="s">
        <v>58</v>
      </c>
      <c r="P852" t="s">
        <v>63</v>
      </c>
      <c r="Q852" t="s">
        <v>3953</v>
      </c>
      <c r="R852" t="s">
        <v>3909</v>
      </c>
      <c r="S852" t="s">
        <v>67</v>
      </c>
      <c r="T852" t="s">
        <v>4791</v>
      </c>
      <c r="U852" t="s">
        <v>4792</v>
      </c>
      <c r="V852">
        <v>16</v>
      </c>
      <c r="W852" s="2">
        <v>63243.446866799997</v>
      </c>
    </row>
    <row r="853" spans="1:23" x14ac:dyDescent="0.25">
      <c r="A853" t="s">
        <v>31</v>
      </c>
      <c r="B853" t="s">
        <v>32</v>
      </c>
      <c r="C853" t="s">
        <v>33</v>
      </c>
      <c r="D853" t="s">
        <v>34</v>
      </c>
      <c r="E853" t="s">
        <v>35</v>
      </c>
      <c r="F853" t="s">
        <v>36</v>
      </c>
      <c r="G853">
        <v>1141685</v>
      </c>
      <c r="H853" t="s">
        <v>91</v>
      </c>
      <c r="I853" t="s">
        <v>95</v>
      </c>
      <c r="J853" t="s">
        <v>106</v>
      </c>
      <c r="K853" t="s">
        <v>479</v>
      </c>
      <c r="L853" s="1">
        <v>46143</v>
      </c>
      <c r="M853" s="1">
        <v>46173</v>
      </c>
      <c r="N853">
        <v>0.983352</v>
      </c>
      <c r="O853" t="s">
        <v>58</v>
      </c>
      <c r="P853" t="s">
        <v>63</v>
      </c>
      <c r="Q853" t="s">
        <v>3957</v>
      </c>
      <c r="R853" t="s">
        <v>3958</v>
      </c>
      <c r="S853" t="s">
        <v>67</v>
      </c>
      <c r="T853" t="s">
        <v>4793</v>
      </c>
      <c r="U853" t="s">
        <v>4794</v>
      </c>
      <c r="V853">
        <v>16</v>
      </c>
      <c r="W853" s="2">
        <v>4288.89297824</v>
      </c>
    </row>
    <row r="854" spans="1:23" x14ac:dyDescent="0.25">
      <c r="A854" t="s">
        <v>31</v>
      </c>
      <c r="B854" t="s">
        <v>32</v>
      </c>
      <c r="C854" t="s">
        <v>33</v>
      </c>
      <c r="D854" t="s">
        <v>34</v>
      </c>
      <c r="E854" t="s">
        <v>35</v>
      </c>
      <c r="F854" t="s">
        <v>36</v>
      </c>
      <c r="G854">
        <v>1141685</v>
      </c>
      <c r="H854" t="s">
        <v>91</v>
      </c>
      <c r="I854" t="s">
        <v>95</v>
      </c>
      <c r="J854" t="s">
        <v>106</v>
      </c>
      <c r="K854" t="s">
        <v>479</v>
      </c>
      <c r="L854" s="1">
        <v>46143</v>
      </c>
      <c r="M854" s="1">
        <v>46173</v>
      </c>
      <c r="N854">
        <v>281.36738000000003</v>
      </c>
      <c r="O854" t="s">
        <v>58</v>
      </c>
      <c r="P854" t="s">
        <v>63</v>
      </c>
      <c r="Q854" t="s">
        <v>3953</v>
      </c>
      <c r="R854" t="s">
        <v>3909</v>
      </c>
      <c r="S854" t="s">
        <v>67</v>
      </c>
      <c r="T854" t="s">
        <v>4795</v>
      </c>
      <c r="U854" t="s">
        <v>4796</v>
      </c>
      <c r="V854">
        <v>16</v>
      </c>
      <c r="W854" s="2">
        <v>1227183.8285256</v>
      </c>
    </row>
    <row r="855" spans="1:23" x14ac:dyDescent="0.25">
      <c r="A855" t="s">
        <v>31</v>
      </c>
      <c r="B855" t="s">
        <v>32</v>
      </c>
      <c r="C855" t="s">
        <v>33</v>
      </c>
      <c r="D855" t="s">
        <v>34</v>
      </c>
      <c r="E855" t="s">
        <v>35</v>
      </c>
      <c r="F855" t="s">
        <v>36</v>
      </c>
      <c r="G855">
        <v>1141685</v>
      </c>
      <c r="H855" t="s">
        <v>91</v>
      </c>
      <c r="I855" t="s">
        <v>95</v>
      </c>
      <c r="J855" t="s">
        <v>106</v>
      </c>
      <c r="K855" t="s">
        <v>479</v>
      </c>
      <c r="L855" s="1">
        <v>46143</v>
      </c>
      <c r="M855" s="1">
        <v>46173</v>
      </c>
      <c r="N855">
        <v>1.966704</v>
      </c>
      <c r="O855" t="s">
        <v>58</v>
      </c>
      <c r="P855" t="s">
        <v>63</v>
      </c>
      <c r="Q855" t="s">
        <v>3953</v>
      </c>
      <c r="R855" t="s">
        <v>3909</v>
      </c>
      <c r="S855" t="s">
        <v>67</v>
      </c>
      <c r="T855" t="s">
        <v>4797</v>
      </c>
      <c r="U855" t="s">
        <v>4798</v>
      </c>
      <c r="V855">
        <v>16</v>
      </c>
      <c r="W855" s="2">
        <v>8577.7759564799999</v>
      </c>
    </row>
    <row r="856" spans="1:23" x14ac:dyDescent="0.25">
      <c r="A856" t="s">
        <v>31</v>
      </c>
      <c r="B856" t="s">
        <v>32</v>
      </c>
      <c r="C856" t="s">
        <v>33</v>
      </c>
      <c r="D856" t="s">
        <v>34</v>
      </c>
      <c r="E856" t="s">
        <v>35</v>
      </c>
      <c r="F856" t="s">
        <v>36</v>
      </c>
      <c r="G856">
        <v>1141685</v>
      </c>
      <c r="H856" t="s">
        <v>91</v>
      </c>
      <c r="I856" t="s">
        <v>95</v>
      </c>
      <c r="J856" t="s">
        <v>106</v>
      </c>
      <c r="K856" t="s">
        <v>479</v>
      </c>
      <c r="L856" s="1">
        <v>46143</v>
      </c>
      <c r="M856" s="1">
        <v>46173</v>
      </c>
      <c r="N856">
        <v>0.55001100000000003</v>
      </c>
      <c r="O856" t="s">
        <v>58</v>
      </c>
      <c r="P856" t="s">
        <v>63</v>
      </c>
      <c r="Q856" t="s">
        <v>3953</v>
      </c>
      <c r="R856" t="s">
        <v>3909</v>
      </c>
      <c r="S856" t="s">
        <v>67</v>
      </c>
      <c r="T856" t="s">
        <v>4799</v>
      </c>
      <c r="U856" t="s">
        <v>4800</v>
      </c>
      <c r="V856">
        <v>16</v>
      </c>
      <c r="W856" s="2">
        <v>2398.8682193200002</v>
      </c>
    </row>
    <row r="857" spans="1:23" x14ac:dyDescent="0.25">
      <c r="A857" t="s">
        <v>31</v>
      </c>
      <c r="B857" t="s">
        <v>32</v>
      </c>
      <c r="C857" t="s">
        <v>33</v>
      </c>
      <c r="D857" t="s">
        <v>34</v>
      </c>
      <c r="E857" t="s">
        <v>35</v>
      </c>
      <c r="F857" t="s">
        <v>36</v>
      </c>
      <c r="G857">
        <v>1141685</v>
      </c>
      <c r="H857" t="s">
        <v>80</v>
      </c>
      <c r="I857" t="s">
        <v>96</v>
      </c>
      <c r="J857" t="s">
        <v>80</v>
      </c>
      <c r="K857" t="s">
        <v>115</v>
      </c>
      <c r="L857" s="1">
        <v>46143</v>
      </c>
      <c r="M857" s="1">
        <v>46173</v>
      </c>
      <c r="N857">
        <v>2.6760439999999998E-4</v>
      </c>
      <c r="O857" t="s">
        <v>56</v>
      </c>
      <c r="P857" t="s">
        <v>63</v>
      </c>
      <c r="Q857" t="s">
        <v>3908</v>
      </c>
      <c r="R857" t="s">
        <v>3909</v>
      </c>
      <c r="S857" t="s">
        <v>67</v>
      </c>
      <c r="T857" t="s">
        <v>4801</v>
      </c>
      <c r="U857" t="s">
        <v>4802</v>
      </c>
      <c r="V857">
        <v>16</v>
      </c>
      <c r="W857" s="2">
        <v>5.1083906800000002E-2</v>
      </c>
    </row>
    <row r="858" spans="1:23" x14ac:dyDescent="0.25">
      <c r="A858" t="s">
        <v>31</v>
      </c>
      <c r="B858" t="s">
        <v>32</v>
      </c>
      <c r="C858" t="s">
        <v>33</v>
      </c>
      <c r="D858" t="s">
        <v>34</v>
      </c>
      <c r="E858" t="s">
        <v>35</v>
      </c>
      <c r="F858" t="s">
        <v>36</v>
      </c>
      <c r="G858">
        <v>1141685</v>
      </c>
      <c r="H858" t="s">
        <v>80</v>
      </c>
      <c r="I858" t="s">
        <v>96</v>
      </c>
      <c r="J858" t="s">
        <v>80</v>
      </c>
      <c r="K858" t="s">
        <v>115</v>
      </c>
      <c r="L858" s="1">
        <v>46143</v>
      </c>
      <c r="M858" s="1">
        <v>46173</v>
      </c>
      <c r="N858">
        <v>6.2709572699999994E-2</v>
      </c>
      <c r="O858" t="s">
        <v>56</v>
      </c>
      <c r="P858" t="s">
        <v>63</v>
      </c>
      <c r="Q858" t="s">
        <v>3908</v>
      </c>
      <c r="R858" t="s">
        <v>3954</v>
      </c>
      <c r="S858" t="s">
        <v>67</v>
      </c>
      <c r="T858" t="s">
        <v>4803</v>
      </c>
      <c r="U858" t="s">
        <v>4804</v>
      </c>
      <c r="V858">
        <v>16</v>
      </c>
      <c r="W858" s="2">
        <v>10.937474609000001</v>
      </c>
    </row>
    <row r="859" spans="1:23" x14ac:dyDescent="0.25">
      <c r="A859" t="s">
        <v>31</v>
      </c>
      <c r="B859" t="s">
        <v>32</v>
      </c>
      <c r="C859" t="s">
        <v>33</v>
      </c>
      <c r="D859" t="s">
        <v>34</v>
      </c>
      <c r="E859" t="s">
        <v>35</v>
      </c>
      <c r="F859" t="s">
        <v>36</v>
      </c>
      <c r="G859">
        <v>1141685</v>
      </c>
      <c r="H859" t="s">
        <v>80</v>
      </c>
      <c r="I859" t="s">
        <v>96</v>
      </c>
      <c r="J859" t="s">
        <v>80</v>
      </c>
      <c r="K859" t="s">
        <v>115</v>
      </c>
      <c r="L859" s="1">
        <v>46143</v>
      </c>
      <c r="M859" s="1">
        <v>46173</v>
      </c>
      <c r="N859">
        <v>6.0328468999999996E-3</v>
      </c>
      <c r="O859" t="s">
        <v>56</v>
      </c>
      <c r="P859" t="s">
        <v>63</v>
      </c>
      <c r="Q859" t="s">
        <v>3908</v>
      </c>
      <c r="R859" t="s">
        <v>3909</v>
      </c>
      <c r="S859" t="s">
        <v>67</v>
      </c>
      <c r="T859" t="s">
        <v>4805</v>
      </c>
      <c r="U859" t="s">
        <v>4806</v>
      </c>
      <c r="V859">
        <v>16</v>
      </c>
      <c r="W859" s="2">
        <v>1.0561916082</v>
      </c>
    </row>
    <row r="860" spans="1:23" x14ac:dyDescent="0.25">
      <c r="A860" t="s">
        <v>31</v>
      </c>
      <c r="B860" t="s">
        <v>32</v>
      </c>
      <c r="C860" t="s">
        <v>33</v>
      </c>
      <c r="D860" t="s">
        <v>34</v>
      </c>
      <c r="E860" t="s">
        <v>35</v>
      </c>
      <c r="F860" t="s">
        <v>36</v>
      </c>
      <c r="G860">
        <v>1141685</v>
      </c>
      <c r="H860" t="s">
        <v>80</v>
      </c>
      <c r="I860" t="s">
        <v>96</v>
      </c>
      <c r="J860" t="s">
        <v>80</v>
      </c>
      <c r="K860" t="s">
        <v>115</v>
      </c>
      <c r="L860" s="1">
        <v>46143</v>
      </c>
      <c r="M860" s="1">
        <v>46173</v>
      </c>
      <c r="N860">
        <v>9.6029453000000004E-3</v>
      </c>
      <c r="O860" t="s">
        <v>56</v>
      </c>
      <c r="P860" t="s">
        <v>63</v>
      </c>
      <c r="Q860" t="s">
        <v>3908</v>
      </c>
      <c r="R860" t="s">
        <v>3909</v>
      </c>
      <c r="S860" t="s">
        <v>67</v>
      </c>
      <c r="T860" t="s">
        <v>4807</v>
      </c>
      <c r="U860" t="s">
        <v>4808</v>
      </c>
      <c r="V860">
        <v>16</v>
      </c>
      <c r="W860" s="2">
        <v>1.6742902560999999</v>
      </c>
    </row>
    <row r="861" spans="1:23" x14ac:dyDescent="0.25">
      <c r="A861" t="s">
        <v>31</v>
      </c>
      <c r="B861" t="s">
        <v>32</v>
      </c>
      <c r="C861" t="s">
        <v>33</v>
      </c>
      <c r="D861" t="s">
        <v>34</v>
      </c>
      <c r="E861" t="s">
        <v>35</v>
      </c>
      <c r="F861" t="s">
        <v>36</v>
      </c>
      <c r="G861">
        <v>1141685</v>
      </c>
      <c r="H861" t="s">
        <v>80</v>
      </c>
      <c r="I861" t="s">
        <v>96</v>
      </c>
      <c r="J861" t="s">
        <v>80</v>
      </c>
      <c r="K861" t="s">
        <v>115</v>
      </c>
      <c r="L861" s="1">
        <v>46143</v>
      </c>
      <c r="M861" s="1">
        <v>46173</v>
      </c>
      <c r="N861">
        <v>2.3136799999999998E-5</v>
      </c>
      <c r="O861" t="s">
        <v>56</v>
      </c>
      <c r="P861" t="s">
        <v>63</v>
      </c>
      <c r="Q861" t="s">
        <v>3908</v>
      </c>
      <c r="R861" t="s">
        <v>3909</v>
      </c>
      <c r="S861" t="s">
        <v>67</v>
      </c>
      <c r="T861" t="s">
        <v>4809</v>
      </c>
      <c r="U861" t="s">
        <v>4810</v>
      </c>
      <c r="V861">
        <v>16</v>
      </c>
      <c r="W861" s="2">
        <v>3.5520795999999999E-3</v>
      </c>
    </row>
    <row r="862" spans="1:23" x14ac:dyDescent="0.25">
      <c r="A862" t="s">
        <v>31</v>
      </c>
      <c r="B862" t="s">
        <v>32</v>
      </c>
      <c r="C862" t="s">
        <v>33</v>
      </c>
      <c r="D862" t="s">
        <v>34</v>
      </c>
      <c r="E862" t="s">
        <v>35</v>
      </c>
      <c r="F862" t="s">
        <v>36</v>
      </c>
      <c r="G862">
        <v>1141685</v>
      </c>
      <c r="H862" t="s">
        <v>80</v>
      </c>
      <c r="I862" t="s">
        <v>96</v>
      </c>
      <c r="J862" t="s">
        <v>80</v>
      </c>
      <c r="K862" t="s">
        <v>115</v>
      </c>
      <c r="L862" s="1">
        <v>46143</v>
      </c>
      <c r="M862" s="1">
        <v>46173</v>
      </c>
      <c r="N862">
        <v>2.4791799999999999E-5</v>
      </c>
      <c r="O862" t="s">
        <v>56</v>
      </c>
      <c r="P862" t="s">
        <v>63</v>
      </c>
      <c r="Q862" t="s">
        <v>3908</v>
      </c>
      <c r="R862" t="s">
        <v>3909</v>
      </c>
      <c r="S862" t="s">
        <v>67</v>
      </c>
      <c r="T862" t="s">
        <v>4811</v>
      </c>
      <c r="U862" t="s">
        <v>4812</v>
      </c>
      <c r="V862">
        <v>16</v>
      </c>
      <c r="W862" s="2">
        <v>3.8061570000000001E-3</v>
      </c>
    </row>
    <row r="863" spans="1:23" x14ac:dyDescent="0.25">
      <c r="A863" t="s">
        <v>31</v>
      </c>
      <c r="B863" t="s">
        <v>32</v>
      </c>
      <c r="C863" t="s">
        <v>33</v>
      </c>
      <c r="D863" t="s">
        <v>34</v>
      </c>
      <c r="E863" t="s">
        <v>35</v>
      </c>
      <c r="F863" t="s">
        <v>36</v>
      </c>
      <c r="G863">
        <v>1141685</v>
      </c>
      <c r="H863" t="s">
        <v>91</v>
      </c>
      <c r="I863" t="s">
        <v>95</v>
      </c>
      <c r="J863" t="s">
        <v>106</v>
      </c>
      <c r="K863" t="s">
        <v>479</v>
      </c>
      <c r="L863" s="1">
        <v>46143</v>
      </c>
      <c r="M863" s="1">
        <v>46173</v>
      </c>
      <c r="N863">
        <v>266.83345000000003</v>
      </c>
      <c r="O863" t="s">
        <v>58</v>
      </c>
      <c r="P863" t="s">
        <v>63</v>
      </c>
      <c r="Q863" t="s">
        <v>3957</v>
      </c>
      <c r="R863" t="s">
        <v>3958</v>
      </c>
      <c r="S863" t="s">
        <v>67</v>
      </c>
      <c r="T863" t="s">
        <v>4813</v>
      </c>
      <c r="U863" t="s">
        <v>4814</v>
      </c>
      <c r="V863">
        <v>16</v>
      </c>
      <c r="W863" s="2">
        <v>1163794.091114</v>
      </c>
    </row>
    <row r="864" spans="1:23" x14ac:dyDescent="0.25">
      <c r="A864" t="s">
        <v>31</v>
      </c>
      <c r="B864" t="s">
        <v>32</v>
      </c>
      <c r="C864" t="s">
        <v>33</v>
      </c>
      <c r="D864" t="s">
        <v>34</v>
      </c>
      <c r="E864" t="s">
        <v>35</v>
      </c>
      <c r="F864" t="s">
        <v>36</v>
      </c>
      <c r="G864">
        <v>1141685</v>
      </c>
      <c r="H864" t="s">
        <v>91</v>
      </c>
      <c r="I864" t="s">
        <v>95</v>
      </c>
      <c r="J864" t="s">
        <v>106</v>
      </c>
      <c r="K864" t="s">
        <v>479</v>
      </c>
      <c r="L864" s="1">
        <v>46143</v>
      </c>
      <c r="M864" s="1">
        <v>46173</v>
      </c>
      <c r="N864">
        <v>0.250004</v>
      </c>
      <c r="O864" t="s">
        <v>58</v>
      </c>
      <c r="P864" t="s">
        <v>63</v>
      </c>
      <c r="Q864" t="s">
        <v>3957</v>
      </c>
      <c r="R864" t="s">
        <v>3958</v>
      </c>
      <c r="S864" t="s">
        <v>67</v>
      </c>
      <c r="T864" t="s">
        <v>4815</v>
      </c>
      <c r="U864" t="s">
        <v>4816</v>
      </c>
      <c r="V864">
        <v>16</v>
      </c>
      <c r="W864" s="2">
        <v>1090.3953524799999</v>
      </c>
    </row>
    <row r="865" spans="1:23" x14ac:dyDescent="0.25">
      <c r="A865" t="s">
        <v>31</v>
      </c>
      <c r="B865" t="s">
        <v>32</v>
      </c>
      <c r="C865" t="s">
        <v>33</v>
      </c>
      <c r="D865" t="s">
        <v>34</v>
      </c>
      <c r="E865" t="s">
        <v>35</v>
      </c>
      <c r="F865" t="s">
        <v>36</v>
      </c>
      <c r="G865">
        <v>1141685</v>
      </c>
      <c r="H865" t="s">
        <v>80</v>
      </c>
      <c r="I865" t="s">
        <v>96</v>
      </c>
      <c r="J865" t="s">
        <v>80</v>
      </c>
      <c r="K865" t="s">
        <v>115</v>
      </c>
      <c r="L865" s="1">
        <v>46143</v>
      </c>
      <c r="M865" s="1">
        <v>46173</v>
      </c>
      <c r="N865">
        <v>5.9184600000000003E-5</v>
      </c>
      <c r="O865" t="s">
        <v>56</v>
      </c>
      <c r="P865" t="s">
        <v>63</v>
      </c>
      <c r="Q865" t="s">
        <v>3908</v>
      </c>
      <c r="R865" t="s">
        <v>3909</v>
      </c>
      <c r="S865" t="s">
        <v>67</v>
      </c>
      <c r="T865" t="s">
        <v>4817</v>
      </c>
      <c r="U865" t="s">
        <v>4818</v>
      </c>
      <c r="V865">
        <v>16</v>
      </c>
      <c r="W865" s="2">
        <v>9.0863065999999999E-3</v>
      </c>
    </row>
    <row r="866" spans="1:23" x14ac:dyDescent="0.25">
      <c r="A866" t="s">
        <v>31</v>
      </c>
      <c r="B866" t="s">
        <v>32</v>
      </c>
      <c r="C866" t="s">
        <v>33</v>
      </c>
      <c r="D866" t="s">
        <v>34</v>
      </c>
      <c r="E866" t="s">
        <v>35</v>
      </c>
      <c r="F866" t="s">
        <v>36</v>
      </c>
      <c r="G866">
        <v>1141685</v>
      </c>
      <c r="H866" t="s">
        <v>80</v>
      </c>
      <c r="I866" t="s">
        <v>96</v>
      </c>
      <c r="J866" t="s">
        <v>80</v>
      </c>
      <c r="K866" t="s">
        <v>115</v>
      </c>
      <c r="L866" s="1">
        <v>46143</v>
      </c>
      <c r="M866" s="1">
        <v>46173</v>
      </c>
      <c r="N866">
        <v>2.6785399999999999E-4</v>
      </c>
      <c r="O866" t="s">
        <v>56</v>
      </c>
      <c r="P866" t="s">
        <v>63</v>
      </c>
      <c r="Q866" t="s">
        <v>3908</v>
      </c>
      <c r="R866" t="s">
        <v>3909</v>
      </c>
      <c r="S866" t="s">
        <v>67</v>
      </c>
      <c r="T866" t="s">
        <v>4819</v>
      </c>
      <c r="U866" t="s">
        <v>4820</v>
      </c>
      <c r="V866">
        <v>16</v>
      </c>
      <c r="W866" s="2">
        <v>5.1122225600000001E-2</v>
      </c>
    </row>
    <row r="867" spans="1:23" x14ac:dyDescent="0.25">
      <c r="A867" t="s">
        <v>31</v>
      </c>
      <c r="B867" t="s">
        <v>32</v>
      </c>
      <c r="C867" t="s">
        <v>33</v>
      </c>
      <c r="D867" t="s">
        <v>34</v>
      </c>
      <c r="E867" t="s">
        <v>35</v>
      </c>
      <c r="F867" t="s">
        <v>36</v>
      </c>
      <c r="G867">
        <v>1141685</v>
      </c>
      <c r="H867" t="s">
        <v>80</v>
      </c>
      <c r="I867" t="s">
        <v>96</v>
      </c>
      <c r="J867" t="s">
        <v>80</v>
      </c>
      <c r="K867" t="s">
        <v>115</v>
      </c>
      <c r="L867" s="1">
        <v>46143</v>
      </c>
      <c r="M867" s="1">
        <v>46173</v>
      </c>
      <c r="N867">
        <v>8.7504300000000002E-5</v>
      </c>
      <c r="O867" t="s">
        <v>56</v>
      </c>
      <c r="P867" t="s">
        <v>63</v>
      </c>
      <c r="Q867" t="s">
        <v>3908</v>
      </c>
      <c r="R867" t="s">
        <v>3909</v>
      </c>
      <c r="S867" t="s">
        <v>67</v>
      </c>
      <c r="T867" t="s">
        <v>4821</v>
      </c>
      <c r="U867" t="s">
        <v>4822</v>
      </c>
      <c r="V867">
        <v>16</v>
      </c>
      <c r="W867" s="2">
        <v>1.3434076200000001E-2</v>
      </c>
    </row>
    <row r="868" spans="1:23" x14ac:dyDescent="0.25">
      <c r="A868" t="s">
        <v>31</v>
      </c>
      <c r="B868" t="s">
        <v>32</v>
      </c>
      <c r="C868" t="s">
        <v>33</v>
      </c>
      <c r="D868" t="s">
        <v>34</v>
      </c>
      <c r="E868" t="s">
        <v>35</v>
      </c>
      <c r="F868" t="s">
        <v>36</v>
      </c>
      <c r="G868">
        <v>1141685</v>
      </c>
      <c r="H868" t="s">
        <v>80</v>
      </c>
      <c r="I868" t="s">
        <v>96</v>
      </c>
      <c r="J868" t="s">
        <v>80</v>
      </c>
      <c r="K868" t="s">
        <v>115</v>
      </c>
      <c r="L868" s="1">
        <v>46143</v>
      </c>
      <c r="M868" s="1">
        <v>46173</v>
      </c>
      <c r="N868">
        <v>3.2001920000000001E-4</v>
      </c>
      <c r="O868" t="s">
        <v>56</v>
      </c>
      <c r="P868" t="s">
        <v>63</v>
      </c>
      <c r="Q868" t="s">
        <v>3908</v>
      </c>
      <c r="R868" t="s">
        <v>3909</v>
      </c>
      <c r="S868" t="s">
        <v>67</v>
      </c>
      <c r="T868" t="s">
        <v>4823</v>
      </c>
      <c r="U868" t="s">
        <v>4824</v>
      </c>
      <c r="V868">
        <v>16</v>
      </c>
      <c r="W868" s="2">
        <v>5.9130883699999998E-2</v>
      </c>
    </row>
    <row r="869" spans="1:23" x14ac:dyDescent="0.25">
      <c r="A869" t="s">
        <v>31</v>
      </c>
      <c r="B869" t="s">
        <v>32</v>
      </c>
      <c r="C869" t="s">
        <v>33</v>
      </c>
      <c r="D869" t="s">
        <v>34</v>
      </c>
      <c r="E869" t="s">
        <v>35</v>
      </c>
      <c r="F869" t="s">
        <v>36</v>
      </c>
      <c r="G869">
        <v>1141685</v>
      </c>
      <c r="H869" t="s">
        <v>80</v>
      </c>
      <c r="I869" t="s">
        <v>96</v>
      </c>
      <c r="J869" t="s">
        <v>80</v>
      </c>
      <c r="K869" t="s">
        <v>115</v>
      </c>
      <c r="L869" s="1">
        <v>46143</v>
      </c>
      <c r="M869" s="1">
        <v>46173</v>
      </c>
      <c r="N869">
        <v>2.21562E-5</v>
      </c>
      <c r="O869" t="s">
        <v>56</v>
      </c>
      <c r="P869" t="s">
        <v>63</v>
      </c>
      <c r="Q869" t="s">
        <v>3908</v>
      </c>
      <c r="R869" t="s">
        <v>3909</v>
      </c>
      <c r="S869" t="s">
        <v>67</v>
      </c>
      <c r="T869" t="s">
        <v>4825</v>
      </c>
      <c r="U869" t="s">
        <v>4826</v>
      </c>
      <c r="V869">
        <v>16</v>
      </c>
      <c r="W869" s="2">
        <v>3.4015206000000001E-3</v>
      </c>
    </row>
    <row r="870" spans="1:23" x14ac:dyDescent="0.25">
      <c r="A870" t="s">
        <v>31</v>
      </c>
      <c r="B870" t="s">
        <v>32</v>
      </c>
      <c r="C870" t="s">
        <v>33</v>
      </c>
      <c r="D870" t="s">
        <v>34</v>
      </c>
      <c r="E870" t="s">
        <v>35</v>
      </c>
      <c r="F870" t="s">
        <v>36</v>
      </c>
      <c r="G870">
        <v>1141685</v>
      </c>
      <c r="H870" t="s">
        <v>91</v>
      </c>
      <c r="I870" t="s">
        <v>95</v>
      </c>
      <c r="J870" t="s">
        <v>106</v>
      </c>
      <c r="K870" t="s">
        <v>479</v>
      </c>
      <c r="L870" s="1">
        <v>46143</v>
      </c>
      <c r="M870" s="1">
        <v>46173</v>
      </c>
      <c r="N870">
        <v>76</v>
      </c>
      <c r="O870" t="s">
        <v>58</v>
      </c>
      <c r="P870" t="s">
        <v>63</v>
      </c>
      <c r="Q870" t="s">
        <v>3949</v>
      </c>
      <c r="R870" t="s">
        <v>3905</v>
      </c>
      <c r="S870" t="s">
        <v>67</v>
      </c>
      <c r="T870" t="s">
        <v>4827</v>
      </c>
      <c r="U870" t="s">
        <v>4828</v>
      </c>
      <c r="V870">
        <v>16</v>
      </c>
      <c r="W870" s="2">
        <v>331474</v>
      </c>
    </row>
    <row r="871" spans="1:23" x14ac:dyDescent="0.25">
      <c r="A871" t="s">
        <v>31</v>
      </c>
      <c r="B871" t="s">
        <v>32</v>
      </c>
      <c r="C871" t="s">
        <v>33</v>
      </c>
      <c r="D871" t="s">
        <v>34</v>
      </c>
      <c r="E871" t="s">
        <v>35</v>
      </c>
      <c r="F871" t="s">
        <v>36</v>
      </c>
      <c r="G871">
        <v>1141685</v>
      </c>
      <c r="H871" t="s">
        <v>91</v>
      </c>
      <c r="I871" t="s">
        <v>95</v>
      </c>
      <c r="J871" t="s">
        <v>106</v>
      </c>
      <c r="K871" t="s">
        <v>479</v>
      </c>
      <c r="L871" s="1">
        <v>46143</v>
      </c>
      <c r="M871" s="1">
        <v>46173</v>
      </c>
      <c r="N871">
        <v>2.950056</v>
      </c>
      <c r="O871" t="s">
        <v>58</v>
      </c>
      <c r="P871" t="s">
        <v>63</v>
      </c>
      <c r="Q871" t="s">
        <v>3949</v>
      </c>
      <c r="R871" t="s">
        <v>4019</v>
      </c>
      <c r="S871" t="s">
        <v>67</v>
      </c>
      <c r="T871" t="s">
        <v>4829</v>
      </c>
      <c r="U871" t="s">
        <v>4830</v>
      </c>
      <c r="V871">
        <v>16</v>
      </c>
      <c r="W871" s="2">
        <v>12866.668934720001</v>
      </c>
    </row>
    <row r="872" spans="1:23" x14ac:dyDescent="0.25">
      <c r="A872" t="s">
        <v>31</v>
      </c>
      <c r="B872" t="s">
        <v>32</v>
      </c>
      <c r="C872" t="s">
        <v>33</v>
      </c>
      <c r="D872" t="s">
        <v>34</v>
      </c>
      <c r="E872" t="s">
        <v>35</v>
      </c>
      <c r="F872" t="s">
        <v>36</v>
      </c>
      <c r="G872">
        <v>1141685</v>
      </c>
      <c r="H872" t="s">
        <v>80</v>
      </c>
      <c r="I872" t="s">
        <v>96</v>
      </c>
      <c r="J872" t="s">
        <v>80</v>
      </c>
      <c r="K872" t="s">
        <v>115</v>
      </c>
      <c r="L872" s="1">
        <v>46143</v>
      </c>
      <c r="M872" s="1">
        <v>46173</v>
      </c>
      <c r="N872">
        <v>1.9677711699999999E-2</v>
      </c>
      <c r="O872" t="s">
        <v>56</v>
      </c>
      <c r="P872" t="s">
        <v>63</v>
      </c>
      <c r="Q872" t="s">
        <v>3908</v>
      </c>
      <c r="R872" t="s">
        <v>3909</v>
      </c>
      <c r="S872" t="s">
        <v>67</v>
      </c>
      <c r="T872" t="s">
        <v>4831</v>
      </c>
      <c r="U872" t="s">
        <v>4832</v>
      </c>
      <c r="V872">
        <v>16</v>
      </c>
      <c r="W872" s="2">
        <v>3.4310167449</v>
      </c>
    </row>
    <row r="873" spans="1:23" x14ac:dyDescent="0.25">
      <c r="A873" t="s">
        <v>31</v>
      </c>
      <c r="B873" t="s">
        <v>32</v>
      </c>
      <c r="C873" t="s">
        <v>33</v>
      </c>
      <c r="D873" t="s">
        <v>34</v>
      </c>
      <c r="E873" t="s">
        <v>35</v>
      </c>
      <c r="F873" t="s">
        <v>36</v>
      </c>
      <c r="G873">
        <v>1141685</v>
      </c>
      <c r="H873" t="s">
        <v>91</v>
      </c>
      <c r="I873" t="s">
        <v>95</v>
      </c>
      <c r="J873" t="s">
        <v>106</v>
      </c>
      <c r="K873" t="s">
        <v>479</v>
      </c>
      <c r="L873" s="1">
        <v>46143</v>
      </c>
      <c r="M873" s="1">
        <v>46173</v>
      </c>
      <c r="N873">
        <v>3.3669999999999999E-2</v>
      </c>
      <c r="O873" t="s">
        <v>58</v>
      </c>
      <c r="P873" t="s">
        <v>63</v>
      </c>
      <c r="Q873" t="s">
        <v>3953</v>
      </c>
      <c r="R873" t="s">
        <v>3909</v>
      </c>
      <c r="S873" t="s">
        <v>67</v>
      </c>
      <c r="T873" t="s">
        <v>4833</v>
      </c>
      <c r="U873" t="s">
        <v>4834</v>
      </c>
      <c r="V873">
        <v>16</v>
      </c>
      <c r="W873" s="2">
        <v>146.84950040000001</v>
      </c>
    </row>
    <row r="874" spans="1:23" x14ac:dyDescent="0.25">
      <c r="A874" t="s">
        <v>31</v>
      </c>
      <c r="B874" t="s">
        <v>32</v>
      </c>
      <c r="C874" t="s">
        <v>33</v>
      </c>
      <c r="D874" t="s">
        <v>34</v>
      </c>
      <c r="E874" t="s">
        <v>35</v>
      </c>
      <c r="F874" t="s">
        <v>36</v>
      </c>
      <c r="G874">
        <v>1141685</v>
      </c>
      <c r="H874" t="s">
        <v>91</v>
      </c>
      <c r="I874" t="s">
        <v>95</v>
      </c>
      <c r="J874" t="s">
        <v>106</v>
      </c>
      <c r="K874" t="s">
        <v>479</v>
      </c>
      <c r="L874" s="1">
        <v>46143</v>
      </c>
      <c r="M874" s="1">
        <v>46173</v>
      </c>
      <c r="N874">
        <v>0.61667899999999998</v>
      </c>
      <c r="O874" t="s">
        <v>58</v>
      </c>
      <c r="P874" t="s">
        <v>63</v>
      </c>
      <c r="Q874" t="s">
        <v>3953</v>
      </c>
      <c r="R874" t="s">
        <v>3909</v>
      </c>
      <c r="S874" t="s">
        <v>67</v>
      </c>
      <c r="T874" t="s">
        <v>4835</v>
      </c>
      <c r="U874" t="s">
        <v>4836</v>
      </c>
      <c r="V874">
        <v>16</v>
      </c>
      <c r="W874" s="2">
        <v>2689.6480034800002</v>
      </c>
    </row>
    <row r="875" spans="1:23" x14ac:dyDescent="0.25">
      <c r="A875" t="s">
        <v>31</v>
      </c>
      <c r="B875" t="s">
        <v>32</v>
      </c>
      <c r="C875" t="s">
        <v>33</v>
      </c>
      <c r="D875" t="s">
        <v>34</v>
      </c>
      <c r="E875" t="s">
        <v>35</v>
      </c>
      <c r="F875" t="s">
        <v>36</v>
      </c>
      <c r="G875">
        <v>1141685</v>
      </c>
      <c r="H875" t="s">
        <v>91</v>
      </c>
      <c r="I875" t="s">
        <v>95</v>
      </c>
      <c r="J875" t="s">
        <v>106</v>
      </c>
      <c r="K875" t="s">
        <v>479</v>
      </c>
      <c r="L875" s="1">
        <v>46143</v>
      </c>
      <c r="M875" s="1">
        <v>46173</v>
      </c>
      <c r="N875">
        <v>27.150392</v>
      </c>
      <c r="O875" t="s">
        <v>58</v>
      </c>
      <c r="P875" t="s">
        <v>63</v>
      </c>
      <c r="Q875" t="s">
        <v>3953</v>
      </c>
      <c r="R875" t="s">
        <v>3909</v>
      </c>
      <c r="S875" t="s">
        <v>67</v>
      </c>
      <c r="T875" t="s">
        <v>4837</v>
      </c>
      <c r="U875" t="s">
        <v>4838</v>
      </c>
      <c r="V875">
        <v>16</v>
      </c>
      <c r="W875" s="2">
        <v>118416.43254304001</v>
      </c>
    </row>
    <row r="876" spans="1:23" x14ac:dyDescent="0.25">
      <c r="A876" t="s">
        <v>31</v>
      </c>
      <c r="B876" t="s">
        <v>32</v>
      </c>
      <c r="C876" t="s">
        <v>33</v>
      </c>
      <c r="D876" t="s">
        <v>34</v>
      </c>
      <c r="E876" t="s">
        <v>35</v>
      </c>
      <c r="F876" t="s">
        <v>36</v>
      </c>
      <c r="G876">
        <v>1141685</v>
      </c>
      <c r="H876" t="s">
        <v>91</v>
      </c>
      <c r="I876" t="s">
        <v>95</v>
      </c>
      <c r="J876" t="s">
        <v>106</v>
      </c>
      <c r="K876" t="s">
        <v>479</v>
      </c>
      <c r="L876" s="1">
        <v>46143</v>
      </c>
      <c r="M876" s="1">
        <v>46173</v>
      </c>
      <c r="N876">
        <v>38.417119999999997</v>
      </c>
      <c r="O876" t="s">
        <v>58</v>
      </c>
      <c r="P876" t="s">
        <v>63</v>
      </c>
      <c r="Q876" t="s">
        <v>3953</v>
      </c>
      <c r="R876" t="s">
        <v>3909</v>
      </c>
      <c r="S876" t="s">
        <v>67</v>
      </c>
      <c r="T876" t="s">
        <v>4839</v>
      </c>
      <c r="U876" t="s">
        <v>4840</v>
      </c>
      <c r="V876">
        <v>16</v>
      </c>
      <c r="W876" s="2">
        <v>167556.2666144</v>
      </c>
    </row>
    <row r="877" spans="1:23" x14ac:dyDescent="0.25">
      <c r="A877" t="s">
        <v>31</v>
      </c>
      <c r="B877" t="s">
        <v>32</v>
      </c>
      <c r="C877" t="s">
        <v>33</v>
      </c>
      <c r="D877" t="s">
        <v>34</v>
      </c>
      <c r="E877" t="s">
        <v>35</v>
      </c>
      <c r="F877" t="s">
        <v>36</v>
      </c>
      <c r="G877">
        <v>1141685</v>
      </c>
      <c r="H877" t="s">
        <v>91</v>
      </c>
      <c r="I877" t="s">
        <v>95</v>
      </c>
      <c r="J877" t="s">
        <v>106</v>
      </c>
      <c r="K877" t="s">
        <v>479</v>
      </c>
      <c r="L877" s="1">
        <v>46143</v>
      </c>
      <c r="M877" s="1">
        <v>46173</v>
      </c>
      <c r="N877">
        <v>76</v>
      </c>
      <c r="O877" t="s">
        <v>58</v>
      </c>
      <c r="P877" t="s">
        <v>63</v>
      </c>
      <c r="Q877" t="s">
        <v>3953</v>
      </c>
      <c r="R877" t="s">
        <v>3909</v>
      </c>
      <c r="S877" t="s">
        <v>67</v>
      </c>
      <c r="T877" t="s">
        <v>4841</v>
      </c>
      <c r="U877" t="s">
        <v>4842</v>
      </c>
      <c r="V877">
        <v>16</v>
      </c>
      <c r="W877" s="2">
        <v>331474</v>
      </c>
    </row>
    <row r="878" spans="1:23" x14ac:dyDescent="0.25">
      <c r="A878" t="s">
        <v>31</v>
      </c>
      <c r="B878" t="s">
        <v>32</v>
      </c>
      <c r="C878" t="s">
        <v>33</v>
      </c>
      <c r="D878" t="s">
        <v>34</v>
      </c>
      <c r="E878" t="s">
        <v>35</v>
      </c>
      <c r="F878" t="s">
        <v>36</v>
      </c>
      <c r="G878">
        <v>1141685</v>
      </c>
      <c r="H878" t="s">
        <v>91</v>
      </c>
      <c r="I878" t="s">
        <v>95</v>
      </c>
      <c r="J878" t="s">
        <v>106</v>
      </c>
      <c r="K878" t="s">
        <v>479</v>
      </c>
      <c r="L878" s="1">
        <v>46143</v>
      </c>
      <c r="M878" s="1">
        <v>46173</v>
      </c>
      <c r="N878">
        <v>76</v>
      </c>
      <c r="O878" t="s">
        <v>58</v>
      </c>
      <c r="P878" t="s">
        <v>63</v>
      </c>
      <c r="Q878" t="s">
        <v>3949</v>
      </c>
      <c r="R878" t="s">
        <v>3905</v>
      </c>
      <c r="S878" t="s">
        <v>67</v>
      </c>
      <c r="T878" t="s">
        <v>4827</v>
      </c>
      <c r="U878" t="s">
        <v>4828</v>
      </c>
      <c r="V878">
        <v>16</v>
      </c>
      <c r="W878" s="2">
        <v>331474</v>
      </c>
    </row>
    <row r="879" spans="1:23" x14ac:dyDescent="0.25">
      <c r="A879" t="s">
        <v>31</v>
      </c>
      <c r="B879" t="s">
        <v>32</v>
      </c>
      <c r="C879" t="s">
        <v>33</v>
      </c>
      <c r="D879" t="s">
        <v>34</v>
      </c>
      <c r="E879" t="s">
        <v>35</v>
      </c>
      <c r="F879" t="s">
        <v>36</v>
      </c>
      <c r="G879">
        <v>1141685</v>
      </c>
      <c r="H879" t="s">
        <v>91</v>
      </c>
      <c r="I879" t="s">
        <v>95</v>
      </c>
      <c r="J879" t="s">
        <v>106</v>
      </c>
      <c r="K879" t="s">
        <v>479</v>
      </c>
      <c r="L879" s="1">
        <v>46143</v>
      </c>
      <c r="M879" s="1">
        <v>46173</v>
      </c>
      <c r="N879">
        <v>0.983352</v>
      </c>
      <c r="O879" t="s">
        <v>58</v>
      </c>
      <c r="P879" t="s">
        <v>63</v>
      </c>
      <c r="Q879" t="s">
        <v>3953</v>
      </c>
      <c r="R879" t="s">
        <v>3909</v>
      </c>
      <c r="S879" t="s">
        <v>67</v>
      </c>
      <c r="T879" t="s">
        <v>4843</v>
      </c>
      <c r="U879" t="s">
        <v>4844</v>
      </c>
      <c r="V879">
        <v>16</v>
      </c>
      <c r="W879" s="2">
        <v>4288.89297824</v>
      </c>
    </row>
    <row r="880" spans="1:23" x14ac:dyDescent="0.25">
      <c r="A880" t="s">
        <v>31</v>
      </c>
      <c r="B880" t="s">
        <v>32</v>
      </c>
      <c r="C880" t="s">
        <v>33</v>
      </c>
      <c r="D880" t="s">
        <v>34</v>
      </c>
      <c r="E880" t="s">
        <v>35</v>
      </c>
      <c r="F880" t="s">
        <v>36</v>
      </c>
      <c r="G880">
        <v>1141685</v>
      </c>
      <c r="H880" t="s">
        <v>91</v>
      </c>
      <c r="I880" t="s">
        <v>95</v>
      </c>
      <c r="J880" t="s">
        <v>106</v>
      </c>
      <c r="K880" t="s">
        <v>479</v>
      </c>
      <c r="L880" s="1">
        <v>46143</v>
      </c>
      <c r="M880" s="1">
        <v>46173</v>
      </c>
      <c r="N880">
        <v>1.2</v>
      </c>
      <c r="O880" t="s">
        <v>58</v>
      </c>
      <c r="P880" t="s">
        <v>63</v>
      </c>
      <c r="Q880" t="s">
        <v>3957</v>
      </c>
      <c r="R880" t="s">
        <v>3958</v>
      </c>
      <c r="S880" t="s">
        <v>67</v>
      </c>
      <c r="T880" t="s">
        <v>4845</v>
      </c>
      <c r="U880" t="s">
        <v>4846</v>
      </c>
      <c r="V880">
        <v>16</v>
      </c>
      <c r="W880" s="2">
        <v>5233.8040000000001</v>
      </c>
    </row>
    <row r="881" spans="1:23" x14ac:dyDescent="0.25">
      <c r="A881" t="s">
        <v>31</v>
      </c>
      <c r="B881" t="s">
        <v>32</v>
      </c>
      <c r="C881" t="s">
        <v>33</v>
      </c>
      <c r="D881" t="s">
        <v>34</v>
      </c>
      <c r="E881" t="s">
        <v>35</v>
      </c>
      <c r="F881" t="s">
        <v>36</v>
      </c>
      <c r="G881">
        <v>1141685</v>
      </c>
      <c r="H881" t="s">
        <v>91</v>
      </c>
      <c r="I881" t="s">
        <v>95</v>
      </c>
      <c r="J881" t="s">
        <v>106</v>
      </c>
      <c r="K881" t="s">
        <v>479</v>
      </c>
      <c r="L881" s="1">
        <v>46143</v>
      </c>
      <c r="M881" s="1">
        <v>46173</v>
      </c>
      <c r="N881">
        <v>0.23333699999999999</v>
      </c>
      <c r="O881" t="s">
        <v>58</v>
      </c>
      <c r="P881" t="s">
        <v>63</v>
      </c>
      <c r="Q881" t="s">
        <v>3953</v>
      </c>
      <c r="R881" t="s">
        <v>3909</v>
      </c>
      <c r="S881" t="s">
        <v>67</v>
      </c>
      <c r="T881" t="s">
        <v>4847</v>
      </c>
      <c r="U881" t="s">
        <v>4848</v>
      </c>
      <c r="V881">
        <v>16</v>
      </c>
      <c r="W881" s="2">
        <v>1017.6954064400001</v>
      </c>
    </row>
    <row r="882" spans="1:23" x14ac:dyDescent="0.25">
      <c r="A882" t="s">
        <v>31</v>
      </c>
      <c r="B882" t="s">
        <v>32</v>
      </c>
      <c r="C882" t="s">
        <v>33</v>
      </c>
      <c r="D882" t="s">
        <v>34</v>
      </c>
      <c r="E882" t="s">
        <v>35</v>
      </c>
      <c r="F882" t="s">
        <v>36</v>
      </c>
      <c r="G882">
        <v>1141685</v>
      </c>
      <c r="H882" t="s">
        <v>91</v>
      </c>
      <c r="I882" t="s">
        <v>95</v>
      </c>
      <c r="J882" t="s">
        <v>106</v>
      </c>
      <c r="K882" t="s">
        <v>479</v>
      </c>
      <c r="L882" s="1">
        <v>46143</v>
      </c>
      <c r="M882" s="1">
        <v>46173</v>
      </c>
      <c r="N882">
        <v>6.6668000000000005E-2</v>
      </c>
      <c r="O882" t="s">
        <v>58</v>
      </c>
      <c r="P882" t="s">
        <v>63</v>
      </c>
      <c r="Q882" t="s">
        <v>3953</v>
      </c>
      <c r="R882" t="s">
        <v>3909</v>
      </c>
      <c r="S882" t="s">
        <v>67</v>
      </c>
      <c r="T882" t="s">
        <v>4849</v>
      </c>
      <c r="U882" t="s">
        <v>4850</v>
      </c>
      <c r="V882">
        <v>16</v>
      </c>
      <c r="W882" s="2">
        <v>290.76978415999997</v>
      </c>
    </row>
    <row r="883" spans="1:23" x14ac:dyDescent="0.25">
      <c r="A883" t="s">
        <v>31</v>
      </c>
      <c r="B883" t="s">
        <v>32</v>
      </c>
      <c r="C883" t="s">
        <v>33</v>
      </c>
      <c r="D883" t="s">
        <v>34</v>
      </c>
      <c r="E883" t="s">
        <v>35</v>
      </c>
      <c r="F883" t="s">
        <v>36</v>
      </c>
      <c r="G883">
        <v>1141685</v>
      </c>
      <c r="H883" t="s">
        <v>80</v>
      </c>
      <c r="I883" t="s">
        <v>96</v>
      </c>
      <c r="J883" t="s">
        <v>80</v>
      </c>
      <c r="K883" t="s">
        <v>115</v>
      </c>
      <c r="L883" s="1">
        <v>46143</v>
      </c>
      <c r="M883" s="1">
        <v>46173</v>
      </c>
      <c r="N883">
        <v>2.194373E-4</v>
      </c>
      <c r="O883" t="s">
        <v>56</v>
      </c>
      <c r="P883" t="s">
        <v>63</v>
      </c>
      <c r="Q883" t="s">
        <v>3904</v>
      </c>
      <c r="R883" t="s">
        <v>4019</v>
      </c>
      <c r="S883" t="s">
        <v>67</v>
      </c>
      <c r="T883" t="s">
        <v>4851</v>
      </c>
      <c r="U883" t="s">
        <v>4852</v>
      </c>
      <c r="V883">
        <v>16</v>
      </c>
      <c r="W883" s="2">
        <v>3.3689066300000001E-2</v>
      </c>
    </row>
    <row r="884" spans="1:23" x14ac:dyDescent="0.25">
      <c r="A884" t="s">
        <v>31</v>
      </c>
      <c r="B884" t="s">
        <v>32</v>
      </c>
      <c r="C884" t="s">
        <v>33</v>
      </c>
      <c r="D884" t="s">
        <v>34</v>
      </c>
      <c r="E884" t="s">
        <v>35</v>
      </c>
      <c r="F884" t="s">
        <v>36</v>
      </c>
      <c r="G884">
        <v>1141685</v>
      </c>
      <c r="H884" t="s">
        <v>91</v>
      </c>
      <c r="I884" t="s">
        <v>95</v>
      </c>
      <c r="J884" t="s">
        <v>106</v>
      </c>
      <c r="K884" t="s">
        <v>479</v>
      </c>
      <c r="L884" s="1">
        <v>46143</v>
      </c>
      <c r="M884" s="1">
        <v>46173</v>
      </c>
      <c r="N884">
        <v>76</v>
      </c>
      <c r="O884" t="s">
        <v>58</v>
      </c>
      <c r="P884" t="s">
        <v>63</v>
      </c>
      <c r="Q884" t="s">
        <v>3949</v>
      </c>
      <c r="R884" t="s">
        <v>4019</v>
      </c>
      <c r="S884" t="s">
        <v>67</v>
      </c>
      <c r="T884" t="s">
        <v>4853</v>
      </c>
      <c r="U884" t="s">
        <v>4854</v>
      </c>
      <c r="V884">
        <v>16</v>
      </c>
      <c r="W884" s="2">
        <v>331474</v>
      </c>
    </row>
    <row r="885" spans="1:23" x14ac:dyDescent="0.25">
      <c r="A885" t="s">
        <v>31</v>
      </c>
      <c r="B885" t="s">
        <v>32</v>
      </c>
      <c r="C885" t="s">
        <v>33</v>
      </c>
      <c r="D885" t="s">
        <v>34</v>
      </c>
      <c r="E885" t="s">
        <v>35</v>
      </c>
      <c r="F885" t="s">
        <v>36</v>
      </c>
      <c r="G885">
        <v>1141685</v>
      </c>
      <c r="H885" t="s">
        <v>91</v>
      </c>
      <c r="I885" t="s">
        <v>95</v>
      </c>
      <c r="J885" t="s">
        <v>106</v>
      </c>
      <c r="K885" t="s">
        <v>479</v>
      </c>
      <c r="L885" s="1">
        <v>46143</v>
      </c>
      <c r="M885" s="1">
        <v>46173</v>
      </c>
      <c r="N885">
        <v>76</v>
      </c>
      <c r="O885" t="s">
        <v>58</v>
      </c>
      <c r="P885" t="s">
        <v>63</v>
      </c>
      <c r="Q885" t="s">
        <v>3949</v>
      </c>
      <c r="R885" t="s">
        <v>4019</v>
      </c>
      <c r="S885" t="s">
        <v>67</v>
      </c>
      <c r="T885" t="s">
        <v>4853</v>
      </c>
      <c r="U885" t="s">
        <v>4854</v>
      </c>
      <c r="V885">
        <v>16</v>
      </c>
      <c r="W885" s="2">
        <v>331474</v>
      </c>
    </row>
    <row r="886" spans="1:23" x14ac:dyDescent="0.25">
      <c r="A886" t="s">
        <v>31</v>
      </c>
      <c r="B886" t="s">
        <v>32</v>
      </c>
      <c r="C886" t="s">
        <v>33</v>
      </c>
      <c r="D886" t="s">
        <v>34</v>
      </c>
      <c r="E886" t="s">
        <v>35</v>
      </c>
      <c r="F886" t="s">
        <v>36</v>
      </c>
      <c r="G886">
        <v>1141685</v>
      </c>
      <c r="H886" t="s">
        <v>3934</v>
      </c>
      <c r="I886" t="s">
        <v>42</v>
      </c>
      <c r="J886" t="s">
        <v>3934</v>
      </c>
      <c r="K886" t="s">
        <v>4855</v>
      </c>
      <c r="L886" s="1">
        <v>46143</v>
      </c>
      <c r="M886" s="1">
        <v>46173</v>
      </c>
      <c r="N886">
        <v>0.34389999999999998</v>
      </c>
      <c r="O886" t="s">
        <v>59</v>
      </c>
      <c r="P886" t="s">
        <v>63</v>
      </c>
      <c r="Q886" t="s">
        <v>3916</v>
      </c>
      <c r="R886" t="s">
        <v>4856</v>
      </c>
      <c r="S886" t="s">
        <v>67</v>
      </c>
      <c r="T886" t="s">
        <v>4857</v>
      </c>
      <c r="U886" t="s">
        <v>4858</v>
      </c>
      <c r="V886">
        <v>6</v>
      </c>
      <c r="W886" s="2">
        <v>89.995768079999991</v>
      </c>
    </row>
    <row r="887" spans="1:23" x14ac:dyDescent="0.25">
      <c r="A887" t="s">
        <v>31</v>
      </c>
      <c r="B887" t="s">
        <v>32</v>
      </c>
      <c r="C887" t="s">
        <v>33</v>
      </c>
      <c r="D887" t="s">
        <v>34</v>
      </c>
      <c r="E887" t="s">
        <v>35</v>
      </c>
      <c r="F887" t="s">
        <v>36</v>
      </c>
      <c r="G887">
        <v>1141685</v>
      </c>
      <c r="H887" t="s">
        <v>37</v>
      </c>
      <c r="I887" t="s">
        <v>42</v>
      </c>
      <c r="J887" t="s">
        <v>45</v>
      </c>
      <c r="K887" t="s">
        <v>47</v>
      </c>
      <c r="L887" s="1">
        <v>46143</v>
      </c>
      <c r="M887" s="1">
        <v>46173</v>
      </c>
      <c r="N887">
        <v>5.8189359999999999</v>
      </c>
      <c r="O887" t="s">
        <v>57</v>
      </c>
      <c r="P887" t="s">
        <v>63</v>
      </c>
      <c r="Q887" t="s">
        <v>3930</v>
      </c>
      <c r="R887" t="s">
        <v>4859</v>
      </c>
      <c r="S887" t="s">
        <v>67</v>
      </c>
      <c r="T887" t="s">
        <v>4860</v>
      </c>
      <c r="U887" t="s">
        <v>4861</v>
      </c>
      <c r="V887">
        <v>7</v>
      </c>
      <c r="W887" s="2">
        <v>5075.854928064</v>
      </c>
    </row>
    <row r="888" spans="1:23" x14ac:dyDescent="0.25">
      <c r="A888" t="s">
        <v>31</v>
      </c>
      <c r="B888" t="s">
        <v>32</v>
      </c>
      <c r="C888" t="s">
        <v>33</v>
      </c>
      <c r="D888" t="s">
        <v>34</v>
      </c>
      <c r="E888" t="s">
        <v>35</v>
      </c>
      <c r="F888" t="s">
        <v>36</v>
      </c>
      <c r="G888">
        <v>1141685</v>
      </c>
      <c r="H888" t="s">
        <v>3934</v>
      </c>
      <c r="I888" t="s">
        <v>42</v>
      </c>
      <c r="J888" t="s">
        <v>3934</v>
      </c>
      <c r="K888" t="s">
        <v>3935</v>
      </c>
      <c r="L888" s="1">
        <v>46143</v>
      </c>
      <c r="M888" s="1">
        <v>46173</v>
      </c>
      <c r="N888">
        <v>0.22939999999999999</v>
      </c>
      <c r="O888" t="s">
        <v>59</v>
      </c>
      <c r="P888" t="s">
        <v>63</v>
      </c>
      <c r="Q888" t="s">
        <v>3916</v>
      </c>
      <c r="R888" t="s">
        <v>4856</v>
      </c>
      <c r="S888" t="s">
        <v>67</v>
      </c>
      <c r="T888" t="s">
        <v>4862</v>
      </c>
      <c r="U888" t="s">
        <v>4863</v>
      </c>
      <c r="V888">
        <v>6</v>
      </c>
      <c r="W888" s="2">
        <v>6.002788368</v>
      </c>
    </row>
    <row r="889" spans="1:23" x14ac:dyDescent="0.25">
      <c r="A889" t="s">
        <v>31</v>
      </c>
      <c r="B889" t="s">
        <v>32</v>
      </c>
      <c r="C889" t="s">
        <v>33</v>
      </c>
      <c r="D889" t="s">
        <v>34</v>
      </c>
      <c r="E889" t="s">
        <v>35</v>
      </c>
      <c r="F889" t="s">
        <v>36</v>
      </c>
      <c r="G889">
        <v>1141685</v>
      </c>
      <c r="H889" t="s">
        <v>91</v>
      </c>
      <c r="I889" t="s">
        <v>95</v>
      </c>
      <c r="J889" t="s">
        <v>106</v>
      </c>
      <c r="K889" t="s">
        <v>129</v>
      </c>
      <c r="L889" s="1">
        <v>46143</v>
      </c>
      <c r="M889" s="1">
        <v>46173</v>
      </c>
      <c r="N889">
        <v>89.783559999999994</v>
      </c>
      <c r="O889" t="s">
        <v>58</v>
      </c>
      <c r="P889" t="s">
        <v>63</v>
      </c>
      <c r="Q889" t="s">
        <v>3949</v>
      </c>
      <c r="R889" t="s">
        <v>4400</v>
      </c>
      <c r="S889" t="s">
        <v>67</v>
      </c>
      <c r="T889" t="s">
        <v>4864</v>
      </c>
      <c r="U889" t="s">
        <v>4865</v>
      </c>
      <c r="V889">
        <v>16</v>
      </c>
      <c r="W889" s="2">
        <v>195795.49865359999</v>
      </c>
    </row>
    <row r="890" spans="1:23" x14ac:dyDescent="0.25">
      <c r="A890" t="s">
        <v>31</v>
      </c>
      <c r="B890" t="s">
        <v>32</v>
      </c>
      <c r="C890" t="s">
        <v>33</v>
      </c>
      <c r="D890" t="s">
        <v>34</v>
      </c>
      <c r="E890" t="s">
        <v>35</v>
      </c>
      <c r="F890" t="s">
        <v>36</v>
      </c>
      <c r="G890">
        <v>1141685</v>
      </c>
      <c r="H890" t="s">
        <v>91</v>
      </c>
      <c r="I890" t="s">
        <v>95</v>
      </c>
      <c r="J890" t="s">
        <v>106</v>
      </c>
      <c r="K890" t="s">
        <v>129</v>
      </c>
      <c r="L890" s="1">
        <v>46143</v>
      </c>
      <c r="M890" s="1">
        <v>46173</v>
      </c>
      <c r="N890">
        <v>162.95003</v>
      </c>
      <c r="O890" t="s">
        <v>58</v>
      </c>
      <c r="P890" t="s">
        <v>63</v>
      </c>
      <c r="Q890" t="s">
        <v>3957</v>
      </c>
      <c r="R890" t="s">
        <v>3901</v>
      </c>
      <c r="S890" t="s">
        <v>67</v>
      </c>
      <c r="T890" t="s">
        <v>4866</v>
      </c>
      <c r="U890" t="s">
        <v>4867</v>
      </c>
      <c r="V890">
        <v>16</v>
      </c>
      <c r="W890" s="2">
        <v>355353.27457180002</v>
      </c>
    </row>
    <row r="891" spans="1:23" x14ac:dyDescent="0.25">
      <c r="A891" t="s">
        <v>31</v>
      </c>
      <c r="B891" t="s">
        <v>32</v>
      </c>
      <c r="C891" t="s">
        <v>33</v>
      </c>
      <c r="D891" t="s">
        <v>34</v>
      </c>
      <c r="E891" t="s">
        <v>35</v>
      </c>
      <c r="F891" t="s">
        <v>36</v>
      </c>
      <c r="G891">
        <v>1141685</v>
      </c>
      <c r="H891" t="s">
        <v>3934</v>
      </c>
      <c r="I891" t="s">
        <v>42</v>
      </c>
      <c r="J891" t="s">
        <v>3934</v>
      </c>
      <c r="K891" t="s">
        <v>4855</v>
      </c>
      <c r="L891" s="1">
        <v>46143</v>
      </c>
      <c r="M891" s="1">
        <v>46173</v>
      </c>
      <c r="N891">
        <v>0.78100000000000003</v>
      </c>
      <c r="O891" t="s">
        <v>59</v>
      </c>
      <c r="P891" t="s">
        <v>63</v>
      </c>
      <c r="Q891" t="s">
        <v>3936</v>
      </c>
      <c r="R891" t="s">
        <v>3937</v>
      </c>
      <c r="S891" t="s">
        <v>67</v>
      </c>
      <c r="T891" t="s">
        <v>4868</v>
      </c>
      <c r="U891" t="s">
        <v>4869</v>
      </c>
      <c r="V891">
        <v>8</v>
      </c>
      <c r="W891" s="2">
        <v>204.38430320000001</v>
      </c>
    </row>
    <row r="892" spans="1:23" x14ac:dyDescent="0.25">
      <c r="A892" t="s">
        <v>31</v>
      </c>
      <c r="B892" t="s">
        <v>32</v>
      </c>
      <c r="C892" t="s">
        <v>33</v>
      </c>
      <c r="D892" t="s">
        <v>34</v>
      </c>
      <c r="E892" t="s">
        <v>35</v>
      </c>
      <c r="F892" t="s">
        <v>36</v>
      </c>
      <c r="G892">
        <v>1141685</v>
      </c>
      <c r="H892" t="s">
        <v>91</v>
      </c>
      <c r="I892" t="s">
        <v>95</v>
      </c>
      <c r="J892" t="s">
        <v>106</v>
      </c>
      <c r="K892" t="s">
        <v>129</v>
      </c>
      <c r="L892" s="1">
        <v>46143</v>
      </c>
      <c r="M892" s="1">
        <v>46173</v>
      </c>
      <c r="N892">
        <v>51</v>
      </c>
      <c r="O892" t="s">
        <v>58</v>
      </c>
      <c r="P892" t="s">
        <v>63</v>
      </c>
      <c r="Q892" t="s">
        <v>3957</v>
      </c>
      <c r="R892" t="s">
        <v>3901</v>
      </c>
      <c r="S892" t="s">
        <v>67</v>
      </c>
      <c r="T892" t="s">
        <v>4870</v>
      </c>
      <c r="U892" t="s">
        <v>4871</v>
      </c>
      <c r="V892">
        <v>16</v>
      </c>
      <c r="W892" s="2">
        <v>111218.25</v>
      </c>
    </row>
    <row r="893" spans="1:23" x14ac:dyDescent="0.25">
      <c r="A893" t="s">
        <v>31</v>
      </c>
      <c r="B893" t="s">
        <v>32</v>
      </c>
      <c r="C893" t="s">
        <v>33</v>
      </c>
      <c r="D893" t="s">
        <v>34</v>
      </c>
      <c r="E893" t="s">
        <v>35</v>
      </c>
      <c r="F893" t="s">
        <v>36</v>
      </c>
      <c r="G893">
        <v>1141685</v>
      </c>
      <c r="H893" t="s">
        <v>4872</v>
      </c>
      <c r="I893" t="s">
        <v>42</v>
      </c>
      <c r="J893" t="s">
        <v>4872</v>
      </c>
      <c r="K893" t="s">
        <v>4873</v>
      </c>
      <c r="L893" s="1">
        <v>46143</v>
      </c>
      <c r="M893" s="1">
        <v>46173</v>
      </c>
      <c r="N893">
        <v>0.15579999999999999</v>
      </c>
      <c r="O893" t="s">
        <v>59</v>
      </c>
      <c r="P893" t="s">
        <v>63</v>
      </c>
      <c r="Q893" t="s">
        <v>3916</v>
      </c>
      <c r="R893" t="s">
        <v>4190</v>
      </c>
      <c r="S893" t="s">
        <v>67</v>
      </c>
      <c r="T893" t="s">
        <v>4874</v>
      </c>
      <c r="U893" t="s">
        <v>4875</v>
      </c>
      <c r="V893">
        <v>6</v>
      </c>
      <c r="W893" s="2">
        <v>169.88477399999999</v>
      </c>
    </row>
    <row r="894" spans="1:23" x14ac:dyDescent="0.25">
      <c r="A894" t="s">
        <v>31</v>
      </c>
      <c r="B894" t="s">
        <v>32</v>
      </c>
      <c r="C894" t="s">
        <v>33</v>
      </c>
      <c r="D894" t="s">
        <v>34</v>
      </c>
      <c r="E894" t="s">
        <v>35</v>
      </c>
      <c r="F894" t="s">
        <v>36</v>
      </c>
      <c r="G894">
        <v>1141685</v>
      </c>
      <c r="H894" t="s">
        <v>83</v>
      </c>
      <c r="I894" t="s">
        <v>97</v>
      </c>
      <c r="J894" t="s">
        <v>103</v>
      </c>
      <c r="K894" t="s">
        <v>119</v>
      </c>
      <c r="L894" s="1">
        <v>46143</v>
      </c>
      <c r="M894" s="1">
        <v>46173</v>
      </c>
      <c r="N894">
        <v>5952</v>
      </c>
      <c r="O894" t="s">
        <v>58</v>
      </c>
      <c r="P894" t="s">
        <v>63</v>
      </c>
      <c r="Q894" t="s">
        <v>3936</v>
      </c>
      <c r="R894" t="s">
        <v>4092</v>
      </c>
      <c r="S894" t="s">
        <v>67</v>
      </c>
      <c r="T894" t="s">
        <v>4876</v>
      </c>
      <c r="U894" t="s">
        <v>4877</v>
      </c>
      <c r="V894">
        <v>6</v>
      </c>
      <c r="W894" s="2">
        <v>10380328.68532736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Detail_CDN</vt:lpstr>
      <vt:lpstr>Detail_HPM</vt:lpstr>
      <vt:lpstr>Detail_ITC</vt:lpstr>
      <vt:lpstr>Detail_MSK</vt:lpstr>
      <vt:lpstr>Detail_TDM</vt:lpstr>
      <vt:lpstr>Detail_TRIO</vt:lpstr>
      <vt:lpstr>Detail_Anper</vt:lpstr>
      <vt:lpstr>Detail_Sinsen</vt:lpstr>
      <vt:lpstr>Detail_MenaraAgung</vt:lpstr>
      <vt:lpstr>Sheet15</vt:lpstr>
      <vt:lpstr>Detail_Shared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Jawmax</dc:creator>
  <cp:lastModifiedBy>Erlangga Perdana</cp:lastModifiedBy>
  <dcterms:created xsi:type="dcterms:W3CDTF">2026-06-11T02:23:43Z</dcterms:created>
  <dcterms:modified xsi:type="dcterms:W3CDTF">2026-06-15T07:31:13Z</dcterms:modified>
</cp:coreProperties>
</file>